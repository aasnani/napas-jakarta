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06c21444bb449af" /></Relationships>
</file>

<file path=xl/workbook.xml><?xml version="1.0" encoding="utf-8"?>
<x:workbook xmlns:x="http://schemas.openxmlformats.org/spreadsheetml/2006/main">
  <x:sheets>
    <x:sheet xmlns:r="http://schemas.openxmlformats.org/officeDocument/2006/relationships" name="Review Form" sheetId="1" r:id="R115200cfa1d44957"/>
    <x:sheet xmlns:r="http://schemas.openxmlformats.org/officeDocument/2006/relationships" name="Evidence" sheetId="3" r:id="R37b504269bf541ce"/>
    <x:sheet xmlns:r="http://schemas.openxmlformats.org/officeDocument/2006/relationships" name="Reference" sheetId="4" r:id="Rc3561c99613f41fb"/>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
    <x:numFmt numFmtId="203" formatCode="0.00000000"/>
  </x:numFmts>
  <x:fonts count="18">
    <x:font>
      <x:sz val="11"/>
      <x:name val="Carlito"/>
    </x:font>
    <x:font>
      <x:b/>
      <x:sz val="18"/>
      <x:color rgb="FFFFFFFF"/>
      <x:name val="Carlito"/>
    </x:font>
    <x:font>
      <x:i/>
      <x:sz val="10"/>
      <x:color rgb="FF40566D"/>
      <x:name val="Carlito"/>
    </x:font>
    <x:font>
      <x:b/>
      <x:sz val="11"/>
      <x:color rgb="FF7A5300"/>
      <x:name val="Carlito"/>
    </x:font>
    <x:font>
      <x:b/>
      <x:sz val="10"/>
      <x:color rgb="FFFFFFFF"/>
      <x:name val="Carlito"/>
    </x:font>
    <x:font>
      <x:sz val="11"/>
      <x:color rgb="FF17202A"/>
      <x:name val="Carlito"/>
    </x:font>
    <x:font>
      <x:b/>
      <x:sz val="14"/>
      <x:color rgb="FF17324D"/>
      <x:name val="Carlito"/>
    </x:font>
    <x:font>
      <x:b/>
      <x:sz val="11"/>
      <x:color rgb="FF17324D"/>
      <x:name val="Carlito"/>
    </x:font>
    <x:font>
      <x:sz val="10"/>
      <x:color rgb="FF17202A"/>
      <x:name val="Carlito"/>
    </x:font>
    <x:font>
      <x:b/>
      <x:sz val="10"/>
      <x:color rgb="FF17324D"/>
      <x:name val="Carlito"/>
    </x:font>
    <x:font>
      <x:i/>
      <x:sz val="11"/>
      <x:color rgb="FF40566D"/>
      <x:name val="Carlito"/>
    </x:font>
    <x:font>
      <x:sz val="9"/>
      <x:color rgb="FF17202A"/>
      <x:name val="Carlito"/>
    </x:font>
    <x:font>
      <x:b/>
      <x:sz val="9"/>
      <x:color rgb="FF7A5300"/>
      <x:name val="Carlito"/>
    </x:font>
    <x:font>
      <x:sz val="9"/>
      <x:color rgb="FF7A5300"/>
      <x:name val="Carlito"/>
    </x:font>
    <x:font>
      <x:b/>
      <x:sz val="16"/>
      <x:color rgb="FFFFFFFF"/>
      <x:name val="Carlito"/>
    </x:font>
    <x:font>
      <x:i/>
      <x:sz val="10"/>
      <x:color rgb="FF355268"/>
      <x:name val="Carlito"/>
    </x:font>
    <x:font>
      <x:b/>
      <x:sz val="11"/>
      <x:color rgb="FFFFFFFF"/>
      <x:name val="Carlito"/>
    </x:font>
    <x:font>
      <x:sz val="10"/>
      <x:color rgb="FF233746"/>
      <x:name val="Carlito"/>
    </x:font>
  </x:fonts>
  <x:fills count="51">
    <x:fill>
      <x:patternFill patternType="none"/>
    </x:fill>
    <x:fill>
      <x:patternFill patternType="gray125"/>
    </x:fill>
    <x:fill>
      <x:patternFill patternType="solid">
        <x:fgColor rgb="FF17324D"/>
      </x:patternFill>
    </x:fill>
    <x:fill>
      <x:patternFill patternType="solid">
        <x:fgColor rgb="FFEAF2FB"/>
      </x:patternFill>
    </x:fill>
    <x:fill>
      <x:patternFill patternType="solid">
        <x:fgColor rgb="FFFFF4CC"/>
      </x:patternFill>
    </x:fill>
    <x:fill>
      <x:patternFill patternType="solid">
        <x:fgColor rgb="FF1F6FEB"/>
      </x:patternFill>
    </x:fill>
    <x:fill>
      <x:patternFill patternType="solid">
        <x:fgColor rgb="FFFFFFFF"/>
      </x:patternFill>
    </x:fill>
    <x:fill>
      <x:patternFill patternType="solid">
        <x:fgColor rgb="FFF3F6F9"/>
      </x:patternFill>
    </x:fill>
    <x:fill>
      <x:patternFill patternType="solid">
        <x:fgColor rgb="FFFFFDF5"/>
      </x:patternFill>
    </x:fill>
    <x:fill>
      <x:patternFill patternType="solid">
        <x:fgColor rgb="FF17324D"/>
      </x:patternFill>
    </x:fill>
    <x:fill>
      <x:patternFill patternType="solid">
        <x:fgColor rgb="FFEAF2F8"/>
      </x:patternFill>
    </x:fill>
    <x:fill>
      <x:patternFill patternType="solid">
        <x:fgColor rgb="FF2F75B5"/>
      </x:patternFill>
    </x:fill>
    <x:fill>
      <x:patternFill patternType="solid">
        <x:fgColor rgb="FFFFFFFF"/>
      </x:patternFill>
    </x:fill>
    <x:fill>
      <x:patternFill patternType="solid">
        <x:fgColor rgb="FFFFF2CC"/>
      </x:patternFill>
    </x:fill>
    <x:fill>
      <x:patternFill patternType="solid">
        <x:fgColor rgb="FFF3F6F8"/>
      </x:patternFill>
    </x:fill>
    <x:fill>
      <x:patternFill patternType="solid">
        <x:fgColor rgb="FF17324D"/>
      </x:patternFill>
    </x:fill>
    <x:fill>
      <x:patternFill patternType="solid">
        <x:fgColor rgb="FFEAF2F8"/>
      </x:patternFill>
    </x:fill>
    <x:fill>
      <x:patternFill patternType="solid">
        <x:fgColor rgb="FF2F75B5"/>
      </x:patternFill>
    </x:fill>
    <x:fill>
      <x:patternFill patternType="solid">
        <x:fgColor rgb="FFFFFFFF"/>
      </x:patternFill>
    </x:fill>
    <x:fill>
      <x:patternFill patternType="solid">
        <x:fgColor rgb="FFFFF2CC"/>
      </x:patternFill>
    </x:fill>
    <x:fill>
      <x:patternFill patternType="solid">
        <x:fgColor rgb="FFF3F6F8"/>
      </x:patternFill>
    </x:fill>
    <x:fill>
      <x:patternFill patternType="solid">
        <x:fgColor rgb="FF17324D"/>
      </x:patternFill>
    </x:fill>
    <x:fill>
      <x:patternFill patternType="solid">
        <x:fgColor rgb="FFEAF2F8"/>
      </x:patternFill>
    </x:fill>
    <x:fill>
      <x:patternFill patternType="solid">
        <x:fgColor rgb="FF2F75B5"/>
      </x:patternFill>
    </x:fill>
    <x:fill>
      <x:patternFill patternType="solid">
        <x:fgColor rgb="FFFFFFFF"/>
      </x:patternFill>
    </x:fill>
    <x:fill>
      <x:patternFill patternType="solid">
        <x:fgColor rgb="FFFFF2CC"/>
      </x:patternFill>
    </x:fill>
    <x:fill>
      <x:patternFill patternType="solid">
        <x:fgColor rgb="FFF3F6F8"/>
      </x:patternFill>
    </x:fill>
    <x:fill>
      <x:patternFill patternType="solid">
        <x:fgColor rgb="FF17324D"/>
      </x:patternFill>
    </x:fill>
    <x:fill>
      <x:patternFill patternType="solid">
        <x:fgColor rgb="FFEAF2F8"/>
      </x:patternFill>
    </x:fill>
    <x:fill>
      <x:patternFill patternType="solid">
        <x:fgColor rgb="FF2F75B5"/>
      </x:patternFill>
    </x:fill>
    <x:fill>
      <x:patternFill patternType="solid">
        <x:fgColor rgb="FFFFFFFF"/>
      </x:patternFill>
    </x:fill>
    <x:fill>
      <x:patternFill patternType="solid">
        <x:fgColor rgb="FFFFF2CC"/>
      </x:patternFill>
    </x:fill>
    <x:fill>
      <x:patternFill patternType="solid">
        <x:fgColor rgb="FFF3F6F8"/>
      </x:patternFill>
    </x:fill>
    <x:fill>
      <x:patternFill patternType="solid">
        <x:fgColor rgb="FF17324D"/>
      </x:patternFill>
    </x:fill>
    <x:fill>
      <x:patternFill patternType="solid">
        <x:fgColor rgb="FFEAF2F8"/>
      </x:patternFill>
    </x:fill>
    <x:fill>
      <x:patternFill patternType="solid">
        <x:fgColor rgb="FF2F75B5"/>
      </x:patternFill>
    </x:fill>
    <x:fill>
      <x:patternFill patternType="solid">
        <x:fgColor rgb="FFFFFFFF"/>
      </x:patternFill>
    </x:fill>
    <x:fill>
      <x:patternFill patternType="solid">
        <x:fgColor rgb="FFFFF2CC"/>
      </x:patternFill>
    </x:fill>
    <x:fill>
      <x:patternFill patternType="solid">
        <x:fgColor rgb="FFF3F6F8"/>
      </x:patternFill>
    </x:fill>
    <x:fill>
      <x:patternFill patternType="solid">
        <x:fgColor rgb="FF17324D"/>
      </x:patternFill>
    </x:fill>
    <x:fill>
      <x:patternFill patternType="solid">
        <x:fgColor rgb="FFEAF2F8"/>
      </x:patternFill>
    </x:fill>
    <x:fill>
      <x:patternFill patternType="solid">
        <x:fgColor rgb="FF2F75B5"/>
      </x:patternFill>
    </x:fill>
    <x:fill>
      <x:patternFill patternType="solid">
        <x:fgColor rgb="FFFFFFFF"/>
      </x:patternFill>
    </x:fill>
    <x:fill>
      <x:patternFill patternType="solid">
        <x:fgColor rgb="FFFFF2CC"/>
      </x:patternFill>
    </x:fill>
    <x:fill>
      <x:patternFill patternType="solid">
        <x:fgColor rgb="FFF3F6F8"/>
      </x:patternFill>
    </x:fill>
    <x:fill>
      <x:patternFill patternType="solid">
        <x:fgColor rgb="FF17324D"/>
      </x:patternFill>
    </x:fill>
    <x:fill>
      <x:patternFill patternType="solid">
        <x:fgColor rgb="FFEAF2F8"/>
      </x:patternFill>
    </x:fill>
    <x:fill>
      <x:patternFill patternType="solid">
        <x:fgColor rgb="FF2F75B5"/>
      </x:patternFill>
    </x:fill>
    <x:fill>
      <x:patternFill patternType="solid">
        <x:fgColor rgb="FFFFFFFF"/>
      </x:patternFill>
    </x:fill>
    <x:fill>
      <x:patternFill patternType="solid">
        <x:fgColor rgb="FFFFF2CC"/>
      </x:patternFill>
    </x:fill>
    <x:fill>
      <x:patternFill patternType="solid">
        <x:fgColor rgb="FFF3F6F8"/>
      </x:patternFill>
    </x:fill>
  </x:fills>
  <x:borders count="18">
    <x:border/>
    <x:border>
      <x:left style="thin">
        <x:color rgb="FFE3B341"/>
      </x:left>
      <x:top style="thin">
        <x:color rgb="FFE3B341"/>
      </x:top>
      <x:bottom style="thin">
        <x:color rgb="FFE3B341"/>
      </x:bottom>
    </x:border>
    <x:border>
      <x:top style="thin">
        <x:color rgb="FFE3B341"/>
      </x:top>
      <x:bottom style="thin">
        <x:color rgb="FFE3B341"/>
      </x:bottom>
    </x:border>
    <x:border>
      <x:right style="thin">
        <x:color rgb="FFE3B341"/>
      </x:right>
      <x:top style="thin">
        <x:color rgb="FFE3B341"/>
      </x:top>
      <x:bottom style="thin">
        <x:color rgb="FFE3B341"/>
      </x:bottom>
    </x:border>
    <x:border>
      <x:left style="thin">
        <x:color rgb="FFD7E0EA"/>
      </x:left>
      <x:top style="thin">
        <x:color rgb="FFD7E0EA"/>
      </x:top>
      <x:bottom style="thin">
        <x:color rgb="FFD7E0EA"/>
      </x:bottom>
    </x:border>
    <x:border>
      <x:right style="thin">
        <x:color rgb="FFD7E0EA"/>
      </x:right>
      <x:top style="thin">
        <x:color rgb="FFD7E0EA"/>
      </x:top>
      <x:bottom style="thin">
        <x:color rgb="FFD7E0EA"/>
      </x:bottom>
    </x:border>
    <x:border>
      <x:left style="thin">
        <x:color rgb="FFD7E0EA"/>
      </x:left>
      <x:right style="thin">
        <x:color rgb="FFD7E0EA"/>
      </x:right>
      <x:top style="thin">
        <x:color rgb="FFD7E0EA"/>
      </x:top>
      <x:bottom style="thin">
        <x:color rgb="FFD7E0EA"/>
      </x:bottom>
    </x:border>
    <x:border>
      <x:top style="thin">
        <x:color rgb="FFD7E0EA"/>
      </x:top>
      <x:bottom style="thin">
        <x:color rgb="FFD7E0EA"/>
      </x:bottom>
    </x:border>
    <x:border>
      <x:bottom style="thin">
        <x:color rgb="FFD7E0EA"/>
      </x:bottom>
    </x:border>
    <x:border>
      <x:left style="thin">
        <x:color rgb="FFE3B341"/>
      </x:left>
      <x:right style="thin">
        <x:color rgb="FFE3B341"/>
      </x:right>
      <x:top style="thin">
        <x:color rgb="FFE3B341"/>
      </x:top>
      <x:bottom style="thin">
        <x:color rgb="FFD7E0EA"/>
      </x:bottom>
    </x:border>
    <x:border>
      <x:left style="thin">
        <x:color rgb="FFE3B341"/>
      </x:left>
      <x:right style="thin">
        <x:color rgb="FFE3B341"/>
      </x:right>
      <x:top style="thin">
        <x:color rgb="FFD7E0EA"/>
      </x:top>
      <x:bottom style="thin">
        <x:color rgb="FFD7E0EA"/>
      </x:bottom>
    </x:border>
    <x:border>
      <x:left style="thin">
        <x:color rgb="FFE3B341"/>
      </x:left>
      <x:right style="thin">
        <x:color rgb="FFE3B341"/>
      </x:right>
      <x:top style="thin">
        <x:color rgb="FFD7E0EA"/>
      </x:top>
      <x:bottom style="thin">
        <x:color rgb="FFE3B341"/>
      </x:bottom>
    </x:border>
    <x:border>
      <x:left style="thin">
        <x:color rgb="FF2F75B5"/>
      </x:left>
      <x:top style="thin">
        <x:color rgb="FF2F75B5"/>
      </x:top>
      <x:bottom style="thin">
        <x:color rgb="FF2F75B5"/>
      </x:bottom>
    </x:border>
    <x:border>
      <x:top style="thin">
        <x:color rgb="FF2F75B5"/>
      </x:top>
      <x:bottom style="thin">
        <x:color rgb="FF2F75B5"/>
      </x:bottom>
    </x:border>
    <x:border>
      <x:right style="thin">
        <x:color rgb="FF2F75B5"/>
      </x:right>
      <x:top style="thin">
        <x:color rgb="FF2F75B5"/>
      </x:top>
      <x:bottom style="thin">
        <x:color rgb="FF2F75B5"/>
      </x:bottom>
    </x:border>
    <x:border>
      <x:bottom style="thin">
        <x:color rgb="FFD9E2EA"/>
      </x:bottom>
    </x:border>
    <x:border>
      <x:top style="thin">
        <x:color rgb="FFD9E2EA"/>
      </x:top>
      <x:bottom style="thin">
        <x:color rgb="FFD9E2EA"/>
      </x:bottom>
    </x:border>
    <x:border>
      <x:top style="thin">
        <x:color rgb="FFD9E2EA"/>
      </x:top>
    </x:border>
  </x:borders>
  <x:cellStyleXfs count="1">
    <x:xf numFmtId="0" fontId="0" fillId="0" borderId="0"/>
  </x:cellStyleXfs>
  <x:cellXfs count="61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4" xfId="0" applyNumberFormat="1" applyFont="1" applyFill="1" applyBorder="1"/>
    <x:xf numFmtId="0" fontId="4" fillId="5" borderId="5" xfId="0" applyNumberFormat="1" applyFont="1" applyFill="1" applyBorder="1"/>
    <x:xf numFmtId="0" fontId="4" fillId="5" borderId="4"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4" xfId="0" applyNumberFormat="1" applyFont="1" applyFill="1" applyBorder="1" applyAlignment="1">
      <x:alignment horizontal="center" wrapText="1"/>
    </x:xf>
    <x:xf numFmtId="0" fontId="4" fillId="5" borderId="5" xfId="0" applyNumberFormat="1" applyFont="1" applyFill="1" applyBorder="1" applyAlignment="1">
      <x:alignment horizontal="center" wrapText="1"/>
    </x:xf>
    <x:xf numFmtId="0" fontId="4" fillId="5" borderId="4" xfId="0" applyNumberFormat="1" applyFont="1" applyFill="1" applyBorder="1" applyAlignment="1">
      <x:alignment horizontal="center" vertical="center" wrapText="1"/>
    </x:xf>
    <x:xf numFmtId="0" fontId="4" fillId="5" borderId="5" xfId="0" applyNumberFormat="1" applyFont="1" applyFill="1" applyBorder="1" applyAlignment="1">
      <x:alignment horizontal="center" vertical="center" wrapText="1"/>
    </x:xf>
    <x:xf numFmtId="0" fontId="0" fillId="6" borderId="0" xfId="0" applyNumberFormat="1" applyFont="1" applyFill="1" applyBorder="1"/>
    <x:xf numFmtId="0" fontId="5" fillId="6" borderId="0" xfId="0" applyNumberFormat="1" applyFont="1" applyFill="1" applyBorder="1"/>
    <x:xf numFmtId="0" fontId="5" fillId="6" borderId="6" xfId="0" applyNumberFormat="1" applyFont="1" applyFill="1" applyBorder="1"/>
    <x:xf numFmtId="0" fontId="5" fillId="7" borderId="6" xfId="0" applyNumberFormat="1" applyFont="1" applyFill="1" applyBorder="1"/>
    <x:xf numFmtId="0" fontId="6" fillId="7" borderId="6" xfId="0" applyNumberFormat="1" applyFont="1" applyFill="1" applyBorder="1"/>
    <x:xf numFmtId="200" fontId="6" fillId="7" borderId="6" xfId="0" applyNumberFormat="1" applyFont="1" applyFill="1" applyBorder="1"/>
    <x:xf numFmtId="200" fontId="6" fillId="7" borderId="6" xfId="0" applyNumberFormat="1" applyFont="1" applyFill="1" applyBorder="1" applyAlignment="1">
      <x:alignment horizontal="right"/>
    </x:xf>
    <x:xf numFmtId="0" fontId="7" fillId="7" borderId="6" xfId="0" applyNumberFormat="1" applyFont="1" applyFill="1" applyBorder="1"/>
    <x:xf numFmtId="200" fontId="7" fillId="7" borderId="6" xfId="0" applyNumberFormat="1" applyFont="1" applyFill="1" applyBorder="1"/>
    <x:xf numFmtId="200" fontId="7" fillId="7" borderId="6" xfId="0" applyNumberFormat="1" applyFont="1" applyFill="1" applyBorder="1" applyAlignment="1">
      <x:alignment horizontal="right"/>
    </x:xf>
    <x:xf numFmtId="0" fontId="8" fillId="6" borderId="0" xfId="0" applyNumberFormat="1" applyFont="1" applyFill="1" applyBorder="1"/>
    <x:xf numFmtId="0" fontId="8" fillId="6" borderId="6" xfId="0" applyNumberFormat="1" applyFont="1" applyFill="1" applyBorder="1"/>
    <x:xf numFmtId="0" fontId="8" fillId="6" borderId="6" xfId="0" applyNumberFormat="1" applyFont="1" applyFill="1" applyBorder="1" applyAlignment="1">
      <x:alignment wrapText="1"/>
    </x:xf>
    <x:xf numFmtId="0" fontId="8" fillId="7" borderId="6" xfId="0" applyNumberFormat="1" applyFont="1" applyFill="1" applyBorder="1" applyAlignment="1">
      <x:alignment wrapText="1"/>
    </x:xf>
    <x:xf numFmtId="0" fontId="9" fillId="7" borderId="6" xfId="0" applyNumberFormat="1" applyFont="1" applyFill="1" applyBorder="1" applyAlignment="1">
      <x:alignment wrapText="1"/>
    </x:xf>
    <x:xf numFmtId="200" fontId="9" fillId="7" borderId="6" xfId="0" applyNumberFormat="1" applyFont="1" applyFill="1" applyBorder="1" applyAlignment="1">
      <x:alignment wrapText="1"/>
    </x:xf>
    <x:xf numFmtId="200" fontId="9" fillId="7" borderId="6" xfId="0" applyNumberFormat="1" applyFont="1" applyFill="1" applyBorder="1" applyAlignment="1">
      <x:alignment horizontal="right" wrapText="1"/>
    </x:xf>
    <x:xf numFmtId="0" fontId="8" fillId="7" borderId="6" xfId="0" applyNumberFormat="1" applyFont="1" applyFill="1" applyBorder="1"/>
    <x:xf numFmtId="0" fontId="9" fillId="7" borderId="6" xfId="0" applyNumberFormat="1" applyFont="1" applyFill="1" applyBorder="1"/>
    <x:xf numFmtId="200" fontId="9" fillId="7" borderId="6" xfId="0" applyNumberFormat="1" applyFont="1" applyFill="1" applyBorder="1"/>
    <x:xf numFmtId="200" fontId="9" fillId="7" borderId="6" xfId="0" applyNumberFormat="1" applyFont="1" applyFill="1" applyBorder="1" applyAlignment="1">
      <x:alignment horizontal="right"/>
    </x:xf>
    <x:xf numFmtId="0" fontId="8" fillId="6" borderId="6" xfId="0" applyNumberFormat="1" applyFont="1" applyFill="1" applyBorder="1" applyAlignment="1">
      <x:alignment vertical="center" wrapText="1"/>
    </x:xf>
    <x:xf numFmtId="0" fontId="10" fillId="3" borderId="0" xfId="0" applyNumberFormat="1" applyFont="1" applyFill="1" applyBorder="1"/>
    <x:xf numFmtId="0" fontId="10" fillId="3" borderId="0" xfId="0" applyNumberFormat="1" applyFont="1" applyFill="1" applyBorder="1" applyAlignment="1">
      <x:alignment wrapText="1"/>
    </x:xf>
    <x:xf numFmtId="0" fontId="10" fillId="3" borderId="0" xfId="0" applyNumberFormat="1" applyFont="1" applyFill="1" applyBorder="1" applyAlignment="1">
      <x:alignment vertical="center" wrapText="1"/>
    </x:xf>
    <x:xf numFmtId="0" fontId="4" fillId="5" borderId="7" xfId="0" applyNumberFormat="1" applyFont="1" applyFill="1" applyBorder="1"/>
    <x:xf numFmtId="0" fontId="4" fillId="5" borderId="7" xfId="0" applyNumberFormat="1" applyFont="1" applyFill="1" applyBorder="1" applyAlignment="1">
      <x:alignment wrapText="1"/>
    </x:xf>
    <x:xf numFmtId="0" fontId="4" fillId="5" borderId="7" xfId="0" applyNumberFormat="1" applyFont="1" applyFill="1" applyBorder="1" applyAlignment="1">
      <x:alignment horizontal="center" wrapText="1"/>
    </x:xf>
    <x:xf numFmtId="0" fontId="4" fillId="5" borderId="7" xfId="0" applyNumberFormat="1" applyFont="1" applyFill="1" applyBorder="1" applyAlignment="1">
      <x:alignment horizontal="center" vertical="center" wrapText="1"/>
    </x:xf>
    <x:xf numFmtId="0" fontId="11" fillId="6" borderId="0" xfId="0" applyNumberFormat="1" applyFont="1" applyFill="1" applyBorder="1"/>
    <x:xf numFmtId="0" fontId="11" fillId="6" borderId="8" xfId="0" applyNumberFormat="1" applyFont="1" applyFill="1" applyBorder="1"/>
    <x:xf numFmtId="0" fontId="11" fillId="6" borderId="7" xfId="0" applyNumberFormat="1" applyFont="1" applyFill="1" applyBorder="1"/>
    <x:xf numFmtId="0" fontId="11" fillId="6" borderId="8" xfId="0" applyNumberFormat="1" applyFont="1" applyFill="1" applyBorder="1" applyAlignment="1">
      <x:alignment wrapText="1"/>
    </x:xf>
    <x:xf numFmtId="0" fontId="11" fillId="6" borderId="7" xfId="0" applyNumberFormat="1" applyFont="1" applyFill="1" applyBorder="1" applyAlignment="1">
      <x:alignment wrapText="1"/>
    </x:xf>
    <x:xf numFmtId="0" fontId="11" fillId="6" borderId="8" xfId="0" applyNumberFormat="1" applyFont="1" applyFill="1" applyBorder="1" applyAlignment="1">
      <x:alignment vertical="top" wrapText="1"/>
    </x:xf>
    <x:xf numFmtId="0" fontId="11" fillId="6" borderId="7" xfId="0" applyNumberFormat="1" applyFont="1" applyFill="1" applyBorder="1" applyAlignment="1">
      <x:alignment vertical="top" wrapText="1"/>
    </x:xf>
    <x:xf numFmtId="0" fontId="11" fillId="4" borderId="8" xfId="0" applyNumberFormat="1" applyFont="1" applyFill="1" applyBorder="1" applyAlignment="1">
      <x:alignment vertical="top" wrapText="1"/>
    </x:xf>
    <x:xf numFmtId="0" fontId="11" fillId="4" borderId="7" xfId="0" applyNumberFormat="1" applyFont="1" applyFill="1" applyBorder="1" applyAlignment="1">
      <x:alignment vertical="top" wrapText="1"/>
    </x:xf>
    <x:xf numFmtId="0" fontId="12" fillId="4" borderId="8" xfId="0" applyNumberFormat="1" applyFont="1" applyFill="1" applyBorder="1" applyAlignment="1">
      <x:alignment vertical="top" wrapText="1"/>
    </x:xf>
    <x:xf numFmtId="0" fontId="12" fillId="4" borderId="7" xfId="0" applyNumberFormat="1" applyFont="1" applyFill="1" applyBorder="1" applyAlignment="1">
      <x:alignment vertical="top" wrapText="1"/>
    </x:xf>
    <x:xf numFmtId="0" fontId="12" fillId="4" borderId="9" xfId="0" applyNumberFormat="1" applyFont="1" applyFill="1" applyBorder="1" applyAlignment="1">
      <x:alignment vertical="top" wrapText="1"/>
    </x:xf>
    <x:xf numFmtId="0" fontId="12" fillId="4" borderId="10" xfId="0" applyNumberFormat="1" applyFont="1" applyFill="1" applyBorder="1" applyAlignment="1">
      <x:alignment vertical="top" wrapText="1"/>
    </x:xf>
    <x:xf numFmtId="0" fontId="12" fillId="4" borderId="11" xfId="0" applyNumberFormat="1" applyFont="1" applyFill="1" applyBorder="1" applyAlignment="1">
      <x:alignment vertical="top" wrapText="1"/>
    </x:xf>
    <x:xf numFmtId="0" fontId="12" fillId="4" borderId="9" xfId="0" applyNumberFormat="1" applyFont="1" applyFill="1" applyBorder="1" applyAlignment="1">
      <x:alignment horizontal="center" vertical="top" wrapText="1"/>
    </x:xf>
    <x:xf numFmtId="0" fontId="12" fillId="4" borderId="10" xfId="0" applyNumberFormat="1" applyFont="1" applyFill="1" applyBorder="1" applyAlignment="1">
      <x:alignment horizontal="center" vertical="top" wrapText="1"/>
    </x:xf>
    <x:xf numFmtId="0" fontId="12" fillId="4" borderId="11" xfId="0" applyNumberFormat="1" applyFont="1" applyFill="1" applyBorder="1" applyAlignment="1">
      <x:alignment horizontal="center" vertical="top" wrapText="1"/>
    </x:xf>
    <x:xf numFmtId="0" fontId="12" fillId="4" borderId="9" xfId="0" applyNumberFormat="1" applyFont="1" applyFill="1" applyBorder="1" applyAlignment="1">
      <x:alignment horizontal="center" vertical="center" wrapText="1"/>
    </x:xf>
    <x:xf numFmtId="0" fontId="12" fillId="4" borderId="10" xfId="0" applyNumberFormat="1" applyFont="1" applyFill="1" applyBorder="1" applyAlignment="1">
      <x:alignment horizontal="center" vertical="center" wrapText="1"/>
    </x:xf>
    <x:xf numFmtId="0" fontId="12" fillId="4" borderId="11" xfId="0" applyNumberFormat="1" applyFont="1" applyFill="1" applyBorder="1" applyAlignment="1">
      <x:alignment horizontal="center" vertical="center" wrapText="1"/>
    </x:xf>
    <x:xf numFmtId="0" fontId="11" fillId="8" borderId="8" xfId="0" applyNumberFormat="1" applyFont="1" applyFill="1" applyBorder="1" applyAlignment="1">
      <x:alignment vertical="top" wrapText="1"/>
    </x:xf>
    <x:xf numFmtId="0" fontId="11" fillId="8" borderId="7" xfId="0" applyNumberFormat="1" applyFont="1" applyFill="1" applyBorder="1" applyAlignment="1">
      <x:alignment vertical="top" wrapText="1"/>
    </x:xf>
    <x:xf numFmtId="0" fontId="13" fillId="8" borderId="8" xfId="0" applyNumberFormat="1" applyFont="1" applyFill="1" applyBorder="1" applyAlignment="1">
      <x:alignment vertical="top" wrapText="1"/>
    </x:xf>
    <x:xf numFmtId="0" fontId="13" fillId="8" borderId="7" xfId="0" applyNumberFormat="1" applyFont="1" applyFill="1" applyBorder="1" applyAlignment="1">
      <x:alignment vertical="top" wrapText="1"/>
    </x:xf>
    <x:xf numFmtId="201" fontId="13" fillId="8" borderId="8" xfId="0" applyNumberFormat="1" applyFont="1" applyFill="1" applyBorder="1" applyAlignment="1">
      <x:alignment vertical="top" wrapText="1"/>
    </x:xf>
    <x:xf numFmtId="201" fontId="13" fillId="8" borderId="7" xfId="0" applyNumberFormat="1" applyFont="1" applyFill="1" applyBorder="1" applyAlignment="1">
      <x:alignment vertical="top" wrapText="1"/>
    </x:xf>
    <x:xf numFmtId="202" fontId="11" fillId="6" borderId="8" xfId="0" applyNumberFormat="1" applyFont="1" applyFill="1" applyBorder="1" applyAlignment="1">
      <x:alignment vertical="top" wrapText="1"/>
    </x:xf>
    <x:xf numFmtId="202" fontId="11" fillId="6" borderId="7" xfId="0" applyNumberFormat="1" applyFont="1" applyFill="1" applyBorder="1" applyAlignment="1">
      <x:alignment vertical="top" wrapText="1"/>
    </x:xf>
    <x:xf numFmtId="202" fontId="11" fillId="6" borderId="8" xfId="0" applyNumberFormat="1" applyFont="1" applyFill="1" applyBorder="1" applyAlignment="1">
      <x:alignment horizontal="right" vertical="top" wrapText="1"/>
    </x:xf>
    <x:xf numFmtId="202" fontId="11" fillId="6" borderId="7" xfId="0" applyNumberFormat="1" applyFont="1" applyFill="1" applyBorder="1" applyAlignment="1">
      <x:alignment horizontal="right" vertical="top" wrapText="1"/>
    </x:xf>
    <x:xf numFmtId="203" fontId="11" fillId="6" borderId="8" xfId="0" applyNumberFormat="1" applyFont="1" applyFill="1" applyBorder="1" applyAlignment="1">
      <x:alignment vertical="top" wrapText="1"/>
    </x:xf>
    <x:xf numFmtId="203" fontId="11" fillId="6" borderId="7" xfId="0" applyNumberFormat="1" applyFont="1" applyFill="1" applyBorder="1" applyAlignment="1">
      <x:alignment vertical="top" wrapText="1"/>
    </x:xf>
    <x:xf numFmtId="203" fontId="11" fillId="6" borderId="8" xfId="0" applyNumberFormat="1" applyFont="1" applyFill="1" applyBorder="1" applyAlignment="1">
      <x:alignment horizontal="right" vertical="top" wrapText="1"/>
    </x:xf>
    <x:xf numFmtId="203" fontId="11" fillId="6" borderId="7" xfId="0" applyNumberFormat="1" applyFont="1" applyFill="1" applyBorder="1" applyAlignment="1">
      <x:alignment horizontal="right" vertical="top" wrapText="1"/>
    </x:xf>
    <x:xf numFmtId="0" fontId="5" fillId="6" borderId="6" xfId="0" applyNumberFormat="1" applyFont="1" applyFill="1" applyBorder="1" applyAlignment="1">
      <x:alignment wrapText="1"/>
    </x:xf>
    <x:xf numFmtId="0" fontId="5" fillId="6" borderId="6" xfId="0" applyNumberFormat="1" applyFont="1" applyFill="1" applyBorder="1" applyAlignment="1">
      <x:alignment vertical="top" wrapText="1"/>
    </x:xf>
    <x:xf numFmtId="0" fontId="0" fillId="7" borderId="0" xfId="0" applyNumberFormat="1" applyFont="1" applyFill="1" applyBorder="1"/>
    <x:xf numFmtId="0" fontId="7" fillId="7" borderId="0" xfId="0" applyNumberFormat="1" applyFont="1" applyFill="1" applyBorder="1"/>
    <x:xf numFmtId="202" fontId="7" fillId="7" borderId="6" xfId="0" applyNumberFormat="1" applyFont="1" applyFill="1" applyBorder="1"/>
    <x:xf numFmtId="202" fontId="7" fillId="7" borderId="6" xfId="0" applyNumberFormat="1" applyFont="1" applyFill="1" applyBorder="1" applyAlignment="1">
      <x:alignment horizontal="center"/>
    </x:xf>
    <x:xf numFmtId="0" fontId="5" fillId="6" borderId="6" xfId="0" applyNumberFormat="1" applyFont="1" applyFill="1" applyBorder="1" applyAlignment="1">
      <x:alignment vertical="center" wrapText="1"/>
    </x:xf>
    <x:xf numFmtId="0" fontId="0" fillId="9" borderId="0" xfId="0" applyNumberFormat="1" applyFont="1" applyFill="1" applyBorder="1"/>
    <x:xf numFmtId="0" fontId="14" fillId="9" borderId="0" xfId="0" applyNumberFormat="1" applyFont="1" applyFill="1" applyBorder="1"/>
    <x:xf numFmtId="0" fontId="14" fillId="9" borderId="0" xfId="0" applyNumberFormat="1" applyFont="1" applyFill="1" applyBorder="1" applyAlignment="1">
      <x:alignment horizontal="left"/>
    </x:xf>
    <x:xf numFmtId="0" fontId="14" fillId="9" borderId="0" xfId="0" applyNumberFormat="1" applyFont="1" applyFill="1" applyBorder="1" applyAlignment="1">
      <x:alignment horizontal="left" vertical="center"/>
    </x:xf>
    <x:xf numFmtId="0" fontId="0" fillId="10" borderId="0" xfId="0" applyNumberFormat="1" applyFont="1" applyFill="1" applyBorder="1"/>
    <x:xf numFmtId="0" fontId="15" fillId="10" borderId="0" xfId="0" applyNumberFormat="1" applyFont="1" applyFill="1" applyBorder="1"/>
    <x:xf numFmtId="0" fontId="15" fillId="10" borderId="0" xfId="0" applyNumberFormat="1" applyFont="1" applyFill="1" applyBorder="1" applyAlignment="1">
      <x:alignment wrapText="1"/>
    </x:xf>
    <x:xf numFmtId="0" fontId="15" fillId="10" borderId="0" xfId="0" applyNumberFormat="1" applyFont="1" applyFill="1" applyBorder="1" applyAlignment="1">
      <x:alignment vertical="center" wrapText="1"/>
    </x:xf>
    <x:xf numFmtId="0" fontId="0" fillId="11" borderId="0" xfId="0" applyNumberFormat="1" applyFont="1" applyFill="1" applyBorder="1"/>
    <x:xf numFmtId="0" fontId="16" fillId="11" borderId="0" xfId="0" applyNumberFormat="1" applyFont="1" applyFill="1" applyBorder="1"/>
    <x:xf numFmtId="0" fontId="16" fillId="11" borderId="0" xfId="0" applyNumberFormat="1" applyFont="1" applyFill="1" applyBorder="1" applyAlignment="1">
      <x:alignment horizontal="left"/>
    </x:xf>
    <x:xf numFmtId="0" fontId="16" fillId="11" borderId="0" xfId="0" applyNumberFormat="1" applyFont="1" applyFill="1" applyBorder="1" applyAlignment="1">
      <x:alignment horizontal="left" vertical="center"/>
    </x:xf>
    <x:xf numFmtId="0" fontId="17" fillId="10" borderId="0" xfId="0" applyNumberFormat="1" applyFont="1" applyFill="1" applyBorder="1"/>
    <x:xf numFmtId="0" fontId="17" fillId="10" borderId="0" xfId="0" applyNumberFormat="1" applyFont="1" applyFill="1" applyBorder="1" applyAlignment="1">
      <x:alignment wrapText="1"/>
    </x:xf>
    <x:xf numFmtId="0" fontId="17" fillId="10" borderId="0" xfId="0" applyNumberFormat="1" applyFont="1" applyFill="1" applyBorder="1" applyAlignment="1">
      <x:alignment vertical="center" wrapText="1"/>
    </x:xf>
    <x:xf numFmtId="0" fontId="4" fillId="11" borderId="0" xfId="0" applyNumberFormat="1" applyFont="1" applyFill="1" applyBorder="1"/>
    <x:xf numFmtId="0" fontId="4" fillId="11" borderId="12" xfId="0" applyNumberFormat="1" applyFont="1" applyFill="1" applyBorder="1"/>
    <x:xf numFmtId="0" fontId="4" fillId="11" borderId="13" xfId="0" applyNumberFormat="1" applyFont="1" applyFill="1" applyBorder="1"/>
    <x:xf numFmtId="0" fontId="4" fillId="11" borderId="14" xfId="0" applyNumberFormat="1" applyFont="1" applyFill="1" applyBorder="1"/>
    <x:xf numFmtId="0" fontId="4" fillId="11" borderId="12" xfId="0" applyNumberFormat="1" applyFont="1" applyFill="1" applyBorder="1" applyAlignment="1">
      <x:alignment wrapText="1"/>
    </x:xf>
    <x:xf numFmtId="0" fontId="4" fillId="11" borderId="13" xfId="0" applyNumberFormat="1" applyFont="1" applyFill="1" applyBorder="1" applyAlignment="1">
      <x:alignment wrapText="1"/>
    </x:xf>
    <x:xf numFmtId="0" fontId="4" fillId="11" borderId="14" xfId="0" applyNumberFormat="1" applyFont="1" applyFill="1" applyBorder="1" applyAlignment="1">
      <x:alignment wrapText="1"/>
    </x:xf>
    <x:xf numFmtId="0" fontId="4" fillId="11" borderId="12" xfId="0" applyNumberFormat="1" applyFont="1" applyFill="1" applyBorder="1" applyAlignment="1">
      <x:alignment horizontal="center" wrapText="1"/>
    </x:xf>
    <x:xf numFmtId="0" fontId="4" fillId="11" borderId="13" xfId="0" applyNumberFormat="1" applyFont="1" applyFill="1" applyBorder="1" applyAlignment="1">
      <x:alignment horizontal="center" wrapText="1"/>
    </x:xf>
    <x:xf numFmtId="0" fontId="4" fillId="11" borderId="14" xfId="0" applyNumberFormat="1" applyFont="1" applyFill="1" applyBorder="1" applyAlignment="1">
      <x:alignment horizontal="center" wrapText="1"/>
    </x:xf>
    <x:xf numFmtId="0" fontId="4" fillId="11" borderId="12" xfId="0" applyNumberFormat="1" applyFont="1" applyFill="1" applyBorder="1" applyAlignment="1">
      <x:alignment horizontal="center" vertical="center" wrapText="1"/>
    </x:xf>
    <x:xf numFmtId="0" fontId="4" fillId="11" borderId="13" xfId="0" applyNumberFormat="1" applyFont="1" applyFill="1" applyBorder="1" applyAlignment="1">
      <x:alignment horizontal="center" vertical="center" wrapText="1"/>
    </x:xf>
    <x:xf numFmtId="0" fontId="4" fillId="11" borderId="14" xfId="0" applyNumberFormat="1" applyFont="1" applyFill="1" applyBorder="1" applyAlignment="1">
      <x:alignment horizontal="center" vertical="center" wrapText="1"/>
    </x:xf>
    <x:xf numFmtId="0" fontId="0" fillId="12" borderId="0" xfId="0" applyNumberFormat="1" applyFont="1" applyFill="1" applyBorder="1"/>
    <x:xf numFmtId="0" fontId="17" fillId="12" borderId="0" xfId="0" applyNumberFormat="1" applyFont="1" applyFill="1" applyBorder="1"/>
    <x:xf numFmtId="0" fontId="17" fillId="12" borderId="15" xfId="0" applyNumberFormat="1" applyFont="1" applyFill="1" applyBorder="1"/>
    <x:xf numFmtId="0" fontId="17" fillId="12" borderId="16" xfId="0" applyNumberFormat="1" applyFont="1" applyFill="1" applyBorder="1"/>
    <x:xf numFmtId="0" fontId="17" fillId="12" borderId="17" xfId="0" applyNumberFormat="1" applyFont="1" applyFill="1" applyBorder="1"/>
    <x:xf numFmtId="0" fontId="17" fillId="12" borderId="15" xfId="0" applyNumberFormat="1" applyFont="1" applyFill="1" applyBorder="1" applyAlignment="1">
      <x:alignment wrapText="1"/>
    </x:xf>
    <x:xf numFmtId="0" fontId="17" fillId="12" borderId="16" xfId="0" applyNumberFormat="1" applyFont="1" applyFill="1" applyBorder="1" applyAlignment="1">
      <x:alignment wrapText="1"/>
    </x:xf>
    <x:xf numFmtId="0" fontId="17" fillId="12" borderId="17" xfId="0" applyNumberFormat="1" applyFont="1" applyFill="1" applyBorder="1" applyAlignment="1">
      <x:alignment wrapText="1"/>
    </x:xf>
    <x:xf numFmtId="0" fontId="17" fillId="12" borderId="15" xfId="0" applyNumberFormat="1" applyFont="1" applyFill="1" applyBorder="1" applyAlignment="1">
      <x:alignment vertical="top" wrapText="1"/>
    </x:xf>
    <x:xf numFmtId="0" fontId="17" fillId="12" borderId="16" xfId="0" applyNumberFormat="1" applyFont="1" applyFill="1" applyBorder="1" applyAlignment="1">
      <x:alignment vertical="top" wrapText="1"/>
    </x:xf>
    <x:xf numFmtId="0" fontId="17" fillId="12" borderId="17" xfId="0" applyNumberFormat="1" applyFont="1" applyFill="1" applyBorder="1" applyAlignment="1">
      <x:alignment vertical="top" wrapText="1"/>
    </x:xf>
    <x:xf numFmtId="0" fontId="0" fillId="13" borderId="0" xfId="0" applyNumberFormat="1" applyFont="1" applyFill="1" applyBorder="1"/>
    <x:xf numFmtId="0" fontId="17" fillId="13" borderId="0" xfId="0" applyNumberFormat="1" applyFont="1" applyFill="1" applyBorder="1"/>
    <x:xf numFmtId="0" fontId="17" fillId="13" borderId="15" xfId="0" applyNumberFormat="1" applyFont="1" applyFill="1" applyBorder="1"/>
    <x:xf numFmtId="0" fontId="17" fillId="13" borderId="16" xfId="0" applyNumberFormat="1" applyFont="1" applyFill="1" applyBorder="1"/>
    <x:xf numFmtId="0" fontId="17" fillId="13" borderId="17" xfId="0" applyNumberFormat="1" applyFont="1" applyFill="1" applyBorder="1"/>
    <x:xf numFmtId="0" fontId="17" fillId="13" borderId="15" xfId="0" applyNumberFormat="1" applyFont="1" applyFill="1" applyBorder="1" applyAlignment="1">
      <x:alignment wrapText="1"/>
    </x:xf>
    <x:xf numFmtId="0" fontId="17" fillId="13" borderId="16" xfId="0" applyNumberFormat="1" applyFont="1" applyFill="1" applyBorder="1" applyAlignment="1">
      <x:alignment wrapText="1"/>
    </x:xf>
    <x:xf numFmtId="0" fontId="17" fillId="13" borderId="17" xfId="0" applyNumberFormat="1" applyFont="1" applyFill="1" applyBorder="1" applyAlignment="1">
      <x:alignment wrapText="1"/>
    </x:xf>
    <x:xf numFmtId="0" fontId="17" fillId="13" borderId="15" xfId="0" applyNumberFormat="1" applyFont="1" applyFill="1" applyBorder="1" applyAlignment="1">
      <x:alignment vertical="top" wrapText="1"/>
    </x:xf>
    <x:xf numFmtId="0" fontId="17" fillId="13" borderId="16" xfId="0" applyNumberFormat="1" applyFont="1" applyFill="1" applyBorder="1" applyAlignment="1">
      <x:alignment vertical="top" wrapText="1"/>
    </x:xf>
    <x:xf numFmtId="0" fontId="17" fillId="13" borderId="17" xfId="0" applyNumberFormat="1" applyFont="1" applyFill="1" applyBorder="1" applyAlignment="1">
      <x:alignment vertical="top" wrapText="1"/>
    </x:xf>
    <x:xf numFmtId="0" fontId="0" fillId="14" borderId="0" xfId="0" applyNumberFormat="1" applyFont="1" applyFill="1" applyBorder="1"/>
    <x:xf numFmtId="0" fontId="17" fillId="14" borderId="0" xfId="0" applyNumberFormat="1" applyFont="1" applyFill="1" applyBorder="1"/>
    <x:xf numFmtId="0" fontId="17" fillId="14" borderId="15" xfId="0" applyNumberFormat="1" applyFont="1" applyFill="1" applyBorder="1"/>
    <x:xf numFmtId="0" fontId="17" fillId="14" borderId="16" xfId="0" applyNumberFormat="1" applyFont="1" applyFill="1" applyBorder="1"/>
    <x:xf numFmtId="0" fontId="17" fillId="14" borderId="17" xfId="0" applyNumberFormat="1" applyFont="1" applyFill="1" applyBorder="1"/>
    <x:xf numFmtId="0" fontId="17" fillId="14" borderId="15" xfId="0" applyNumberFormat="1" applyFont="1" applyFill="1" applyBorder="1" applyAlignment="1">
      <x:alignment wrapText="1"/>
    </x:xf>
    <x:xf numFmtId="0" fontId="17" fillId="14" borderId="16" xfId="0" applyNumberFormat="1" applyFont="1" applyFill="1" applyBorder="1" applyAlignment="1">
      <x:alignment wrapText="1"/>
    </x:xf>
    <x:xf numFmtId="0" fontId="17" fillId="14" borderId="17" xfId="0" applyNumberFormat="1" applyFont="1" applyFill="1" applyBorder="1" applyAlignment="1">
      <x:alignment wrapText="1"/>
    </x:xf>
    <x:xf numFmtId="0" fontId="17" fillId="14" borderId="15" xfId="0" applyNumberFormat="1" applyFont="1" applyFill="1" applyBorder="1" applyAlignment="1">
      <x:alignment vertical="top" wrapText="1"/>
    </x:xf>
    <x:xf numFmtId="0" fontId="17" fillId="14" borderId="16" xfId="0" applyNumberFormat="1" applyFont="1" applyFill="1" applyBorder="1" applyAlignment="1">
      <x:alignment vertical="top" wrapText="1"/>
    </x:xf>
    <x:xf numFmtId="0" fontId="17" fillId="14" borderId="17" xfId="0" applyNumberFormat="1" applyFont="1" applyFill="1" applyBorder="1" applyAlignment="1">
      <x:alignment vertical="top" wrapText="1"/>
    </x:xf>
    <x:xf numFmtId="0" fontId="9" fillId="12" borderId="15" xfId="0" applyNumberFormat="1" applyFont="1" applyFill="1" applyBorder="1" applyAlignment="1">
      <x:alignment vertical="top" wrapText="1"/>
    </x:xf>
    <x:xf numFmtId="0" fontId="9" fillId="12" borderId="16" xfId="0" applyNumberFormat="1" applyFont="1" applyFill="1" applyBorder="1" applyAlignment="1">
      <x:alignment vertical="top" wrapText="1"/>
    </x:xf>
    <x:xf numFmtId="0" fontId="9" fillId="12" borderId="17" xfId="0" applyNumberFormat="1" applyFont="1" applyFill="1" applyBorder="1" applyAlignment="1">
      <x:alignment vertical="top" wrapText="1"/>
    </x:xf>
    <x:xf numFmtId="0" fontId="9" fillId="14" borderId="15" xfId="0" applyNumberFormat="1" applyFont="1" applyFill="1" applyBorder="1" applyAlignment="1">
      <x:alignment vertical="top" wrapText="1"/>
    </x:xf>
    <x:xf numFmtId="0" fontId="9" fillId="14" borderId="16" xfId="0" applyNumberFormat="1" applyFont="1" applyFill="1" applyBorder="1" applyAlignment="1">
      <x:alignment vertical="top" wrapText="1"/>
    </x:xf>
    <x:xf numFmtId="0" fontId="9" fillId="14" borderId="17" xfId="0" applyNumberFormat="1" applyFont="1" applyFill="1" applyBorder="1" applyAlignment="1">
      <x:alignment vertical="top" wrapText="1"/>
    </x:xf>
    <x:xf numFmtId="201" fontId="17" fillId="13" borderId="15" xfId="0" applyNumberFormat="1" applyFont="1" applyFill="1" applyBorder="1" applyAlignment="1">
      <x:alignment vertical="top" wrapText="1"/>
    </x:xf>
    <x:xf numFmtId="201" fontId="17" fillId="13" borderId="16" xfId="0" applyNumberFormat="1" applyFont="1" applyFill="1" applyBorder="1" applyAlignment="1">
      <x:alignment vertical="top" wrapText="1"/>
    </x:xf>
    <x:xf numFmtId="201" fontId="17" fillId="13" borderId="17" xfId="0" applyNumberFormat="1" applyFont="1" applyFill="1" applyBorder="1" applyAlignment="1">
      <x:alignment vertical="top" wrapText="1"/>
    </x:xf>
    <x:xf numFmtId="201" fontId="17" fillId="14" borderId="15" xfId="0" applyNumberFormat="1" applyFont="1" applyFill="1" applyBorder="1" applyAlignment="1">
      <x:alignment vertical="top" wrapText="1"/>
    </x:xf>
    <x:xf numFmtId="201" fontId="17" fillId="14" borderId="16" xfId="0" applyNumberFormat="1" applyFont="1" applyFill="1" applyBorder="1" applyAlignment="1">
      <x:alignment vertical="top" wrapText="1"/>
    </x:xf>
    <x:xf numFmtId="201" fontId="17" fillId="14" borderId="17" xfId="0" applyNumberFormat="1" applyFont="1" applyFill="1" applyBorder="1" applyAlignment="1">
      <x:alignment vertical="top" wrapText="1"/>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horizontal="left"/>
    </x:xf>
    <x:xf numFmtId="0" fontId="14" fillId="15" borderId="0" xfId="0" applyNumberFormat="1" applyFont="1" applyFill="1" applyBorder="1" applyAlignment="1">
      <x:alignment horizontal="left" vertical="center"/>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vertical="center" wrapText="1"/>
    </x:xf>
    <x:xf numFmtId="0" fontId="0" fillId="17" borderId="0" xfId="0" applyNumberFormat="1" applyFont="1" applyFill="1" applyBorder="1"/>
    <x:xf numFmtId="0" fontId="16" fillId="17" borderId="0" xfId="0" applyNumberFormat="1" applyFont="1" applyFill="1" applyBorder="1"/>
    <x:xf numFmtId="0" fontId="16" fillId="17" borderId="0" xfId="0" applyNumberFormat="1" applyFont="1" applyFill="1" applyBorder="1" applyAlignment="1">
      <x:alignment horizontal="left"/>
    </x:xf>
    <x:xf numFmtId="0" fontId="16" fillId="17" borderId="0" xfId="0" applyNumberFormat="1" applyFont="1" applyFill="1" applyBorder="1" applyAlignment="1">
      <x:alignment horizontal="left" vertical="center"/>
    </x:xf>
    <x:xf numFmtId="0" fontId="17" fillId="16" borderId="0" xfId="0" applyNumberFormat="1" applyFont="1" applyFill="1" applyBorder="1"/>
    <x:xf numFmtId="0" fontId="17" fillId="16" borderId="0" xfId="0" applyNumberFormat="1" applyFont="1" applyFill="1" applyBorder="1" applyAlignment="1">
      <x:alignment wrapText="1"/>
    </x:xf>
    <x:xf numFmtId="0" fontId="17" fillId="16" borderId="0" xfId="0" applyNumberFormat="1" applyFont="1" applyFill="1" applyBorder="1" applyAlignment="1">
      <x:alignment vertical="center" wrapText="1"/>
    </x:xf>
    <x:xf numFmtId="0" fontId="4" fillId="17" borderId="0" xfId="0" applyNumberFormat="1" applyFont="1" applyFill="1" applyBorder="1"/>
    <x:xf numFmtId="0" fontId="4" fillId="17" borderId="12" xfId="0" applyNumberFormat="1" applyFont="1" applyFill="1" applyBorder="1"/>
    <x:xf numFmtId="0" fontId="4" fillId="17" borderId="13" xfId="0" applyNumberFormat="1" applyFont="1" applyFill="1" applyBorder="1"/>
    <x:xf numFmtId="0" fontId="4" fillId="17" borderId="14" xfId="0" applyNumberFormat="1" applyFont="1" applyFill="1" applyBorder="1"/>
    <x:xf numFmtId="0" fontId="4" fillId="17" borderId="12" xfId="0" applyNumberFormat="1" applyFont="1" applyFill="1" applyBorder="1" applyAlignment="1">
      <x:alignment wrapText="1"/>
    </x:xf>
    <x:xf numFmtId="0" fontId="4" fillId="17" borderId="13" xfId="0" applyNumberFormat="1" applyFont="1" applyFill="1" applyBorder="1" applyAlignment="1">
      <x:alignment wrapText="1"/>
    </x:xf>
    <x:xf numFmtId="0" fontId="4" fillId="17" borderId="14" xfId="0" applyNumberFormat="1" applyFont="1" applyFill="1" applyBorder="1" applyAlignment="1">
      <x:alignment wrapText="1"/>
    </x:xf>
    <x:xf numFmtId="0" fontId="4" fillId="17" borderId="12" xfId="0" applyNumberFormat="1" applyFont="1" applyFill="1" applyBorder="1" applyAlignment="1">
      <x:alignment horizontal="center" wrapText="1"/>
    </x:xf>
    <x:xf numFmtId="0" fontId="4" fillId="17" borderId="13" xfId="0" applyNumberFormat="1" applyFont="1" applyFill="1" applyBorder="1" applyAlignment="1">
      <x:alignment horizontal="center" wrapText="1"/>
    </x:xf>
    <x:xf numFmtId="0" fontId="4" fillId="17" borderId="14" xfId="0" applyNumberFormat="1" applyFont="1" applyFill="1" applyBorder="1" applyAlignment="1">
      <x:alignment horizontal="center" wrapText="1"/>
    </x:xf>
    <x:xf numFmtId="0" fontId="4" fillId="17" borderId="12" xfId="0" applyNumberFormat="1" applyFont="1" applyFill="1" applyBorder="1" applyAlignment="1">
      <x:alignment horizontal="center" vertical="center" wrapText="1"/>
    </x:xf>
    <x:xf numFmtId="0" fontId="4" fillId="17" borderId="13" xfId="0" applyNumberFormat="1" applyFont="1" applyFill="1" applyBorder="1" applyAlignment="1">
      <x:alignment horizontal="center" vertical="center" wrapText="1"/>
    </x:xf>
    <x:xf numFmtId="0" fontId="4" fillId="17" borderId="14" xfId="0" applyNumberFormat="1" applyFont="1" applyFill="1" applyBorder="1" applyAlignment="1">
      <x:alignment horizontal="center" vertical="center" wrapText="1"/>
    </x:xf>
    <x:xf numFmtId="0" fontId="0" fillId="18" borderId="0" xfId="0" applyNumberFormat="1" applyFont="1" applyFill="1" applyBorder="1"/>
    <x:xf numFmtId="0" fontId="17" fillId="18" borderId="0" xfId="0" applyNumberFormat="1" applyFont="1" applyFill="1" applyBorder="1"/>
    <x:xf numFmtId="0" fontId="17" fillId="18" borderId="15" xfId="0" applyNumberFormat="1" applyFont="1" applyFill="1" applyBorder="1"/>
    <x:xf numFmtId="0" fontId="17" fillId="18" borderId="16" xfId="0" applyNumberFormat="1" applyFont="1" applyFill="1" applyBorder="1"/>
    <x:xf numFmtId="0" fontId="17" fillId="18" borderId="17" xfId="0" applyNumberFormat="1" applyFont="1" applyFill="1" applyBorder="1"/>
    <x:xf numFmtId="0" fontId="17" fillId="18" borderId="15" xfId="0" applyNumberFormat="1" applyFont="1" applyFill="1" applyBorder="1" applyAlignment="1">
      <x:alignment wrapText="1"/>
    </x:xf>
    <x:xf numFmtId="0" fontId="17" fillId="18" borderId="16" xfId="0" applyNumberFormat="1" applyFont="1" applyFill="1" applyBorder="1" applyAlignment="1">
      <x:alignment wrapText="1"/>
    </x:xf>
    <x:xf numFmtId="0" fontId="17" fillId="18" borderId="17" xfId="0" applyNumberFormat="1" applyFont="1" applyFill="1" applyBorder="1" applyAlignment="1">
      <x:alignment wrapText="1"/>
    </x:xf>
    <x:xf numFmtId="0" fontId="17" fillId="18" borderId="15" xfId="0" applyNumberFormat="1" applyFont="1" applyFill="1" applyBorder="1" applyAlignment="1">
      <x:alignment vertical="top" wrapText="1"/>
    </x:xf>
    <x:xf numFmtId="0" fontId="17" fillId="18" borderId="16" xfId="0" applyNumberFormat="1" applyFont="1" applyFill="1" applyBorder="1" applyAlignment="1">
      <x:alignment vertical="top" wrapText="1"/>
    </x:xf>
    <x:xf numFmtId="0" fontId="17" fillId="18" borderId="17" xfId="0" applyNumberFormat="1" applyFont="1" applyFill="1" applyBorder="1" applyAlignment="1">
      <x:alignment vertical="top" wrapText="1"/>
    </x:xf>
    <x:xf numFmtId="0" fontId="0" fillId="19" borderId="0" xfId="0" applyNumberFormat="1" applyFont="1" applyFill="1" applyBorder="1"/>
    <x:xf numFmtId="0" fontId="17" fillId="19" borderId="0" xfId="0" applyNumberFormat="1" applyFont="1" applyFill="1" applyBorder="1"/>
    <x:xf numFmtId="0" fontId="17" fillId="19" borderId="15" xfId="0" applyNumberFormat="1" applyFont="1" applyFill="1" applyBorder="1"/>
    <x:xf numFmtId="0" fontId="17" fillId="19" borderId="16" xfId="0" applyNumberFormat="1" applyFont="1" applyFill="1" applyBorder="1"/>
    <x:xf numFmtId="0" fontId="17" fillId="19" borderId="17" xfId="0" applyNumberFormat="1" applyFont="1" applyFill="1" applyBorder="1"/>
    <x:xf numFmtId="0" fontId="17" fillId="19" borderId="15" xfId="0" applyNumberFormat="1" applyFont="1" applyFill="1" applyBorder="1" applyAlignment="1">
      <x:alignment wrapText="1"/>
    </x:xf>
    <x:xf numFmtId="0" fontId="17" fillId="19" borderId="16" xfId="0" applyNumberFormat="1" applyFont="1" applyFill="1" applyBorder="1" applyAlignment="1">
      <x:alignment wrapText="1"/>
    </x:xf>
    <x:xf numFmtId="0" fontId="17" fillId="19" borderId="17" xfId="0" applyNumberFormat="1" applyFont="1" applyFill="1" applyBorder="1" applyAlignment="1">
      <x:alignment wrapText="1"/>
    </x:xf>
    <x:xf numFmtId="0" fontId="17" fillId="19" borderId="15" xfId="0" applyNumberFormat="1" applyFont="1" applyFill="1" applyBorder="1" applyAlignment="1">
      <x:alignment vertical="top" wrapText="1"/>
    </x:xf>
    <x:xf numFmtId="0" fontId="17" fillId="19" borderId="16" xfId="0" applyNumberFormat="1" applyFont="1" applyFill="1" applyBorder="1" applyAlignment="1">
      <x:alignment vertical="top" wrapText="1"/>
    </x:xf>
    <x:xf numFmtId="0" fontId="17" fillId="19" borderId="17" xfId="0" applyNumberFormat="1" applyFont="1" applyFill="1" applyBorder="1" applyAlignment="1">
      <x:alignment vertical="top" wrapText="1"/>
    </x:xf>
    <x:xf numFmtId="0" fontId="0" fillId="20" borderId="0" xfId="0" applyNumberFormat="1" applyFont="1" applyFill="1" applyBorder="1"/>
    <x:xf numFmtId="0" fontId="17" fillId="20" borderId="0" xfId="0" applyNumberFormat="1" applyFont="1" applyFill="1" applyBorder="1"/>
    <x:xf numFmtId="0" fontId="17" fillId="20" borderId="15" xfId="0" applyNumberFormat="1" applyFont="1" applyFill="1" applyBorder="1"/>
    <x:xf numFmtId="0" fontId="17" fillId="20" borderId="16" xfId="0" applyNumberFormat="1" applyFont="1" applyFill="1" applyBorder="1"/>
    <x:xf numFmtId="0" fontId="17" fillId="20" borderId="17" xfId="0" applyNumberFormat="1" applyFont="1" applyFill="1" applyBorder="1"/>
    <x:xf numFmtId="0" fontId="17" fillId="20" borderId="15" xfId="0" applyNumberFormat="1" applyFont="1" applyFill="1" applyBorder="1" applyAlignment="1">
      <x:alignment wrapText="1"/>
    </x:xf>
    <x:xf numFmtId="0" fontId="17" fillId="20" borderId="16" xfId="0" applyNumberFormat="1" applyFont="1" applyFill="1" applyBorder="1" applyAlignment="1">
      <x:alignment wrapText="1"/>
    </x:xf>
    <x:xf numFmtId="0" fontId="17" fillId="20" borderId="17" xfId="0" applyNumberFormat="1" applyFont="1" applyFill="1" applyBorder="1" applyAlignment="1">
      <x:alignment wrapText="1"/>
    </x:xf>
    <x:xf numFmtId="0" fontId="17" fillId="20" borderId="15" xfId="0" applyNumberFormat="1" applyFont="1" applyFill="1" applyBorder="1" applyAlignment="1">
      <x:alignment vertical="top" wrapText="1"/>
    </x:xf>
    <x:xf numFmtId="0" fontId="17" fillId="20" borderId="16" xfId="0" applyNumberFormat="1" applyFont="1" applyFill="1" applyBorder="1" applyAlignment="1">
      <x:alignment vertical="top" wrapText="1"/>
    </x:xf>
    <x:xf numFmtId="0" fontId="17" fillId="20" borderId="17" xfId="0" applyNumberFormat="1" applyFont="1" applyFill="1" applyBorder="1" applyAlignment="1">
      <x:alignment vertical="top" wrapText="1"/>
    </x:xf>
    <x:xf numFmtId="0" fontId="9" fillId="18" borderId="15" xfId="0" applyNumberFormat="1" applyFont="1" applyFill="1" applyBorder="1" applyAlignment="1">
      <x:alignment vertical="top" wrapText="1"/>
    </x:xf>
    <x:xf numFmtId="0" fontId="9" fillId="18" borderId="16" xfId="0" applyNumberFormat="1" applyFont="1" applyFill="1" applyBorder="1" applyAlignment="1">
      <x:alignment vertical="top" wrapText="1"/>
    </x:xf>
    <x:xf numFmtId="0" fontId="9" fillId="18" borderId="17" xfId="0" applyNumberFormat="1" applyFont="1" applyFill="1" applyBorder="1" applyAlignment="1">
      <x:alignment vertical="top" wrapText="1"/>
    </x:xf>
    <x:xf numFmtId="0" fontId="9" fillId="20" borderId="15" xfId="0" applyNumberFormat="1" applyFont="1" applyFill="1" applyBorder="1" applyAlignment="1">
      <x:alignment vertical="top" wrapText="1"/>
    </x:xf>
    <x:xf numFmtId="0" fontId="9" fillId="20" borderId="16" xfId="0" applyNumberFormat="1" applyFont="1" applyFill="1" applyBorder="1" applyAlignment="1">
      <x:alignment vertical="top" wrapText="1"/>
    </x:xf>
    <x:xf numFmtId="0" fontId="9" fillId="20" borderId="17" xfId="0" applyNumberFormat="1" applyFont="1" applyFill="1" applyBorder="1" applyAlignment="1">
      <x:alignment vertical="top" wrapText="1"/>
    </x:xf>
    <x:xf numFmtId="201" fontId="17" fillId="19" borderId="15" xfId="0" applyNumberFormat="1" applyFont="1" applyFill="1" applyBorder="1" applyAlignment="1">
      <x:alignment vertical="top" wrapText="1"/>
    </x:xf>
    <x:xf numFmtId="201" fontId="17" fillId="19" borderId="16" xfId="0" applyNumberFormat="1" applyFont="1" applyFill="1" applyBorder="1" applyAlignment="1">
      <x:alignment vertical="top" wrapText="1"/>
    </x:xf>
    <x:xf numFmtId="201" fontId="17" fillId="19" borderId="17" xfId="0" applyNumberFormat="1" applyFont="1" applyFill="1" applyBorder="1" applyAlignment="1">
      <x:alignment vertical="top" wrapText="1"/>
    </x:xf>
    <x:xf numFmtId="201" fontId="17" fillId="20" borderId="15" xfId="0" applyNumberFormat="1" applyFont="1" applyFill="1" applyBorder="1" applyAlignment="1">
      <x:alignment vertical="top" wrapText="1"/>
    </x:xf>
    <x:xf numFmtId="201" fontId="17" fillId="20" borderId="16" xfId="0" applyNumberFormat="1" applyFont="1" applyFill="1" applyBorder="1" applyAlignment="1">
      <x:alignment vertical="top" wrapText="1"/>
    </x:xf>
    <x:xf numFmtId="201" fontId="17" fillId="20" borderId="17" xfId="0" applyNumberFormat="1" applyFont="1" applyFill="1" applyBorder="1" applyAlignment="1">
      <x:alignment vertical="top" wrapText="1"/>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horizontal="left"/>
    </x:xf>
    <x:xf numFmtId="0" fontId="14" fillId="21" borderId="0" xfId="0" applyNumberFormat="1" applyFont="1" applyFill="1" applyBorder="1" applyAlignment="1">
      <x:alignment horizontal="left" vertical="center"/>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wrapText="1"/>
    </x:xf>
    <x:xf numFmtId="0" fontId="15" fillId="22" borderId="0" xfId="0" applyNumberFormat="1" applyFont="1" applyFill="1" applyBorder="1" applyAlignment="1">
      <x:alignment vertical="center" wrapText="1"/>
    </x:xf>
    <x:xf numFmtId="0" fontId="0" fillId="23" borderId="0" xfId="0" applyNumberFormat="1" applyFont="1" applyFill="1" applyBorder="1"/>
    <x:xf numFmtId="0" fontId="16" fillId="23" borderId="0" xfId="0" applyNumberFormat="1" applyFont="1" applyFill="1" applyBorder="1"/>
    <x:xf numFmtId="0" fontId="16" fillId="23" borderId="0" xfId="0" applyNumberFormat="1" applyFont="1" applyFill="1" applyBorder="1" applyAlignment="1">
      <x:alignment horizontal="left"/>
    </x:xf>
    <x:xf numFmtId="0" fontId="16" fillId="23" borderId="0" xfId="0" applyNumberFormat="1" applyFont="1" applyFill="1" applyBorder="1" applyAlignment="1">
      <x:alignment horizontal="left" vertical="center"/>
    </x:xf>
    <x:xf numFmtId="0" fontId="17" fillId="22" borderId="0" xfId="0" applyNumberFormat="1" applyFont="1" applyFill="1" applyBorder="1"/>
    <x:xf numFmtId="0" fontId="17" fillId="22" borderId="0" xfId="0" applyNumberFormat="1" applyFont="1" applyFill="1" applyBorder="1" applyAlignment="1">
      <x:alignment wrapText="1"/>
    </x:xf>
    <x:xf numFmtId="0" fontId="17" fillId="22" borderId="0" xfId="0" applyNumberFormat="1" applyFont="1" applyFill="1" applyBorder="1" applyAlignment="1">
      <x:alignment vertical="center" wrapText="1"/>
    </x:xf>
    <x:xf numFmtId="0" fontId="4" fillId="23" borderId="0" xfId="0" applyNumberFormat="1" applyFont="1" applyFill="1" applyBorder="1"/>
    <x:xf numFmtId="0" fontId="4" fillId="23" borderId="12" xfId="0" applyNumberFormat="1" applyFont="1" applyFill="1" applyBorder="1"/>
    <x:xf numFmtId="0" fontId="4" fillId="23" borderId="13" xfId="0" applyNumberFormat="1" applyFont="1" applyFill="1" applyBorder="1"/>
    <x:xf numFmtId="0" fontId="4" fillId="23" borderId="14" xfId="0" applyNumberFormat="1" applyFont="1" applyFill="1" applyBorder="1"/>
    <x:xf numFmtId="0" fontId="4" fillId="23" borderId="12" xfId="0" applyNumberFormat="1" applyFont="1" applyFill="1" applyBorder="1" applyAlignment="1">
      <x:alignment wrapText="1"/>
    </x:xf>
    <x:xf numFmtId="0" fontId="4" fillId="23" borderId="13" xfId="0" applyNumberFormat="1" applyFont="1" applyFill="1" applyBorder="1" applyAlignment="1">
      <x:alignment wrapText="1"/>
    </x:xf>
    <x:xf numFmtId="0" fontId="4" fillId="23" borderId="14" xfId="0" applyNumberFormat="1" applyFont="1" applyFill="1" applyBorder="1" applyAlignment="1">
      <x:alignment wrapText="1"/>
    </x:xf>
    <x:xf numFmtId="0" fontId="4" fillId="23" borderId="12" xfId="0" applyNumberFormat="1" applyFont="1" applyFill="1" applyBorder="1" applyAlignment="1">
      <x:alignment horizontal="center" wrapText="1"/>
    </x:xf>
    <x:xf numFmtId="0" fontId="4" fillId="23" borderId="13" xfId="0" applyNumberFormat="1" applyFont="1" applyFill="1" applyBorder="1" applyAlignment="1">
      <x:alignment horizontal="center" wrapText="1"/>
    </x:xf>
    <x:xf numFmtId="0" fontId="4" fillId="23" borderId="14" xfId="0" applyNumberFormat="1" applyFont="1" applyFill="1" applyBorder="1" applyAlignment="1">
      <x:alignment horizontal="center" wrapText="1"/>
    </x:xf>
    <x:xf numFmtId="0" fontId="4" fillId="23" borderId="12" xfId="0" applyNumberFormat="1" applyFont="1" applyFill="1" applyBorder="1" applyAlignment="1">
      <x:alignment horizontal="center" vertical="center" wrapText="1"/>
    </x:xf>
    <x:xf numFmtId="0" fontId="4" fillId="23" borderId="13" xfId="0" applyNumberFormat="1" applyFont="1" applyFill="1" applyBorder="1" applyAlignment="1">
      <x:alignment horizontal="center" vertical="center" wrapText="1"/>
    </x:xf>
    <x:xf numFmtId="0" fontId="4" fillId="23" borderId="14" xfId="0" applyNumberFormat="1" applyFont="1" applyFill="1" applyBorder="1" applyAlignment="1">
      <x:alignment horizontal="center" vertical="center" wrapText="1"/>
    </x:xf>
    <x:xf numFmtId="0" fontId="0" fillId="24" borderId="0" xfId="0" applyNumberFormat="1" applyFont="1" applyFill="1" applyBorder="1"/>
    <x:xf numFmtId="0" fontId="17" fillId="24" borderId="0" xfId="0" applyNumberFormat="1" applyFont="1" applyFill="1" applyBorder="1"/>
    <x:xf numFmtId="0" fontId="17" fillId="24" borderId="15" xfId="0" applyNumberFormat="1" applyFont="1" applyFill="1" applyBorder="1"/>
    <x:xf numFmtId="0" fontId="17" fillId="24" borderId="16" xfId="0" applyNumberFormat="1" applyFont="1" applyFill="1" applyBorder="1"/>
    <x:xf numFmtId="0" fontId="17" fillId="24" borderId="17" xfId="0" applyNumberFormat="1" applyFont="1" applyFill="1" applyBorder="1"/>
    <x:xf numFmtId="0" fontId="17" fillId="24" borderId="15" xfId="0" applyNumberFormat="1" applyFont="1" applyFill="1" applyBorder="1" applyAlignment="1">
      <x:alignment wrapText="1"/>
    </x:xf>
    <x:xf numFmtId="0" fontId="17" fillId="24" borderId="16" xfId="0" applyNumberFormat="1" applyFont="1" applyFill="1" applyBorder="1" applyAlignment="1">
      <x:alignment wrapText="1"/>
    </x:xf>
    <x:xf numFmtId="0" fontId="17" fillId="24" borderId="17" xfId="0" applyNumberFormat="1" applyFont="1" applyFill="1" applyBorder="1" applyAlignment="1">
      <x:alignment wrapText="1"/>
    </x:xf>
    <x:xf numFmtId="0" fontId="17" fillId="24" borderId="15" xfId="0" applyNumberFormat="1" applyFont="1" applyFill="1" applyBorder="1" applyAlignment="1">
      <x:alignment vertical="top" wrapText="1"/>
    </x:xf>
    <x:xf numFmtId="0" fontId="17" fillId="24" borderId="16" xfId="0" applyNumberFormat="1" applyFont="1" applyFill="1" applyBorder="1" applyAlignment="1">
      <x:alignment vertical="top" wrapText="1"/>
    </x:xf>
    <x:xf numFmtId="0" fontId="17" fillId="24" borderId="17" xfId="0" applyNumberFormat="1" applyFont="1" applyFill="1" applyBorder="1" applyAlignment="1">
      <x:alignment vertical="top" wrapText="1"/>
    </x:xf>
    <x:xf numFmtId="0" fontId="0" fillId="25" borderId="0" xfId="0" applyNumberFormat="1" applyFont="1" applyFill="1" applyBorder="1"/>
    <x:xf numFmtId="0" fontId="17" fillId="25" borderId="0" xfId="0" applyNumberFormat="1" applyFont="1" applyFill="1" applyBorder="1"/>
    <x:xf numFmtId="0" fontId="17" fillId="25" borderId="15" xfId="0" applyNumberFormat="1" applyFont="1" applyFill="1" applyBorder="1"/>
    <x:xf numFmtId="0" fontId="17" fillId="25" borderId="16" xfId="0" applyNumberFormat="1" applyFont="1" applyFill="1" applyBorder="1"/>
    <x:xf numFmtId="0" fontId="17" fillId="25" borderId="17" xfId="0" applyNumberFormat="1" applyFont="1" applyFill="1" applyBorder="1"/>
    <x:xf numFmtId="0" fontId="17" fillId="25" borderId="15" xfId="0" applyNumberFormat="1" applyFont="1" applyFill="1" applyBorder="1" applyAlignment="1">
      <x:alignment wrapText="1"/>
    </x:xf>
    <x:xf numFmtId="0" fontId="17" fillId="25" borderId="16" xfId="0" applyNumberFormat="1" applyFont="1" applyFill="1" applyBorder="1" applyAlignment="1">
      <x:alignment wrapText="1"/>
    </x:xf>
    <x:xf numFmtId="0" fontId="17" fillId="25" borderId="17" xfId="0" applyNumberFormat="1" applyFont="1" applyFill="1" applyBorder="1" applyAlignment="1">
      <x:alignment wrapText="1"/>
    </x:xf>
    <x:xf numFmtId="0" fontId="17" fillId="25" borderId="15" xfId="0" applyNumberFormat="1" applyFont="1" applyFill="1" applyBorder="1" applyAlignment="1">
      <x:alignment vertical="top" wrapText="1"/>
    </x:xf>
    <x:xf numFmtId="0" fontId="17" fillId="25" borderId="16" xfId="0" applyNumberFormat="1" applyFont="1" applyFill="1" applyBorder="1" applyAlignment="1">
      <x:alignment vertical="top" wrapText="1"/>
    </x:xf>
    <x:xf numFmtId="0" fontId="17" fillId="25" borderId="17" xfId="0" applyNumberFormat="1" applyFont="1" applyFill="1" applyBorder="1" applyAlignment="1">
      <x:alignment vertical="top" wrapText="1"/>
    </x:xf>
    <x:xf numFmtId="0" fontId="0" fillId="26" borderId="0" xfId="0" applyNumberFormat="1" applyFont="1" applyFill="1" applyBorder="1"/>
    <x:xf numFmtId="0" fontId="17" fillId="26" borderId="0" xfId="0" applyNumberFormat="1" applyFont="1" applyFill="1" applyBorder="1"/>
    <x:xf numFmtId="0" fontId="17" fillId="26" borderId="15" xfId="0" applyNumberFormat="1" applyFont="1" applyFill="1" applyBorder="1"/>
    <x:xf numFmtId="0" fontId="17" fillId="26" borderId="16" xfId="0" applyNumberFormat="1" applyFont="1" applyFill="1" applyBorder="1"/>
    <x:xf numFmtId="0" fontId="17" fillId="26" borderId="17" xfId="0" applyNumberFormat="1" applyFont="1" applyFill="1" applyBorder="1"/>
    <x:xf numFmtId="0" fontId="17" fillId="26" borderId="15" xfId="0" applyNumberFormat="1" applyFont="1" applyFill="1" applyBorder="1" applyAlignment="1">
      <x:alignment wrapText="1"/>
    </x:xf>
    <x:xf numFmtId="0" fontId="17" fillId="26" borderId="16" xfId="0" applyNumberFormat="1" applyFont="1" applyFill="1" applyBorder="1" applyAlignment="1">
      <x:alignment wrapText="1"/>
    </x:xf>
    <x:xf numFmtId="0" fontId="17" fillId="26" borderId="17" xfId="0" applyNumberFormat="1" applyFont="1" applyFill="1" applyBorder="1" applyAlignment="1">
      <x:alignment wrapText="1"/>
    </x:xf>
    <x:xf numFmtId="0" fontId="17" fillId="26" borderId="15" xfId="0" applyNumberFormat="1" applyFont="1" applyFill="1" applyBorder="1" applyAlignment="1">
      <x:alignment vertical="top" wrapText="1"/>
    </x:xf>
    <x:xf numFmtId="0" fontId="17" fillId="26" borderId="16" xfId="0" applyNumberFormat="1" applyFont="1" applyFill="1" applyBorder="1" applyAlignment="1">
      <x:alignment vertical="top" wrapText="1"/>
    </x:xf>
    <x:xf numFmtId="0" fontId="17" fillId="26" borderId="17" xfId="0" applyNumberFormat="1" applyFont="1" applyFill="1" applyBorder="1" applyAlignment="1">
      <x:alignment vertical="top" wrapText="1"/>
    </x:xf>
    <x:xf numFmtId="0" fontId="9" fillId="24" borderId="15" xfId="0" applyNumberFormat="1" applyFont="1" applyFill="1" applyBorder="1" applyAlignment="1">
      <x:alignment vertical="top" wrapText="1"/>
    </x:xf>
    <x:xf numFmtId="0" fontId="9" fillId="24" borderId="16" xfId="0" applyNumberFormat="1" applyFont="1" applyFill="1" applyBorder="1" applyAlignment="1">
      <x:alignment vertical="top" wrapText="1"/>
    </x:xf>
    <x:xf numFmtId="0" fontId="9" fillId="24" borderId="17" xfId="0" applyNumberFormat="1" applyFont="1" applyFill="1" applyBorder="1" applyAlignment="1">
      <x:alignment vertical="top" wrapText="1"/>
    </x:xf>
    <x:xf numFmtId="0" fontId="9" fillId="26" borderId="15" xfId="0" applyNumberFormat="1" applyFont="1" applyFill="1" applyBorder="1" applyAlignment="1">
      <x:alignment vertical="top" wrapText="1"/>
    </x:xf>
    <x:xf numFmtId="0" fontId="9" fillId="26" borderId="16" xfId="0" applyNumberFormat="1" applyFont="1" applyFill="1" applyBorder="1" applyAlignment="1">
      <x:alignment vertical="top" wrapText="1"/>
    </x:xf>
    <x:xf numFmtId="0" fontId="9" fillId="26" borderId="17" xfId="0" applyNumberFormat="1" applyFont="1" applyFill="1" applyBorder="1" applyAlignment="1">
      <x:alignment vertical="top" wrapText="1"/>
    </x:xf>
    <x:xf numFmtId="201" fontId="17" fillId="25" borderId="15" xfId="0" applyNumberFormat="1" applyFont="1" applyFill="1" applyBorder="1" applyAlignment="1">
      <x:alignment vertical="top" wrapText="1"/>
    </x:xf>
    <x:xf numFmtId="201" fontId="17" fillId="25" borderId="16" xfId="0" applyNumberFormat="1" applyFont="1" applyFill="1" applyBorder="1" applyAlignment="1">
      <x:alignment vertical="top" wrapText="1"/>
    </x:xf>
    <x:xf numFmtId="201" fontId="17" fillId="25" borderId="17" xfId="0" applyNumberFormat="1" applyFont="1" applyFill="1" applyBorder="1" applyAlignment="1">
      <x:alignment vertical="top" wrapText="1"/>
    </x:xf>
    <x:xf numFmtId="201" fontId="17" fillId="26" borderId="15" xfId="0" applyNumberFormat="1" applyFont="1" applyFill="1" applyBorder="1" applyAlignment="1">
      <x:alignment vertical="top" wrapText="1"/>
    </x:xf>
    <x:xf numFmtId="201" fontId="17" fillId="26" borderId="16" xfId="0" applyNumberFormat="1" applyFont="1" applyFill="1" applyBorder="1" applyAlignment="1">
      <x:alignment vertical="top" wrapText="1"/>
    </x:xf>
    <x:xf numFmtId="201" fontId="17" fillId="26" borderId="17" xfId="0" applyNumberFormat="1" applyFont="1" applyFill="1" applyBorder="1" applyAlignment="1">
      <x:alignment vertical="top" wrapText="1"/>
    </x:xf>
    <x:xf numFmtId="0" fontId="0" fillId="27" borderId="0" xfId="0" applyNumberFormat="1" applyFont="1" applyFill="1" applyBorder="1"/>
    <x:xf numFmtId="0" fontId="14" fillId="27" borderId="0" xfId="0" applyNumberFormat="1" applyFont="1" applyFill="1" applyBorder="1"/>
    <x:xf numFmtId="0" fontId="14" fillId="27" borderId="0" xfId="0" applyNumberFormat="1" applyFont="1" applyFill="1" applyBorder="1" applyAlignment="1">
      <x:alignment horizontal="left"/>
    </x:xf>
    <x:xf numFmtId="0" fontId="14" fillId="27" borderId="0" xfId="0" applyNumberFormat="1" applyFont="1" applyFill="1" applyBorder="1" applyAlignment="1">
      <x:alignment horizontal="left" vertical="center"/>
    </x:xf>
    <x:xf numFmtId="0" fontId="0" fillId="28" borderId="0" xfId="0" applyNumberFormat="1" applyFont="1" applyFill="1" applyBorder="1"/>
    <x:xf numFmtId="0" fontId="15" fillId="28" borderId="0" xfId="0" applyNumberFormat="1" applyFont="1" applyFill="1" applyBorder="1"/>
    <x:xf numFmtId="0" fontId="15" fillId="28" borderId="0" xfId="0" applyNumberFormat="1" applyFont="1" applyFill="1" applyBorder="1" applyAlignment="1">
      <x:alignment wrapText="1"/>
    </x:xf>
    <x:xf numFmtId="0" fontId="15" fillId="28" borderId="0" xfId="0" applyNumberFormat="1" applyFont="1" applyFill="1" applyBorder="1" applyAlignment="1">
      <x:alignment vertical="center" wrapText="1"/>
    </x:xf>
    <x:xf numFmtId="0" fontId="0" fillId="29" borderId="0" xfId="0" applyNumberFormat="1" applyFont="1" applyFill="1" applyBorder="1"/>
    <x:xf numFmtId="0" fontId="16" fillId="29" borderId="0" xfId="0" applyNumberFormat="1" applyFont="1" applyFill="1" applyBorder="1"/>
    <x:xf numFmtId="0" fontId="16" fillId="29" borderId="0" xfId="0" applyNumberFormat="1" applyFont="1" applyFill="1" applyBorder="1" applyAlignment="1">
      <x:alignment horizontal="left"/>
    </x:xf>
    <x:xf numFmtId="0" fontId="16" fillId="29" borderId="0" xfId="0" applyNumberFormat="1" applyFont="1" applyFill="1" applyBorder="1" applyAlignment="1">
      <x:alignment horizontal="left" vertical="center"/>
    </x:xf>
    <x:xf numFmtId="0" fontId="17" fillId="28" borderId="0" xfId="0" applyNumberFormat="1" applyFont="1" applyFill="1" applyBorder="1"/>
    <x:xf numFmtId="0" fontId="17" fillId="28" borderId="0" xfId="0" applyNumberFormat="1" applyFont="1" applyFill="1" applyBorder="1" applyAlignment="1">
      <x:alignment wrapText="1"/>
    </x:xf>
    <x:xf numFmtId="0" fontId="17" fillId="28" borderId="0" xfId="0" applyNumberFormat="1" applyFont="1" applyFill="1" applyBorder="1" applyAlignment="1">
      <x:alignment vertical="center" wrapText="1"/>
    </x:xf>
    <x:xf numFmtId="0" fontId="4" fillId="29" borderId="0" xfId="0" applyNumberFormat="1" applyFont="1" applyFill="1" applyBorder="1"/>
    <x:xf numFmtId="0" fontId="4" fillId="29" borderId="12" xfId="0" applyNumberFormat="1" applyFont="1" applyFill="1" applyBorder="1"/>
    <x:xf numFmtId="0" fontId="4" fillId="29" borderId="13" xfId="0" applyNumberFormat="1" applyFont="1" applyFill="1" applyBorder="1"/>
    <x:xf numFmtId="0" fontId="4" fillId="29" borderId="14" xfId="0" applyNumberFormat="1" applyFont="1" applyFill="1" applyBorder="1"/>
    <x:xf numFmtId="0" fontId="4" fillId="29" borderId="12" xfId="0" applyNumberFormat="1" applyFont="1" applyFill="1" applyBorder="1" applyAlignment="1">
      <x:alignment wrapText="1"/>
    </x:xf>
    <x:xf numFmtId="0" fontId="4" fillId="29" borderId="13" xfId="0" applyNumberFormat="1" applyFont="1" applyFill="1" applyBorder="1" applyAlignment="1">
      <x:alignment wrapText="1"/>
    </x:xf>
    <x:xf numFmtId="0" fontId="4" fillId="29" borderId="14" xfId="0" applyNumberFormat="1" applyFont="1" applyFill="1" applyBorder="1" applyAlignment="1">
      <x:alignment wrapText="1"/>
    </x:xf>
    <x:xf numFmtId="0" fontId="4" fillId="29" borderId="12" xfId="0" applyNumberFormat="1" applyFont="1" applyFill="1" applyBorder="1" applyAlignment="1">
      <x:alignment horizontal="center" wrapText="1"/>
    </x:xf>
    <x:xf numFmtId="0" fontId="4" fillId="29" borderId="13" xfId="0" applyNumberFormat="1" applyFont="1" applyFill="1" applyBorder="1" applyAlignment="1">
      <x:alignment horizontal="center" wrapText="1"/>
    </x:xf>
    <x:xf numFmtId="0" fontId="4" fillId="29" borderId="14" xfId="0" applyNumberFormat="1" applyFont="1" applyFill="1" applyBorder="1" applyAlignment="1">
      <x:alignment horizontal="center" wrapText="1"/>
    </x:xf>
    <x:xf numFmtId="0" fontId="4" fillId="29" borderId="12" xfId="0" applyNumberFormat="1" applyFont="1" applyFill="1" applyBorder="1" applyAlignment="1">
      <x:alignment horizontal="center" vertical="center" wrapText="1"/>
    </x:xf>
    <x:xf numFmtId="0" fontId="4" fillId="29" borderId="13" xfId="0" applyNumberFormat="1" applyFont="1" applyFill="1" applyBorder="1" applyAlignment="1">
      <x:alignment horizontal="center" vertical="center" wrapText="1"/>
    </x:xf>
    <x:xf numFmtId="0" fontId="4" fillId="29" borderId="14" xfId="0" applyNumberFormat="1" applyFont="1" applyFill="1" applyBorder="1" applyAlignment="1">
      <x:alignment horizontal="center" vertical="center" wrapText="1"/>
    </x:xf>
    <x:xf numFmtId="0" fontId="0" fillId="30" borderId="0" xfId="0" applyNumberFormat="1" applyFont="1" applyFill="1" applyBorder="1"/>
    <x:xf numFmtId="0" fontId="17" fillId="30" borderId="0" xfId="0" applyNumberFormat="1" applyFont="1" applyFill="1" applyBorder="1"/>
    <x:xf numFmtId="0" fontId="17" fillId="30" borderId="15" xfId="0" applyNumberFormat="1" applyFont="1" applyFill="1" applyBorder="1"/>
    <x:xf numFmtId="0" fontId="17" fillId="30" borderId="16" xfId="0" applyNumberFormat="1" applyFont="1" applyFill="1" applyBorder="1"/>
    <x:xf numFmtId="0" fontId="17" fillId="30" borderId="17" xfId="0" applyNumberFormat="1" applyFont="1" applyFill="1" applyBorder="1"/>
    <x:xf numFmtId="0" fontId="17" fillId="30" borderId="15" xfId="0" applyNumberFormat="1" applyFont="1" applyFill="1" applyBorder="1" applyAlignment="1">
      <x:alignment wrapText="1"/>
    </x:xf>
    <x:xf numFmtId="0" fontId="17" fillId="30" borderId="16" xfId="0" applyNumberFormat="1" applyFont="1" applyFill="1" applyBorder="1" applyAlignment="1">
      <x:alignment wrapText="1"/>
    </x:xf>
    <x:xf numFmtId="0" fontId="17" fillId="30" borderId="17" xfId="0" applyNumberFormat="1" applyFont="1" applyFill="1" applyBorder="1" applyAlignment="1">
      <x:alignment wrapText="1"/>
    </x:xf>
    <x:xf numFmtId="0" fontId="17" fillId="30" borderId="15" xfId="0" applyNumberFormat="1" applyFont="1" applyFill="1" applyBorder="1" applyAlignment="1">
      <x:alignment vertical="top" wrapText="1"/>
    </x:xf>
    <x:xf numFmtId="0" fontId="17" fillId="30" borderId="16" xfId="0" applyNumberFormat="1" applyFont="1" applyFill="1" applyBorder="1" applyAlignment="1">
      <x:alignment vertical="top" wrapText="1"/>
    </x:xf>
    <x:xf numFmtId="0" fontId="17" fillId="30" borderId="17" xfId="0" applyNumberFormat="1" applyFont="1" applyFill="1" applyBorder="1" applyAlignment="1">
      <x:alignment vertical="top" wrapText="1"/>
    </x:xf>
    <x:xf numFmtId="0" fontId="0" fillId="31" borderId="0" xfId="0" applyNumberFormat="1" applyFont="1" applyFill="1" applyBorder="1"/>
    <x:xf numFmtId="0" fontId="17" fillId="31" borderId="0" xfId="0" applyNumberFormat="1" applyFont="1" applyFill="1" applyBorder="1"/>
    <x:xf numFmtId="0" fontId="17" fillId="31" borderId="15" xfId="0" applyNumberFormat="1" applyFont="1" applyFill="1" applyBorder="1"/>
    <x:xf numFmtId="0" fontId="17" fillId="31" borderId="16" xfId="0" applyNumberFormat="1" applyFont="1" applyFill="1" applyBorder="1"/>
    <x:xf numFmtId="0" fontId="17" fillId="31" borderId="17" xfId="0" applyNumberFormat="1" applyFont="1" applyFill="1" applyBorder="1"/>
    <x:xf numFmtId="0" fontId="17" fillId="31" borderId="15" xfId="0" applyNumberFormat="1" applyFont="1" applyFill="1" applyBorder="1" applyAlignment="1">
      <x:alignment wrapText="1"/>
    </x:xf>
    <x:xf numFmtId="0" fontId="17" fillId="31" borderId="16" xfId="0" applyNumberFormat="1" applyFont="1" applyFill="1" applyBorder="1" applyAlignment="1">
      <x:alignment wrapText="1"/>
    </x:xf>
    <x:xf numFmtId="0" fontId="17" fillId="31" borderId="17" xfId="0" applyNumberFormat="1" applyFont="1" applyFill="1" applyBorder="1" applyAlignment="1">
      <x:alignment wrapText="1"/>
    </x:xf>
    <x:xf numFmtId="0" fontId="17" fillId="31" borderId="15" xfId="0" applyNumberFormat="1" applyFont="1" applyFill="1" applyBorder="1" applyAlignment="1">
      <x:alignment vertical="top" wrapText="1"/>
    </x:xf>
    <x:xf numFmtId="0" fontId="17" fillId="31" borderId="16" xfId="0" applyNumberFormat="1" applyFont="1" applyFill="1" applyBorder="1" applyAlignment="1">
      <x:alignment vertical="top" wrapText="1"/>
    </x:xf>
    <x:xf numFmtId="0" fontId="17" fillId="31" borderId="17" xfId="0" applyNumberFormat="1" applyFont="1" applyFill="1" applyBorder="1" applyAlignment="1">
      <x:alignment vertical="top" wrapText="1"/>
    </x:xf>
    <x:xf numFmtId="0" fontId="0" fillId="32" borderId="0" xfId="0" applyNumberFormat="1" applyFont="1" applyFill="1" applyBorder="1"/>
    <x:xf numFmtId="0" fontId="17" fillId="32" borderId="0" xfId="0" applyNumberFormat="1" applyFont="1" applyFill="1" applyBorder="1"/>
    <x:xf numFmtId="0" fontId="17" fillId="32" borderId="15" xfId="0" applyNumberFormat="1" applyFont="1" applyFill="1" applyBorder="1"/>
    <x:xf numFmtId="0" fontId="17" fillId="32" borderId="16" xfId="0" applyNumberFormat="1" applyFont="1" applyFill="1" applyBorder="1"/>
    <x:xf numFmtId="0" fontId="17" fillId="32" borderId="17" xfId="0" applyNumberFormat="1" applyFont="1" applyFill="1" applyBorder="1"/>
    <x:xf numFmtId="0" fontId="17" fillId="32" borderId="15" xfId="0" applyNumberFormat="1" applyFont="1" applyFill="1" applyBorder="1" applyAlignment="1">
      <x:alignment wrapText="1"/>
    </x:xf>
    <x:xf numFmtId="0" fontId="17" fillId="32" borderId="16" xfId="0" applyNumberFormat="1" applyFont="1" applyFill="1" applyBorder="1" applyAlignment="1">
      <x:alignment wrapText="1"/>
    </x:xf>
    <x:xf numFmtId="0" fontId="17" fillId="32" borderId="17" xfId="0" applyNumberFormat="1" applyFont="1" applyFill="1" applyBorder="1" applyAlignment="1">
      <x:alignment wrapText="1"/>
    </x:xf>
    <x:xf numFmtId="0" fontId="17" fillId="32" borderId="15" xfId="0" applyNumberFormat="1" applyFont="1" applyFill="1" applyBorder="1" applyAlignment="1">
      <x:alignment vertical="top" wrapText="1"/>
    </x:xf>
    <x:xf numFmtId="0" fontId="17" fillId="32" borderId="16" xfId="0" applyNumberFormat="1" applyFont="1" applyFill="1" applyBorder="1" applyAlignment="1">
      <x:alignment vertical="top" wrapText="1"/>
    </x:xf>
    <x:xf numFmtId="0" fontId="17" fillId="32" borderId="17" xfId="0" applyNumberFormat="1" applyFont="1" applyFill="1" applyBorder="1" applyAlignment="1">
      <x:alignment vertical="top" wrapText="1"/>
    </x:xf>
    <x:xf numFmtId="0" fontId="9" fillId="30" borderId="15" xfId="0" applyNumberFormat="1" applyFont="1" applyFill="1" applyBorder="1" applyAlignment="1">
      <x:alignment vertical="top" wrapText="1"/>
    </x:xf>
    <x:xf numFmtId="0" fontId="9" fillId="30" borderId="16" xfId="0" applyNumberFormat="1" applyFont="1" applyFill="1" applyBorder="1" applyAlignment="1">
      <x:alignment vertical="top" wrapText="1"/>
    </x:xf>
    <x:xf numFmtId="0" fontId="9" fillId="30" borderId="17" xfId="0" applyNumberFormat="1" applyFont="1" applyFill="1" applyBorder="1" applyAlignment="1">
      <x:alignment vertical="top" wrapText="1"/>
    </x:xf>
    <x:xf numFmtId="0" fontId="9" fillId="32" borderId="15" xfId="0" applyNumberFormat="1" applyFont="1" applyFill="1" applyBorder="1" applyAlignment="1">
      <x:alignment vertical="top" wrapText="1"/>
    </x:xf>
    <x:xf numFmtId="0" fontId="9" fillId="32" borderId="16" xfId="0" applyNumberFormat="1" applyFont="1" applyFill="1" applyBorder="1" applyAlignment="1">
      <x:alignment vertical="top" wrapText="1"/>
    </x:xf>
    <x:xf numFmtId="0" fontId="9" fillId="32" borderId="17" xfId="0" applyNumberFormat="1" applyFont="1" applyFill="1" applyBorder="1" applyAlignment="1">
      <x:alignment vertical="top" wrapText="1"/>
    </x:xf>
    <x:xf numFmtId="201" fontId="17" fillId="31" borderId="15" xfId="0" applyNumberFormat="1" applyFont="1" applyFill="1" applyBorder="1" applyAlignment="1">
      <x:alignment vertical="top" wrapText="1"/>
    </x:xf>
    <x:xf numFmtId="201" fontId="17" fillId="31" borderId="16" xfId="0" applyNumberFormat="1" applyFont="1" applyFill="1" applyBorder="1" applyAlignment="1">
      <x:alignment vertical="top" wrapText="1"/>
    </x:xf>
    <x:xf numFmtId="201" fontId="17" fillId="31" borderId="17" xfId="0" applyNumberFormat="1" applyFont="1" applyFill="1" applyBorder="1" applyAlignment="1">
      <x:alignment vertical="top" wrapText="1"/>
    </x:xf>
    <x:xf numFmtId="201" fontId="17" fillId="32" borderId="15" xfId="0" applyNumberFormat="1" applyFont="1" applyFill="1" applyBorder="1" applyAlignment="1">
      <x:alignment vertical="top" wrapText="1"/>
    </x:xf>
    <x:xf numFmtId="201" fontId="17" fillId="32" borderId="16" xfId="0" applyNumberFormat="1" applyFont="1" applyFill="1" applyBorder="1" applyAlignment="1">
      <x:alignment vertical="top" wrapText="1"/>
    </x:xf>
    <x:xf numFmtId="201" fontId="17" fillId="32" borderId="17" xfId="0" applyNumberFormat="1" applyFont="1" applyFill="1" applyBorder="1" applyAlignment="1">
      <x:alignment vertical="top"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horizontal="left"/>
    </x:xf>
    <x:xf numFmtId="0" fontId="14" fillId="33" borderId="0" xfId="0" applyNumberFormat="1" applyFont="1" applyFill="1" applyBorder="1" applyAlignment="1">
      <x:alignment horizontal="left" vertical="center"/>
    </x:xf>
    <x:xf numFmtId="0" fontId="0" fillId="34" borderId="0" xfId="0" applyNumberFormat="1" applyFont="1" applyFill="1" applyBorder="1"/>
    <x:xf numFmtId="0" fontId="15" fillId="34" borderId="0" xfId="0" applyNumberFormat="1" applyFont="1" applyFill="1" applyBorder="1"/>
    <x:xf numFmtId="0" fontId="15" fillId="34" borderId="0" xfId="0" applyNumberFormat="1" applyFont="1" applyFill="1" applyBorder="1" applyAlignment="1">
      <x:alignment wrapText="1"/>
    </x:xf>
    <x:xf numFmtId="0" fontId="15" fillId="34" borderId="0" xfId="0" applyNumberFormat="1" applyFont="1" applyFill="1" applyBorder="1" applyAlignment="1">
      <x:alignment vertical="center" wrapText="1"/>
    </x:xf>
    <x:xf numFmtId="0" fontId="0" fillId="35" borderId="0" xfId="0" applyNumberFormat="1" applyFont="1" applyFill="1" applyBorder="1"/>
    <x:xf numFmtId="0" fontId="16" fillId="35" borderId="0" xfId="0" applyNumberFormat="1" applyFont="1" applyFill="1" applyBorder="1"/>
    <x:xf numFmtId="0" fontId="16" fillId="35" borderId="0" xfId="0" applyNumberFormat="1" applyFont="1" applyFill="1" applyBorder="1" applyAlignment="1">
      <x:alignment horizontal="left"/>
    </x:xf>
    <x:xf numFmtId="0" fontId="16" fillId="35" borderId="0" xfId="0" applyNumberFormat="1" applyFont="1" applyFill="1" applyBorder="1" applyAlignment="1">
      <x:alignment horizontal="left" vertical="center"/>
    </x:xf>
    <x:xf numFmtId="0" fontId="17" fillId="34" borderId="0" xfId="0" applyNumberFormat="1" applyFont="1" applyFill="1" applyBorder="1"/>
    <x:xf numFmtId="0" fontId="17" fillId="34" borderId="0" xfId="0" applyNumberFormat="1" applyFont="1" applyFill="1" applyBorder="1" applyAlignment="1">
      <x:alignment wrapText="1"/>
    </x:xf>
    <x:xf numFmtId="0" fontId="17" fillId="34" borderId="0" xfId="0" applyNumberFormat="1" applyFont="1" applyFill="1" applyBorder="1" applyAlignment="1">
      <x:alignment vertical="center" wrapText="1"/>
    </x:xf>
    <x:xf numFmtId="0" fontId="4" fillId="35" borderId="0" xfId="0" applyNumberFormat="1" applyFont="1" applyFill="1" applyBorder="1"/>
    <x:xf numFmtId="0" fontId="4" fillId="35" borderId="12" xfId="0" applyNumberFormat="1" applyFont="1" applyFill="1" applyBorder="1"/>
    <x:xf numFmtId="0" fontId="4" fillId="35" borderId="13" xfId="0" applyNumberFormat="1" applyFont="1" applyFill="1" applyBorder="1"/>
    <x:xf numFmtId="0" fontId="4" fillId="35" borderId="14" xfId="0" applyNumberFormat="1" applyFont="1" applyFill="1" applyBorder="1"/>
    <x:xf numFmtId="0" fontId="4" fillId="35" borderId="12" xfId="0" applyNumberFormat="1" applyFont="1" applyFill="1" applyBorder="1" applyAlignment="1">
      <x:alignment wrapText="1"/>
    </x:xf>
    <x:xf numFmtId="0" fontId="4" fillId="35" borderId="13" xfId="0" applyNumberFormat="1" applyFont="1" applyFill="1" applyBorder="1" applyAlignment="1">
      <x:alignment wrapText="1"/>
    </x:xf>
    <x:xf numFmtId="0" fontId="4" fillId="35" borderId="14" xfId="0" applyNumberFormat="1" applyFont="1" applyFill="1" applyBorder="1" applyAlignment="1">
      <x:alignment wrapText="1"/>
    </x:xf>
    <x:xf numFmtId="0" fontId="4" fillId="35" borderId="12" xfId="0" applyNumberFormat="1" applyFont="1" applyFill="1" applyBorder="1" applyAlignment="1">
      <x:alignment horizontal="center" wrapText="1"/>
    </x:xf>
    <x:xf numFmtId="0" fontId="4" fillId="35" borderId="13" xfId="0" applyNumberFormat="1" applyFont="1" applyFill="1" applyBorder="1" applyAlignment="1">
      <x:alignment horizontal="center" wrapText="1"/>
    </x:xf>
    <x:xf numFmtId="0" fontId="4" fillId="35" borderId="14" xfId="0" applyNumberFormat="1" applyFont="1" applyFill="1" applyBorder="1" applyAlignment="1">
      <x:alignment horizontal="center" wrapText="1"/>
    </x:xf>
    <x:xf numFmtId="0" fontId="4" fillId="35" borderId="12" xfId="0" applyNumberFormat="1" applyFont="1" applyFill="1" applyBorder="1" applyAlignment="1">
      <x:alignment horizontal="center" vertical="center" wrapText="1"/>
    </x:xf>
    <x:xf numFmtId="0" fontId="4" fillId="35" borderId="13" xfId="0" applyNumberFormat="1" applyFont="1" applyFill="1" applyBorder="1" applyAlignment="1">
      <x:alignment horizontal="center" vertical="center" wrapText="1"/>
    </x:xf>
    <x:xf numFmtId="0" fontId="4" fillId="35" borderId="14" xfId="0" applyNumberFormat="1" applyFont="1" applyFill="1" applyBorder="1" applyAlignment="1">
      <x:alignment horizontal="center" vertical="center" wrapText="1"/>
    </x:xf>
    <x:xf numFmtId="0" fontId="0" fillId="36" borderId="0" xfId="0" applyNumberFormat="1" applyFont="1" applyFill="1" applyBorder="1"/>
    <x:xf numFmtId="0" fontId="17" fillId="36" borderId="0" xfId="0" applyNumberFormat="1" applyFont="1" applyFill="1" applyBorder="1"/>
    <x:xf numFmtId="0" fontId="17" fillId="36" borderId="15" xfId="0" applyNumberFormat="1" applyFont="1" applyFill="1" applyBorder="1"/>
    <x:xf numFmtId="0" fontId="17" fillId="36" borderId="16" xfId="0" applyNumberFormat="1" applyFont="1" applyFill="1" applyBorder="1"/>
    <x:xf numFmtId="0" fontId="17" fillId="36" borderId="17" xfId="0" applyNumberFormat="1" applyFont="1" applyFill="1" applyBorder="1"/>
    <x:xf numFmtId="0" fontId="17" fillId="36" borderId="15" xfId="0" applyNumberFormat="1" applyFont="1" applyFill="1" applyBorder="1" applyAlignment="1">
      <x:alignment wrapText="1"/>
    </x:xf>
    <x:xf numFmtId="0" fontId="17" fillId="36" borderId="16" xfId="0" applyNumberFormat="1" applyFont="1" applyFill="1" applyBorder="1" applyAlignment="1">
      <x:alignment wrapText="1"/>
    </x:xf>
    <x:xf numFmtId="0" fontId="17" fillId="36" borderId="17" xfId="0" applyNumberFormat="1" applyFont="1" applyFill="1" applyBorder="1" applyAlignment="1">
      <x:alignment wrapText="1"/>
    </x:xf>
    <x:xf numFmtId="0" fontId="17" fillId="36" borderId="15" xfId="0" applyNumberFormat="1" applyFont="1" applyFill="1" applyBorder="1" applyAlignment="1">
      <x:alignment vertical="top" wrapText="1"/>
    </x:xf>
    <x:xf numFmtId="0" fontId="17" fillId="36" borderId="16" xfId="0" applyNumberFormat="1" applyFont="1" applyFill="1" applyBorder="1" applyAlignment="1">
      <x:alignment vertical="top" wrapText="1"/>
    </x:xf>
    <x:xf numFmtId="0" fontId="17" fillId="36" borderId="17" xfId="0" applyNumberFormat="1" applyFont="1" applyFill="1" applyBorder="1" applyAlignment="1">
      <x:alignment vertical="top" wrapText="1"/>
    </x:xf>
    <x:xf numFmtId="0" fontId="0" fillId="37" borderId="0" xfId="0" applyNumberFormat="1" applyFont="1" applyFill="1" applyBorder="1"/>
    <x:xf numFmtId="0" fontId="17" fillId="37" borderId="0" xfId="0" applyNumberFormat="1" applyFont="1" applyFill="1" applyBorder="1"/>
    <x:xf numFmtId="0" fontId="17" fillId="37" borderId="15" xfId="0" applyNumberFormat="1" applyFont="1" applyFill="1" applyBorder="1"/>
    <x:xf numFmtId="0" fontId="17" fillId="37" borderId="16" xfId="0" applyNumberFormat="1" applyFont="1" applyFill="1" applyBorder="1"/>
    <x:xf numFmtId="0" fontId="17" fillId="37" borderId="17" xfId="0" applyNumberFormat="1" applyFont="1" applyFill="1" applyBorder="1"/>
    <x:xf numFmtId="0" fontId="17" fillId="37" borderId="15" xfId="0" applyNumberFormat="1" applyFont="1" applyFill="1" applyBorder="1" applyAlignment="1">
      <x:alignment wrapText="1"/>
    </x:xf>
    <x:xf numFmtId="0" fontId="17" fillId="37" borderId="16" xfId="0" applyNumberFormat="1" applyFont="1" applyFill="1" applyBorder="1" applyAlignment="1">
      <x:alignment wrapText="1"/>
    </x:xf>
    <x:xf numFmtId="0" fontId="17" fillId="37" borderId="17" xfId="0" applyNumberFormat="1" applyFont="1" applyFill="1" applyBorder="1" applyAlignment="1">
      <x:alignment wrapText="1"/>
    </x:xf>
    <x:xf numFmtId="0" fontId="17" fillId="37" borderId="15" xfId="0" applyNumberFormat="1" applyFont="1" applyFill="1" applyBorder="1" applyAlignment="1">
      <x:alignment vertical="top" wrapText="1"/>
    </x:xf>
    <x:xf numFmtId="0" fontId="17" fillId="37" borderId="16" xfId="0" applyNumberFormat="1" applyFont="1" applyFill="1" applyBorder="1" applyAlignment="1">
      <x:alignment vertical="top" wrapText="1"/>
    </x:xf>
    <x:xf numFmtId="0" fontId="17" fillId="37" borderId="17" xfId="0" applyNumberFormat="1" applyFont="1" applyFill="1" applyBorder="1" applyAlignment="1">
      <x:alignment vertical="top" wrapText="1"/>
    </x:xf>
    <x:xf numFmtId="0" fontId="0" fillId="38" borderId="0" xfId="0" applyNumberFormat="1" applyFont="1" applyFill="1" applyBorder="1"/>
    <x:xf numFmtId="0" fontId="17" fillId="38" borderId="0" xfId="0" applyNumberFormat="1" applyFont="1" applyFill="1" applyBorder="1"/>
    <x:xf numFmtId="0" fontId="17" fillId="38" borderId="15" xfId="0" applyNumberFormat="1" applyFont="1" applyFill="1" applyBorder="1"/>
    <x:xf numFmtId="0" fontId="17" fillId="38" borderId="16" xfId="0" applyNumberFormat="1" applyFont="1" applyFill="1" applyBorder="1"/>
    <x:xf numFmtId="0" fontId="17" fillId="38" borderId="17" xfId="0" applyNumberFormat="1" applyFont="1" applyFill="1" applyBorder="1"/>
    <x:xf numFmtId="0" fontId="17" fillId="38" borderId="15" xfId="0" applyNumberFormat="1" applyFont="1" applyFill="1" applyBorder="1" applyAlignment="1">
      <x:alignment wrapText="1"/>
    </x:xf>
    <x:xf numFmtId="0" fontId="17" fillId="38" borderId="16" xfId="0" applyNumberFormat="1" applyFont="1" applyFill="1" applyBorder="1" applyAlignment="1">
      <x:alignment wrapText="1"/>
    </x:xf>
    <x:xf numFmtId="0" fontId="17" fillId="38" borderId="17" xfId="0" applyNumberFormat="1" applyFont="1" applyFill="1" applyBorder="1" applyAlignment="1">
      <x:alignment wrapText="1"/>
    </x:xf>
    <x:xf numFmtId="0" fontId="17" fillId="38" borderId="15" xfId="0" applyNumberFormat="1" applyFont="1" applyFill="1" applyBorder="1" applyAlignment="1">
      <x:alignment vertical="top" wrapText="1"/>
    </x:xf>
    <x:xf numFmtId="0" fontId="17" fillId="38" borderId="16" xfId="0" applyNumberFormat="1" applyFont="1" applyFill="1" applyBorder="1" applyAlignment="1">
      <x:alignment vertical="top" wrapText="1"/>
    </x:xf>
    <x:xf numFmtId="0" fontId="17" fillId="38" borderId="17" xfId="0" applyNumberFormat="1" applyFont="1" applyFill="1" applyBorder="1" applyAlignment="1">
      <x:alignment vertical="top" wrapText="1"/>
    </x:xf>
    <x:xf numFmtId="0" fontId="9" fillId="36" borderId="15" xfId="0" applyNumberFormat="1" applyFont="1" applyFill="1" applyBorder="1" applyAlignment="1">
      <x:alignment vertical="top" wrapText="1"/>
    </x:xf>
    <x:xf numFmtId="0" fontId="9" fillId="36" borderId="16" xfId="0" applyNumberFormat="1" applyFont="1" applyFill="1" applyBorder="1" applyAlignment="1">
      <x:alignment vertical="top" wrapText="1"/>
    </x:xf>
    <x:xf numFmtId="0" fontId="9" fillId="36" borderId="17" xfId="0" applyNumberFormat="1" applyFont="1" applyFill="1" applyBorder="1" applyAlignment="1">
      <x:alignment vertical="top" wrapText="1"/>
    </x:xf>
    <x:xf numFmtId="0" fontId="9" fillId="38" borderId="15" xfId="0" applyNumberFormat="1" applyFont="1" applyFill="1" applyBorder="1" applyAlignment="1">
      <x:alignment vertical="top" wrapText="1"/>
    </x:xf>
    <x:xf numFmtId="0" fontId="9" fillId="38" borderId="16" xfId="0" applyNumberFormat="1" applyFont="1" applyFill="1" applyBorder="1" applyAlignment="1">
      <x:alignment vertical="top" wrapText="1"/>
    </x:xf>
    <x:xf numFmtId="0" fontId="9" fillId="38" borderId="17" xfId="0" applyNumberFormat="1" applyFont="1" applyFill="1" applyBorder="1" applyAlignment="1">
      <x:alignment vertical="top" wrapText="1"/>
    </x:xf>
    <x:xf numFmtId="201" fontId="17" fillId="37" borderId="15" xfId="0" applyNumberFormat="1" applyFont="1" applyFill="1" applyBorder="1" applyAlignment="1">
      <x:alignment vertical="top" wrapText="1"/>
    </x:xf>
    <x:xf numFmtId="201" fontId="17" fillId="37" borderId="16" xfId="0" applyNumberFormat="1" applyFont="1" applyFill="1" applyBorder="1" applyAlignment="1">
      <x:alignment vertical="top" wrapText="1"/>
    </x:xf>
    <x:xf numFmtId="201" fontId="17" fillId="37" borderId="17" xfId="0" applyNumberFormat="1" applyFont="1" applyFill="1" applyBorder="1" applyAlignment="1">
      <x:alignment vertical="top" wrapText="1"/>
    </x:xf>
    <x:xf numFmtId="201" fontId="17" fillId="38" borderId="15" xfId="0" applyNumberFormat="1" applyFont="1" applyFill="1" applyBorder="1" applyAlignment="1">
      <x:alignment vertical="top" wrapText="1"/>
    </x:xf>
    <x:xf numFmtId="201" fontId="17" fillId="38" borderId="16" xfId="0" applyNumberFormat="1" applyFont="1" applyFill="1" applyBorder="1" applyAlignment="1">
      <x:alignment vertical="top" wrapText="1"/>
    </x:xf>
    <x:xf numFmtId="201" fontId="17" fillId="38" borderId="17" xfId="0" applyNumberFormat="1" applyFont="1" applyFill="1" applyBorder="1" applyAlignment="1">
      <x:alignment vertical="top" wrapText="1"/>
    </x:xf>
    <x:xf numFmtId="0" fontId="0" fillId="39" borderId="0" xfId="0" applyNumberFormat="1" applyFont="1" applyFill="1" applyBorder="1"/>
    <x:xf numFmtId="0" fontId="14" fillId="39" borderId="0" xfId="0" applyNumberFormat="1" applyFont="1" applyFill="1" applyBorder="1"/>
    <x:xf numFmtId="0" fontId="14" fillId="39" borderId="0" xfId="0" applyNumberFormat="1" applyFont="1" applyFill="1" applyBorder="1" applyAlignment="1">
      <x:alignment horizontal="left"/>
    </x:xf>
    <x:xf numFmtId="0" fontId="14" fillId="39" borderId="0" xfId="0" applyNumberFormat="1" applyFont="1" applyFill="1" applyBorder="1" applyAlignment="1">
      <x:alignment horizontal="left" vertical="center"/>
    </x:xf>
    <x:xf numFmtId="0" fontId="0" fillId="40" borderId="0" xfId="0" applyNumberFormat="1" applyFont="1" applyFill="1" applyBorder="1"/>
    <x:xf numFmtId="0" fontId="15" fillId="40" borderId="0" xfId="0" applyNumberFormat="1" applyFont="1" applyFill="1" applyBorder="1"/>
    <x:xf numFmtId="0" fontId="15" fillId="40" borderId="0" xfId="0" applyNumberFormat="1" applyFont="1" applyFill="1" applyBorder="1" applyAlignment="1">
      <x:alignment wrapText="1"/>
    </x:xf>
    <x:xf numFmtId="0" fontId="15" fillId="40" borderId="0" xfId="0" applyNumberFormat="1" applyFont="1" applyFill="1" applyBorder="1" applyAlignment="1">
      <x:alignment vertical="center" wrapText="1"/>
    </x:xf>
    <x:xf numFmtId="0" fontId="0" fillId="41" borderId="0" xfId="0" applyNumberFormat="1" applyFont="1" applyFill="1" applyBorder="1"/>
    <x:xf numFmtId="0" fontId="16" fillId="41" borderId="0" xfId="0" applyNumberFormat="1" applyFont="1" applyFill="1" applyBorder="1"/>
    <x:xf numFmtId="0" fontId="16" fillId="41" borderId="0" xfId="0" applyNumberFormat="1" applyFont="1" applyFill="1" applyBorder="1" applyAlignment="1">
      <x:alignment horizontal="left"/>
    </x:xf>
    <x:xf numFmtId="0" fontId="16" fillId="41" borderId="0" xfId="0" applyNumberFormat="1" applyFont="1" applyFill="1" applyBorder="1" applyAlignment="1">
      <x:alignment horizontal="left" vertical="center"/>
    </x:xf>
    <x:xf numFmtId="0" fontId="17" fillId="40" borderId="0" xfId="0" applyNumberFormat="1" applyFont="1" applyFill="1" applyBorder="1"/>
    <x:xf numFmtId="0" fontId="17" fillId="40" borderId="0" xfId="0" applyNumberFormat="1" applyFont="1" applyFill="1" applyBorder="1" applyAlignment="1">
      <x:alignment wrapText="1"/>
    </x:xf>
    <x:xf numFmtId="0" fontId="17" fillId="40" borderId="0" xfId="0" applyNumberFormat="1" applyFont="1" applyFill="1" applyBorder="1" applyAlignment="1">
      <x:alignment vertical="center" wrapText="1"/>
    </x:xf>
    <x:xf numFmtId="0" fontId="4" fillId="41" borderId="0" xfId="0" applyNumberFormat="1" applyFont="1" applyFill="1" applyBorder="1"/>
    <x:xf numFmtId="0" fontId="4" fillId="41" borderId="12" xfId="0" applyNumberFormat="1" applyFont="1" applyFill="1" applyBorder="1"/>
    <x:xf numFmtId="0" fontId="4" fillId="41" borderId="13" xfId="0" applyNumberFormat="1" applyFont="1" applyFill="1" applyBorder="1"/>
    <x:xf numFmtId="0" fontId="4" fillId="41" borderId="14" xfId="0" applyNumberFormat="1" applyFont="1" applyFill="1" applyBorder="1"/>
    <x:xf numFmtId="0" fontId="4" fillId="41" borderId="12" xfId="0" applyNumberFormat="1" applyFont="1" applyFill="1" applyBorder="1" applyAlignment="1">
      <x:alignment wrapText="1"/>
    </x:xf>
    <x:xf numFmtId="0" fontId="4" fillId="41" borderId="13" xfId="0" applyNumberFormat="1" applyFont="1" applyFill="1" applyBorder="1" applyAlignment="1">
      <x:alignment wrapText="1"/>
    </x:xf>
    <x:xf numFmtId="0" fontId="4" fillId="41" borderId="14" xfId="0" applyNumberFormat="1" applyFont="1" applyFill="1" applyBorder="1" applyAlignment="1">
      <x:alignment wrapText="1"/>
    </x:xf>
    <x:xf numFmtId="0" fontId="4" fillId="41" borderId="12" xfId="0" applyNumberFormat="1" applyFont="1" applyFill="1" applyBorder="1" applyAlignment="1">
      <x:alignment horizontal="center" wrapText="1"/>
    </x:xf>
    <x:xf numFmtId="0" fontId="4" fillId="41" borderId="13" xfId="0" applyNumberFormat="1" applyFont="1" applyFill="1" applyBorder="1" applyAlignment="1">
      <x:alignment horizontal="center" wrapText="1"/>
    </x:xf>
    <x:xf numFmtId="0" fontId="4" fillId="41" borderId="14" xfId="0" applyNumberFormat="1" applyFont="1" applyFill="1" applyBorder="1" applyAlignment="1">
      <x:alignment horizontal="center" wrapText="1"/>
    </x:xf>
    <x:xf numFmtId="0" fontId="4" fillId="41" borderId="12" xfId="0" applyNumberFormat="1" applyFont="1" applyFill="1" applyBorder="1" applyAlignment="1">
      <x:alignment horizontal="center" vertical="center" wrapText="1"/>
    </x:xf>
    <x:xf numFmtId="0" fontId="4" fillId="41" borderId="13" xfId="0" applyNumberFormat="1" applyFont="1" applyFill="1" applyBorder="1" applyAlignment="1">
      <x:alignment horizontal="center" vertical="center" wrapText="1"/>
    </x:xf>
    <x:xf numFmtId="0" fontId="4" fillId="41" borderId="14" xfId="0" applyNumberFormat="1" applyFont="1" applyFill="1" applyBorder="1" applyAlignment="1">
      <x:alignment horizontal="center" vertical="center" wrapText="1"/>
    </x:xf>
    <x:xf numFmtId="0" fontId="0" fillId="42" borderId="0" xfId="0" applyNumberFormat="1" applyFont="1" applyFill="1" applyBorder="1"/>
    <x:xf numFmtId="0" fontId="17" fillId="42" borderId="0" xfId="0" applyNumberFormat="1" applyFont="1" applyFill="1" applyBorder="1"/>
    <x:xf numFmtId="0" fontId="17" fillId="42" borderId="15" xfId="0" applyNumberFormat="1" applyFont="1" applyFill="1" applyBorder="1"/>
    <x:xf numFmtId="0" fontId="17" fillId="42" borderId="16" xfId="0" applyNumberFormat="1" applyFont="1" applyFill="1" applyBorder="1"/>
    <x:xf numFmtId="0" fontId="17" fillId="42" borderId="17" xfId="0" applyNumberFormat="1" applyFont="1" applyFill="1" applyBorder="1"/>
    <x:xf numFmtId="0" fontId="17" fillId="42" borderId="15" xfId="0" applyNumberFormat="1" applyFont="1" applyFill="1" applyBorder="1" applyAlignment="1">
      <x:alignment wrapText="1"/>
    </x:xf>
    <x:xf numFmtId="0" fontId="17" fillId="42" borderId="16" xfId="0" applyNumberFormat="1" applyFont="1" applyFill="1" applyBorder="1" applyAlignment="1">
      <x:alignment wrapText="1"/>
    </x:xf>
    <x:xf numFmtId="0" fontId="17" fillId="42" borderId="17" xfId="0" applyNumberFormat="1" applyFont="1" applyFill="1" applyBorder="1" applyAlignment="1">
      <x:alignment wrapText="1"/>
    </x:xf>
    <x:xf numFmtId="0" fontId="17" fillId="42" borderId="15" xfId="0" applyNumberFormat="1" applyFont="1" applyFill="1" applyBorder="1" applyAlignment="1">
      <x:alignment vertical="top" wrapText="1"/>
    </x:xf>
    <x:xf numFmtId="0" fontId="17" fillId="42" borderId="16" xfId="0" applyNumberFormat="1" applyFont="1" applyFill="1" applyBorder="1" applyAlignment="1">
      <x:alignment vertical="top" wrapText="1"/>
    </x:xf>
    <x:xf numFmtId="0" fontId="17" fillId="42" borderId="17" xfId="0" applyNumberFormat="1" applyFont="1" applyFill="1" applyBorder="1" applyAlignment="1">
      <x:alignment vertical="top" wrapText="1"/>
    </x:xf>
    <x:xf numFmtId="0" fontId="0" fillId="43" borderId="0" xfId="0" applyNumberFormat="1" applyFont="1" applyFill="1" applyBorder="1"/>
    <x:xf numFmtId="0" fontId="17" fillId="43" borderId="0" xfId="0" applyNumberFormat="1" applyFont="1" applyFill="1" applyBorder="1"/>
    <x:xf numFmtId="0" fontId="17" fillId="43" borderId="15" xfId="0" applyNumberFormat="1" applyFont="1" applyFill="1" applyBorder="1"/>
    <x:xf numFmtId="0" fontId="17" fillId="43" borderId="16" xfId="0" applyNumberFormat="1" applyFont="1" applyFill="1" applyBorder="1"/>
    <x:xf numFmtId="0" fontId="17" fillId="43" borderId="17" xfId="0" applyNumberFormat="1" applyFont="1" applyFill="1" applyBorder="1"/>
    <x:xf numFmtId="0" fontId="17" fillId="43" borderId="15" xfId="0" applyNumberFormat="1" applyFont="1" applyFill="1" applyBorder="1" applyAlignment="1">
      <x:alignment wrapText="1"/>
    </x:xf>
    <x:xf numFmtId="0" fontId="17" fillId="43" borderId="16" xfId="0" applyNumberFormat="1" applyFont="1" applyFill="1" applyBorder="1" applyAlignment="1">
      <x:alignment wrapText="1"/>
    </x:xf>
    <x:xf numFmtId="0" fontId="17" fillId="43" borderId="17" xfId="0" applyNumberFormat="1" applyFont="1" applyFill="1" applyBorder="1" applyAlignment="1">
      <x:alignment wrapText="1"/>
    </x:xf>
    <x:xf numFmtId="0" fontId="17" fillId="43" borderId="15" xfId="0" applyNumberFormat="1" applyFont="1" applyFill="1" applyBorder="1" applyAlignment="1">
      <x:alignment vertical="top" wrapText="1"/>
    </x:xf>
    <x:xf numFmtId="0" fontId="17" fillId="43" borderId="16" xfId="0" applyNumberFormat="1" applyFont="1" applyFill="1" applyBorder="1" applyAlignment="1">
      <x:alignment vertical="top" wrapText="1"/>
    </x:xf>
    <x:xf numFmtId="0" fontId="17" fillId="43" borderId="17" xfId="0" applyNumberFormat="1" applyFont="1" applyFill="1" applyBorder="1" applyAlignment="1">
      <x:alignment vertical="top" wrapText="1"/>
    </x:xf>
    <x:xf numFmtId="0" fontId="0" fillId="44" borderId="0" xfId="0" applyNumberFormat="1" applyFont="1" applyFill="1" applyBorder="1"/>
    <x:xf numFmtId="0" fontId="17" fillId="44" borderId="0" xfId="0" applyNumberFormat="1" applyFont="1" applyFill="1" applyBorder="1"/>
    <x:xf numFmtId="0" fontId="17" fillId="44" borderId="15" xfId="0" applyNumberFormat="1" applyFont="1" applyFill="1" applyBorder="1"/>
    <x:xf numFmtId="0" fontId="17" fillId="44" borderId="16" xfId="0" applyNumberFormat="1" applyFont="1" applyFill="1" applyBorder="1"/>
    <x:xf numFmtId="0" fontId="17" fillId="44" borderId="17" xfId="0" applyNumberFormat="1" applyFont="1" applyFill="1" applyBorder="1"/>
    <x:xf numFmtId="0" fontId="17" fillId="44" borderId="15" xfId="0" applyNumberFormat="1" applyFont="1" applyFill="1" applyBorder="1" applyAlignment="1">
      <x:alignment wrapText="1"/>
    </x:xf>
    <x:xf numFmtId="0" fontId="17" fillId="44" borderId="16" xfId="0" applyNumberFormat="1" applyFont="1" applyFill="1" applyBorder="1" applyAlignment="1">
      <x:alignment wrapText="1"/>
    </x:xf>
    <x:xf numFmtId="0" fontId="17" fillId="44" borderId="17" xfId="0" applyNumberFormat="1" applyFont="1" applyFill="1" applyBorder="1" applyAlignment="1">
      <x:alignment wrapText="1"/>
    </x:xf>
    <x:xf numFmtId="0" fontId="17" fillId="44" borderId="15" xfId="0" applyNumberFormat="1" applyFont="1" applyFill="1" applyBorder="1" applyAlignment="1">
      <x:alignment vertical="top" wrapText="1"/>
    </x:xf>
    <x:xf numFmtId="0" fontId="17" fillId="44" borderId="16" xfId="0" applyNumberFormat="1" applyFont="1" applyFill="1" applyBorder="1" applyAlignment="1">
      <x:alignment vertical="top" wrapText="1"/>
    </x:xf>
    <x:xf numFmtId="0" fontId="17" fillId="44" borderId="17" xfId="0" applyNumberFormat="1" applyFont="1" applyFill="1" applyBorder="1" applyAlignment="1">
      <x:alignment vertical="top" wrapText="1"/>
    </x:xf>
    <x:xf numFmtId="0" fontId="9" fillId="42" borderId="15" xfId="0" applyNumberFormat="1" applyFont="1" applyFill="1" applyBorder="1" applyAlignment="1">
      <x:alignment vertical="top" wrapText="1"/>
    </x:xf>
    <x:xf numFmtId="0" fontId="9" fillId="42" borderId="16" xfId="0" applyNumberFormat="1" applyFont="1" applyFill="1" applyBorder="1" applyAlignment="1">
      <x:alignment vertical="top" wrapText="1"/>
    </x:xf>
    <x:xf numFmtId="0" fontId="9" fillId="42" borderId="17" xfId="0" applyNumberFormat="1" applyFont="1" applyFill="1" applyBorder="1" applyAlignment="1">
      <x:alignment vertical="top" wrapText="1"/>
    </x:xf>
    <x:xf numFmtId="0" fontId="9" fillId="44" borderId="15" xfId="0" applyNumberFormat="1" applyFont="1" applyFill="1" applyBorder="1" applyAlignment="1">
      <x:alignment vertical="top" wrapText="1"/>
    </x:xf>
    <x:xf numFmtId="0" fontId="9" fillId="44" borderId="16" xfId="0" applyNumberFormat="1" applyFont="1" applyFill="1" applyBorder="1" applyAlignment="1">
      <x:alignment vertical="top" wrapText="1"/>
    </x:xf>
    <x:xf numFmtId="0" fontId="9" fillId="44" borderId="17" xfId="0" applyNumberFormat="1" applyFont="1" applyFill="1" applyBorder="1" applyAlignment="1">
      <x:alignment vertical="top" wrapText="1"/>
    </x:xf>
    <x:xf numFmtId="201" fontId="17" fillId="43" borderId="15" xfId="0" applyNumberFormat="1" applyFont="1" applyFill="1" applyBorder="1" applyAlignment="1">
      <x:alignment vertical="top" wrapText="1"/>
    </x:xf>
    <x:xf numFmtId="201" fontId="17" fillId="43" borderId="16" xfId="0" applyNumberFormat="1" applyFont="1" applyFill="1" applyBorder="1" applyAlignment="1">
      <x:alignment vertical="top" wrapText="1"/>
    </x:xf>
    <x:xf numFmtId="201" fontId="17" fillId="43" borderId="17" xfId="0" applyNumberFormat="1" applyFont="1" applyFill="1" applyBorder="1" applyAlignment="1">
      <x:alignment vertical="top" wrapText="1"/>
    </x:xf>
    <x:xf numFmtId="201" fontId="17" fillId="44" borderId="15" xfId="0" applyNumberFormat="1" applyFont="1" applyFill="1" applyBorder="1" applyAlignment="1">
      <x:alignment vertical="top" wrapText="1"/>
    </x:xf>
    <x:xf numFmtId="201" fontId="17" fillId="44" borderId="16" xfId="0" applyNumberFormat="1" applyFont="1" applyFill="1" applyBorder="1" applyAlignment="1">
      <x:alignment vertical="top" wrapText="1"/>
    </x:xf>
    <x:xf numFmtId="201" fontId="17" fillId="44" borderId="17" xfId="0" applyNumberFormat="1" applyFont="1" applyFill="1" applyBorder="1" applyAlignment="1">
      <x:alignment vertical="top" wrapText="1"/>
    </x:xf>
    <x:xf numFmtId="0" fontId="0" fillId="45" borderId="0" xfId="0" applyNumberFormat="1" applyFont="1" applyFill="1" applyBorder="1"/>
    <x:xf numFmtId="0" fontId="14" fillId="45" borderId="0" xfId="0" applyNumberFormat="1" applyFont="1" applyFill="1" applyBorder="1"/>
    <x:xf numFmtId="0" fontId="14" fillId="45" borderId="0" xfId="0" applyNumberFormat="1" applyFont="1" applyFill="1" applyBorder="1" applyAlignment="1">
      <x:alignment horizontal="left"/>
    </x:xf>
    <x:xf numFmtId="0" fontId="14" fillId="45" borderId="0" xfId="0" applyNumberFormat="1" applyFont="1" applyFill="1" applyBorder="1" applyAlignment="1">
      <x:alignment horizontal="left" vertical="center"/>
    </x:xf>
    <x:xf numFmtId="0" fontId="0" fillId="46" borderId="0" xfId="0" applyNumberFormat="1" applyFont="1" applyFill="1" applyBorder="1"/>
    <x:xf numFmtId="0" fontId="15" fillId="46" borderId="0" xfId="0" applyNumberFormat="1" applyFont="1" applyFill="1" applyBorder="1"/>
    <x:xf numFmtId="0" fontId="15" fillId="46" borderId="0" xfId="0" applyNumberFormat="1" applyFont="1" applyFill="1" applyBorder="1" applyAlignment="1">
      <x:alignment wrapText="1"/>
    </x:xf>
    <x:xf numFmtId="0" fontId="15" fillId="46" borderId="0" xfId="0" applyNumberFormat="1" applyFont="1" applyFill="1" applyBorder="1" applyAlignment="1">
      <x:alignment vertical="center" wrapText="1"/>
    </x:xf>
    <x:xf numFmtId="0" fontId="0" fillId="47" borderId="0" xfId="0" applyNumberFormat="1" applyFont="1" applyFill="1" applyBorder="1"/>
    <x:xf numFmtId="0" fontId="16" fillId="47" borderId="0" xfId="0" applyNumberFormat="1" applyFont="1" applyFill="1" applyBorder="1"/>
    <x:xf numFmtId="0" fontId="16" fillId="47" borderId="0" xfId="0" applyNumberFormat="1" applyFont="1" applyFill="1" applyBorder="1" applyAlignment="1">
      <x:alignment horizontal="left"/>
    </x:xf>
    <x:xf numFmtId="0" fontId="16" fillId="47" borderId="0" xfId="0" applyNumberFormat="1" applyFont="1" applyFill="1" applyBorder="1" applyAlignment="1">
      <x:alignment horizontal="left" vertical="center"/>
    </x:xf>
    <x:xf numFmtId="0" fontId="17" fillId="46" borderId="0" xfId="0" applyNumberFormat="1" applyFont="1" applyFill="1" applyBorder="1"/>
    <x:xf numFmtId="0" fontId="17" fillId="46" borderId="0" xfId="0" applyNumberFormat="1" applyFont="1" applyFill="1" applyBorder="1" applyAlignment="1">
      <x:alignment wrapText="1"/>
    </x:xf>
    <x:xf numFmtId="0" fontId="17" fillId="46" borderId="0" xfId="0" applyNumberFormat="1" applyFont="1" applyFill="1" applyBorder="1" applyAlignment="1">
      <x:alignment vertical="center" wrapText="1"/>
    </x:xf>
    <x:xf numFmtId="0" fontId="4" fillId="47" borderId="0" xfId="0" applyNumberFormat="1" applyFont="1" applyFill="1" applyBorder="1"/>
    <x:xf numFmtId="0" fontId="4" fillId="47" borderId="12" xfId="0" applyNumberFormat="1" applyFont="1" applyFill="1" applyBorder="1"/>
    <x:xf numFmtId="0" fontId="4" fillId="47" borderId="13" xfId="0" applyNumberFormat="1" applyFont="1" applyFill="1" applyBorder="1"/>
    <x:xf numFmtId="0" fontId="4" fillId="47" borderId="14" xfId="0" applyNumberFormat="1" applyFont="1" applyFill="1" applyBorder="1"/>
    <x:xf numFmtId="0" fontId="4" fillId="47" borderId="12" xfId="0" applyNumberFormat="1" applyFont="1" applyFill="1" applyBorder="1" applyAlignment="1">
      <x:alignment wrapText="1"/>
    </x:xf>
    <x:xf numFmtId="0" fontId="4" fillId="47" borderId="13" xfId="0" applyNumberFormat="1" applyFont="1" applyFill="1" applyBorder="1" applyAlignment="1">
      <x:alignment wrapText="1"/>
    </x:xf>
    <x:xf numFmtId="0" fontId="4" fillId="47" borderId="14" xfId="0" applyNumberFormat="1" applyFont="1" applyFill="1" applyBorder="1" applyAlignment="1">
      <x:alignment wrapText="1"/>
    </x:xf>
    <x:xf numFmtId="0" fontId="4" fillId="47" borderId="12" xfId="0" applyNumberFormat="1" applyFont="1" applyFill="1" applyBorder="1" applyAlignment="1">
      <x:alignment horizontal="center" wrapText="1"/>
    </x:xf>
    <x:xf numFmtId="0" fontId="4" fillId="47" borderId="13" xfId="0" applyNumberFormat="1" applyFont="1" applyFill="1" applyBorder="1" applyAlignment="1">
      <x:alignment horizontal="center" wrapText="1"/>
    </x:xf>
    <x:xf numFmtId="0" fontId="4" fillId="47" borderId="14" xfId="0" applyNumberFormat="1" applyFont="1" applyFill="1" applyBorder="1" applyAlignment="1">
      <x:alignment horizontal="center" wrapText="1"/>
    </x:xf>
    <x:xf numFmtId="0" fontId="4" fillId="47" borderId="12" xfId="0" applyNumberFormat="1" applyFont="1" applyFill="1" applyBorder="1" applyAlignment="1">
      <x:alignment horizontal="center" vertical="center" wrapText="1"/>
    </x:xf>
    <x:xf numFmtId="0" fontId="4" fillId="47" borderId="13" xfId="0" applyNumberFormat="1" applyFont="1" applyFill="1" applyBorder="1" applyAlignment="1">
      <x:alignment horizontal="center" vertical="center" wrapText="1"/>
    </x:xf>
    <x:xf numFmtId="0" fontId="4" fillId="47" borderId="14" xfId="0" applyNumberFormat="1" applyFont="1" applyFill="1" applyBorder="1" applyAlignment="1">
      <x:alignment horizontal="center" vertical="center" wrapText="1"/>
    </x:xf>
    <x:xf numFmtId="0" fontId="0" fillId="48" borderId="0" xfId="0" applyNumberFormat="1" applyFont="1" applyFill="1" applyBorder="1"/>
    <x:xf numFmtId="0" fontId="17" fillId="48" borderId="0" xfId="0" applyNumberFormat="1" applyFont="1" applyFill="1" applyBorder="1"/>
    <x:xf numFmtId="0" fontId="17" fillId="48" borderId="15" xfId="0" applyNumberFormat="1" applyFont="1" applyFill="1" applyBorder="1"/>
    <x:xf numFmtId="0" fontId="17" fillId="48" borderId="16" xfId="0" applyNumberFormat="1" applyFont="1" applyFill="1" applyBorder="1"/>
    <x:xf numFmtId="0" fontId="17" fillId="48" borderId="17" xfId="0" applyNumberFormat="1" applyFont="1" applyFill="1" applyBorder="1"/>
    <x:xf numFmtId="0" fontId="17" fillId="48" borderId="15" xfId="0" applyNumberFormat="1" applyFont="1" applyFill="1" applyBorder="1" applyAlignment="1">
      <x:alignment wrapText="1"/>
    </x:xf>
    <x:xf numFmtId="0" fontId="17" fillId="48" borderId="16" xfId="0" applyNumberFormat="1" applyFont="1" applyFill="1" applyBorder="1" applyAlignment="1">
      <x:alignment wrapText="1"/>
    </x:xf>
    <x:xf numFmtId="0" fontId="17" fillId="48" borderId="17" xfId="0" applyNumberFormat="1" applyFont="1" applyFill="1" applyBorder="1" applyAlignment="1">
      <x:alignment wrapText="1"/>
    </x:xf>
    <x:xf numFmtId="0" fontId="17" fillId="48" borderId="15" xfId="0" applyNumberFormat="1" applyFont="1" applyFill="1" applyBorder="1" applyAlignment="1">
      <x:alignment vertical="top" wrapText="1"/>
    </x:xf>
    <x:xf numFmtId="0" fontId="17" fillId="48" borderId="16" xfId="0" applyNumberFormat="1" applyFont="1" applyFill="1" applyBorder="1" applyAlignment="1">
      <x:alignment vertical="top" wrapText="1"/>
    </x:xf>
    <x:xf numFmtId="0" fontId="17" fillId="48" borderId="17" xfId="0" applyNumberFormat="1" applyFont="1" applyFill="1" applyBorder="1" applyAlignment="1">
      <x:alignment vertical="top" wrapText="1"/>
    </x:xf>
    <x:xf numFmtId="0" fontId="0" fillId="49" borderId="0" xfId="0" applyNumberFormat="1" applyFont="1" applyFill="1" applyBorder="1"/>
    <x:xf numFmtId="0" fontId="17" fillId="49" borderId="0" xfId="0" applyNumberFormat="1" applyFont="1" applyFill="1" applyBorder="1"/>
    <x:xf numFmtId="0" fontId="17" fillId="49" borderId="15" xfId="0" applyNumberFormat="1" applyFont="1" applyFill="1" applyBorder="1"/>
    <x:xf numFmtId="0" fontId="17" fillId="49" borderId="16" xfId="0" applyNumberFormat="1" applyFont="1" applyFill="1" applyBorder="1"/>
    <x:xf numFmtId="0" fontId="17" fillId="49" borderId="17" xfId="0" applyNumberFormat="1" applyFont="1" applyFill="1" applyBorder="1"/>
    <x:xf numFmtId="0" fontId="17" fillId="49" borderId="15" xfId="0" applyNumberFormat="1" applyFont="1" applyFill="1" applyBorder="1" applyAlignment="1">
      <x:alignment wrapText="1"/>
    </x:xf>
    <x:xf numFmtId="0" fontId="17" fillId="49" borderId="16" xfId="0" applyNumberFormat="1" applyFont="1" applyFill="1" applyBorder="1" applyAlignment="1">
      <x:alignment wrapText="1"/>
    </x:xf>
    <x:xf numFmtId="0" fontId="17" fillId="49" borderId="17" xfId="0" applyNumberFormat="1" applyFont="1" applyFill="1" applyBorder="1" applyAlignment="1">
      <x:alignment wrapText="1"/>
    </x:xf>
    <x:xf numFmtId="0" fontId="17" fillId="49" borderId="15" xfId="0" applyNumberFormat="1" applyFont="1" applyFill="1" applyBorder="1" applyAlignment="1">
      <x:alignment vertical="top" wrapText="1"/>
    </x:xf>
    <x:xf numFmtId="0" fontId="17" fillId="49" borderId="16" xfId="0" applyNumberFormat="1" applyFont="1" applyFill="1" applyBorder="1" applyAlignment="1">
      <x:alignment vertical="top" wrapText="1"/>
    </x:xf>
    <x:xf numFmtId="0" fontId="17" fillId="49" borderId="17" xfId="0" applyNumberFormat="1" applyFont="1" applyFill="1" applyBorder="1" applyAlignment="1">
      <x:alignment vertical="top" wrapText="1"/>
    </x:xf>
    <x:xf numFmtId="0" fontId="0" fillId="50" borderId="0" xfId="0" applyNumberFormat="1" applyFont="1" applyFill="1" applyBorder="1"/>
    <x:xf numFmtId="0" fontId="17" fillId="50" borderId="0" xfId="0" applyNumberFormat="1" applyFont="1" applyFill="1" applyBorder="1"/>
    <x:xf numFmtId="0" fontId="17" fillId="50" borderId="15" xfId="0" applyNumberFormat="1" applyFont="1" applyFill="1" applyBorder="1"/>
    <x:xf numFmtId="0" fontId="17" fillId="50" borderId="16" xfId="0" applyNumberFormat="1" applyFont="1" applyFill="1" applyBorder="1"/>
    <x:xf numFmtId="0" fontId="17" fillId="50" borderId="17" xfId="0" applyNumberFormat="1" applyFont="1" applyFill="1" applyBorder="1"/>
    <x:xf numFmtId="0" fontId="17" fillId="50" borderId="15" xfId="0" applyNumberFormat="1" applyFont="1" applyFill="1" applyBorder="1" applyAlignment="1">
      <x:alignment wrapText="1"/>
    </x:xf>
    <x:xf numFmtId="0" fontId="17" fillId="50" borderId="16" xfId="0" applyNumberFormat="1" applyFont="1" applyFill="1" applyBorder="1" applyAlignment="1">
      <x:alignment wrapText="1"/>
    </x:xf>
    <x:xf numFmtId="0" fontId="17" fillId="50" borderId="17" xfId="0" applyNumberFormat="1" applyFont="1" applyFill="1" applyBorder="1" applyAlignment="1">
      <x:alignment wrapText="1"/>
    </x:xf>
    <x:xf numFmtId="0" fontId="17" fillId="50" borderId="15" xfId="0" applyNumberFormat="1" applyFont="1" applyFill="1" applyBorder="1" applyAlignment="1">
      <x:alignment vertical="top" wrapText="1"/>
    </x:xf>
    <x:xf numFmtId="0" fontId="17" fillId="50" borderId="16" xfId="0" applyNumberFormat="1" applyFont="1" applyFill="1" applyBorder="1" applyAlignment="1">
      <x:alignment vertical="top" wrapText="1"/>
    </x:xf>
    <x:xf numFmtId="0" fontId="17" fillId="50" borderId="17" xfId="0" applyNumberFormat="1" applyFont="1" applyFill="1" applyBorder="1" applyAlignment="1">
      <x:alignment vertical="top" wrapText="1"/>
    </x:xf>
    <x:xf numFmtId="0" fontId="9" fillId="48" borderId="15" xfId="0" applyNumberFormat="1" applyFont="1" applyFill="1" applyBorder="1" applyAlignment="1">
      <x:alignment vertical="top" wrapText="1"/>
    </x:xf>
    <x:xf numFmtId="0" fontId="9" fillId="48" borderId="16" xfId="0" applyNumberFormat="1" applyFont="1" applyFill="1" applyBorder="1" applyAlignment="1">
      <x:alignment vertical="top" wrapText="1"/>
    </x:xf>
    <x:xf numFmtId="0" fontId="9" fillId="48" borderId="17" xfId="0" applyNumberFormat="1" applyFont="1" applyFill="1" applyBorder="1" applyAlignment="1">
      <x:alignment vertical="top" wrapText="1"/>
    </x:xf>
    <x:xf numFmtId="0" fontId="9" fillId="50" borderId="15" xfId="0" applyNumberFormat="1" applyFont="1" applyFill="1" applyBorder="1" applyAlignment="1">
      <x:alignment vertical="top" wrapText="1"/>
    </x:xf>
    <x:xf numFmtId="0" fontId="9" fillId="50" borderId="16" xfId="0" applyNumberFormat="1" applyFont="1" applyFill="1" applyBorder="1" applyAlignment="1">
      <x:alignment vertical="top" wrapText="1"/>
    </x:xf>
    <x:xf numFmtId="0" fontId="9" fillId="50" borderId="17" xfId="0" applyNumberFormat="1" applyFont="1" applyFill="1" applyBorder="1" applyAlignment="1">
      <x:alignment vertical="top" wrapText="1"/>
    </x:xf>
    <x:xf numFmtId="201" fontId="17" fillId="49" borderId="15" xfId="0" applyNumberFormat="1" applyFont="1" applyFill="1" applyBorder="1" applyAlignment="1">
      <x:alignment vertical="top" wrapText="1"/>
    </x:xf>
    <x:xf numFmtId="201" fontId="17" fillId="49" borderId="16" xfId="0" applyNumberFormat="1" applyFont="1" applyFill="1" applyBorder="1" applyAlignment="1">
      <x:alignment vertical="top" wrapText="1"/>
    </x:xf>
    <x:xf numFmtId="201" fontId="17" fillId="49" borderId="17" xfId="0" applyNumberFormat="1" applyFont="1" applyFill="1" applyBorder="1" applyAlignment="1">
      <x:alignment vertical="top" wrapText="1"/>
    </x:xf>
    <x:xf numFmtId="201" fontId="17" fillId="50" borderId="15" xfId="0" applyNumberFormat="1" applyFont="1" applyFill="1" applyBorder="1" applyAlignment="1">
      <x:alignment vertical="top" wrapText="1"/>
    </x:xf>
    <x:xf numFmtId="201" fontId="17" fillId="50" borderId="16" xfId="0" applyNumberFormat="1" applyFont="1" applyFill="1" applyBorder="1" applyAlignment="1">
      <x:alignment vertical="top" wrapText="1"/>
    </x:xf>
    <x:xf numFmtId="201" fontId="17" fillId="50" borderId="17" xfId="0" applyNumberFormat="1" applyFont="1" applyFill="1" applyBorder="1" applyAlignment="1">
      <x:alignment vertical="top" wrapText="1"/>
    </x:xf>
  </x:cellXfs>
  <x:cellStyles count="1">
    <x:cellStyle name="Normal" xfId="0"/>
  </x:cellStyles>
  <x:dxfs count="31">
    <x:dxf>
      <x:font>
        <x:b/>
        <x:color rgb="FF166534"/>
      </x:font>
      <x:fill>
        <x:patternFill>
          <x:bgColor rgb="FFDCFCE7"/>
        </x:patternFill>
      </x:fill>
    </x:dxf>
    <x:dxf>
      <x:font>
        <x:b/>
        <x:color rgb="FF1D4ED8"/>
      </x:font>
      <x:fill>
        <x:patternFill>
          <x:bgColor rgb="FFEAF2FB"/>
        </x:patternFill>
      </x:fill>
    </x:dxf>
    <x:dxf>
      <x:font>
        <x:b/>
        <x:color rgb="FF991B1B"/>
      </x:font>
      <x:fill>
        <x:patternFill>
          <x:bgColor rgb="FFFEE2E2"/>
        </x:patternFill>
      </x:fill>
    </x:dxf>
    <x:dxf>
      <x:font>
        <x:color rgb="FF7F6000"/>
      </x:font>
      <x:fill>
        <x:patternFill>
          <x:bgColor rgb="FFFFF2CC"/>
        </x:patternFill>
      </x:fill>
    </x:dxf>
    <x:dxf>
      <x:font>
        <x:color rgb="FF375623"/>
      </x:font>
      <x:fill>
        <x:patternFill>
          <x:bgColor rgb="FFE2F0D9"/>
        </x:patternFill>
      </x:fill>
    </x:dxf>
    <x:dxf>
      <x:font>
        <x:color rgb="FF1F4E78"/>
      </x:font>
      <x:fill>
        <x:patternFill>
          <x:bgColor rgb="FFDDEBF7"/>
        </x:patternFill>
      </x:fill>
    </x:dxf>
    <x:dxf>
      <x:font>
        <x:color rgb="FF843C0C"/>
      </x:font>
      <x:fill>
        <x:patternFill>
          <x:bgColor rgb="FFFCE4D6"/>
        </x:patternFill>
      </x:fill>
    </x:dxf>
    <x:dxf>
      <x:font>
        <x:color rgb="FF7F6000"/>
      </x:font>
      <x:fill>
        <x:patternFill>
          <x:bgColor rgb="FFFFF2CC"/>
        </x:patternFill>
      </x:fill>
    </x:dxf>
    <x:dxf>
      <x:font>
        <x:color rgb="FF375623"/>
      </x:font>
      <x:fill>
        <x:patternFill>
          <x:bgColor rgb="FFE2F0D9"/>
        </x:patternFill>
      </x:fill>
    </x:dxf>
    <x:dxf>
      <x:font>
        <x:color rgb="FF1F4E78"/>
      </x:font>
      <x:fill>
        <x:patternFill>
          <x:bgColor rgb="FFDDEBF7"/>
        </x:patternFill>
      </x:fill>
    </x:dxf>
    <x:dxf>
      <x:font>
        <x:color rgb="FF843C0C"/>
      </x:font>
      <x:fill>
        <x:patternFill>
          <x:bgColor rgb="FFFCE4D6"/>
        </x:patternFill>
      </x:fill>
    </x:dxf>
    <x:dxf>
      <x:font>
        <x:color rgb="FF7F6000"/>
      </x:font>
      <x:fill>
        <x:patternFill>
          <x:bgColor rgb="FFFFF2CC"/>
        </x:patternFill>
      </x:fill>
    </x:dxf>
    <x:dxf>
      <x:font>
        <x:color rgb="FF375623"/>
      </x:font>
      <x:fill>
        <x:patternFill>
          <x:bgColor rgb="FFE2F0D9"/>
        </x:patternFill>
      </x:fill>
    </x:dxf>
    <x:dxf>
      <x:font>
        <x:color rgb="FF1F4E78"/>
      </x:font>
      <x:fill>
        <x:patternFill>
          <x:bgColor rgb="FFDDEBF7"/>
        </x:patternFill>
      </x:fill>
    </x:dxf>
    <x:dxf>
      <x:font>
        <x:color rgb="FF843C0C"/>
      </x:font>
      <x:fill>
        <x:patternFill>
          <x:bgColor rgb="FFFCE4D6"/>
        </x:patternFill>
      </x:fill>
    </x:dxf>
    <x:dxf>
      <x:font>
        <x:color rgb="FF7F6000"/>
      </x:font>
      <x:fill>
        <x:patternFill>
          <x:bgColor rgb="FFFFF2CC"/>
        </x:patternFill>
      </x:fill>
    </x:dxf>
    <x:dxf>
      <x:font>
        <x:color rgb="FF375623"/>
      </x:font>
      <x:fill>
        <x:patternFill>
          <x:bgColor rgb="FFE2F0D9"/>
        </x:patternFill>
      </x:fill>
    </x:dxf>
    <x:dxf>
      <x:font>
        <x:color rgb="FF1F4E78"/>
      </x:font>
      <x:fill>
        <x:patternFill>
          <x:bgColor rgb="FFDDEBF7"/>
        </x:patternFill>
      </x:fill>
    </x:dxf>
    <x:dxf>
      <x:font>
        <x:color rgb="FF843C0C"/>
      </x:font>
      <x:fill>
        <x:patternFill>
          <x:bgColor rgb="FFFCE4D6"/>
        </x:patternFill>
      </x:fill>
    </x:dxf>
    <x:dxf>
      <x:font>
        <x:color rgb="FF7F6000"/>
      </x:font>
      <x:fill>
        <x:patternFill>
          <x:bgColor rgb="FFFFF2CC"/>
        </x:patternFill>
      </x:fill>
    </x:dxf>
    <x:dxf>
      <x:font>
        <x:color rgb="FF375623"/>
      </x:font>
      <x:fill>
        <x:patternFill>
          <x:bgColor rgb="FFE2F0D9"/>
        </x:patternFill>
      </x:fill>
    </x:dxf>
    <x:dxf>
      <x:font>
        <x:color rgb="FF1F4E78"/>
      </x:font>
      <x:fill>
        <x:patternFill>
          <x:bgColor rgb="FFDDEBF7"/>
        </x:patternFill>
      </x:fill>
    </x:dxf>
    <x:dxf>
      <x:font>
        <x:color rgb="FF843C0C"/>
      </x:font>
      <x:fill>
        <x:patternFill>
          <x:bgColor rgb="FFFCE4D6"/>
        </x:patternFill>
      </x:fill>
    </x:dxf>
    <x:dxf>
      <x:font>
        <x:color rgb="FF7F6000"/>
      </x:font>
      <x:fill>
        <x:patternFill>
          <x:bgColor rgb="FFFFF2CC"/>
        </x:patternFill>
      </x:fill>
    </x:dxf>
    <x:dxf>
      <x:font>
        <x:color rgb="FF375623"/>
      </x:font>
      <x:fill>
        <x:patternFill>
          <x:bgColor rgb="FFE2F0D9"/>
        </x:patternFill>
      </x:fill>
    </x:dxf>
    <x:dxf>
      <x:font>
        <x:color rgb="FF1F4E78"/>
      </x:font>
      <x:fill>
        <x:patternFill>
          <x:bgColor rgb="FFDDEBF7"/>
        </x:patternFill>
      </x:fill>
    </x:dxf>
    <x:dxf>
      <x:font>
        <x:color rgb="FF843C0C"/>
      </x:font>
      <x:fill>
        <x:patternFill>
          <x:bgColor rgb="FFFCE4D6"/>
        </x:patternFill>
      </x:fill>
    </x:dxf>
    <x:dxf>
      <x:font>
        <x:color rgb="FF7F6000"/>
      </x:font>
      <x:fill>
        <x:patternFill patternType="solid">
          <x:bgColor rgb="FFFFF2CC"/>
        </x:patternFill>
      </x:fill>
    </x:dxf>
    <x:dxf>
      <x:font>
        <x:color rgb="FF375623"/>
      </x:font>
      <x:fill>
        <x:patternFill patternType="solid">
          <x:bgColor rgb="FFE2F0D9"/>
        </x:patternFill>
      </x:fill>
    </x:dxf>
    <x:dxf>
      <x:font>
        <x:color rgb="FF1F4E78"/>
      </x:font>
      <x:fill>
        <x:patternFill patternType="solid">
          <x:bgColor rgb="FFDDEBF7"/>
        </x:patternFill>
      </x:fill>
    </x:dxf>
    <x:dxf>
      <x:font>
        <x:color rgb="FF843C0C"/>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6ef362e53e94669" /><Relationship Type="http://schemas.openxmlformats.org/officeDocument/2006/relationships/theme" Target="/xl/theme/theme1.xml" Id="Ra7741036ddd3440e" /><Relationship Type="http://schemas.openxmlformats.org/officeDocument/2006/relationships/sharedStrings" Target="/xl/sharedStrings.xml" Id="R07594a1145f44177" /><Relationship Type="http://schemas.openxmlformats.org/officeDocument/2006/relationships/worksheet" Target="/xl/worksheets/sheet1.xml" Id="R115200cfa1d44957" /><Relationship Type="http://schemas.openxmlformats.org/officeDocument/2006/relationships/worksheet" Target="/xl/worksheets/sheet2.xml" Id="R37b504269bf541ce" /><Relationship Type="http://schemas.openxmlformats.org/officeDocument/2006/relationships/worksheet" Target="/xl/worksheets/sheet3.xml" Id="Rc3561c99613f41fb" /></Relationships>
</file>

<file path=xl/tables/table1.xml><?xml version="1.0" encoding="utf-8"?>
<x:table xmlns:x="http://schemas.openxmlformats.org/spreadsheetml/2006/main" id="3" name="ReviewFormTable" displayName="ReviewFormTable" ref="A7:I37" headerRowCount="1" totalsRowCount="0" totalsRowShown="0">
  <x:autoFilter ref="A7:I37"/>
  <x:tableColumns count="9">
    <x:tableColumn id="1" name="question_id"/>
    <x:tableColumn id="2" name="language"/>
    <x:tableColumn id="3" name="question"/>
    <x:tableColumn id="4" name="proposed evidence summary"/>
    <x:tableColumn id="5" name="status"/>
    <x:tableColumn id="6" name="human_relevant_chunk_ids"/>
    <x:tableColumn id="7" name="correction_notes"/>
    <x:tableColumn id="8" name="reviewer"/>
    <x:tableColumn id="9" name="reviewed_at"/>
  </x:tableColumns>
  <x:tableStyleInfo name="TableStyleMedium2" showFirstColumn="0" showLastColumn="0" showRowStripes="1" showColumnStripes="0"/>
</x:table>
</file>

<file path=xl/tables/table2.xml><?xml version="1.0" encoding="utf-8"?>
<x:table xmlns:x="http://schemas.openxmlformats.org/spreadsheetml/2006/main" id="4" name="ReviewExportTable" displayName="ReviewExportTable" ref="K7:P37" headerRowCount="1" totalsRowCount="0" totalsRowShown="0">
  <x:autoFilter ref="K7:P37"/>
  <x:tableColumns count="6">
    <x:tableColumn id="1" name="question_id"/>
    <x:tableColumn id="2" name="status"/>
    <x:tableColumn id="3" name="human_relevant_chunk_ids"/>
    <x:tableColumn id="4" name="reviewer"/>
    <x:tableColumn id="5" name="reviewed_at"/>
    <x:tableColumn id="6" name="correction_notes"/>
  </x:tableColumns>
  <x:tableStyleInfo name="TableStyleMedium2" showFirstColumn="0" showLastColumn="0" showRowStripes="1" showColumnStripes="0"/>
</x:table>
</file>

<file path=xl/tables/table3.xml><?xml version="1.0" encoding="utf-8"?>
<x:table xmlns:x="http://schemas.openxmlformats.org/spreadsheetml/2006/main" id="2" name="EvidenceTable" displayName="EvidenceTable" ref="A5:M605" headerRowCount="1" totalsRowCount="0" totalsRowShown="0">
  <x:autoFilter ref="A5:M605"/>
  <x:tableColumns count="13">
    <x:tableColumn id="1" name="question_id"/>
    <x:tableColumn id="2" name="mode"/>
    <x:tableColumn id="3" name="rank"/>
    <x:tableColumn id="4" name="source_id"/>
    <x:tableColumn id="5" name="chunk_id"/>
    <x:tableColumn id="6" name="locator"/>
    <x:tableColumn id="7" name="score"/>
    <x:tableColumn id="8" name="title"/>
    <x:tableColumn id="9" name="publisher"/>
    <x:tableColumn id="10" name="excerpt"/>
    <x:tableColumn id="11" name="URL"/>
    <x:tableColumn id="12" name="proposed grade"/>
    <x:tableColumn id="13" name="proposed rationa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3e87a68a24c4d20" /><Relationship Type="http://schemas.openxmlformats.org/officeDocument/2006/relationships/table" Target="/xl/tables/table2.xml" Id="Rbef768b30a0e4826" /></Relationships>
</file>

<file path=xl/worksheets/_rels/sheet2.xml.rels>&#65279;<?xml version="1.0" encoding="utf-8"?><Relationships xmlns="http://schemas.openxmlformats.org/package/2006/relationships"><Relationship Type="http://schemas.openxmlformats.org/officeDocument/2006/relationships/table" Target="/xl/tables/table3.xml" Id="R77e837e6baf4494d"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46" hidden="0" customWidth="1"/>
    <x:col min="4" max="4" width="58" hidden="0" customWidth="1"/>
    <x:col min="5" max="5" width="15" hidden="0" customWidth="1"/>
    <x:col min="6" max="6" width="32" hidden="0" customWidth="1"/>
    <x:col min="7" max="7" width="34" hidden="0" customWidth="1"/>
    <x:col min="8" max="8" width="16" hidden="0" customWidth="1"/>
    <x:col min="9" max="9" width="15" hidden="0" customWidth="1"/>
    <x:col min="10" max="10" width="3" hidden="0" customWidth="1"/>
    <x:col min="11" max="11" width="16" hidden="0" customWidth="1"/>
    <x:col min="12" max="12" width="15" hidden="0" customWidth="1"/>
    <x:col min="13" max="13" width="30" hidden="0" customWidth="1"/>
    <x:col min="14" max="14" width="16" hidden="0" customWidth="1"/>
    <x:col min="15" max="15" width="15" hidden="0" customWidth="1"/>
    <x:col min="16" max="16" width="34" hidden="0" customWidth="1"/>
  </x:cols>
  <x:sheetData>
    <x:row r="1" ht="28" customHeight="1">
      <x:c r="A1" s="541" t="str">
        <x:v>Human evidence review</x:v>
      </x:c>
      <x:c r="B1" s="541"/>
      <x:c r="C1" s="541"/>
      <x:c r="D1" s="541"/>
      <x:c r="E1" s="541"/>
      <x:c r="F1" s="541"/>
      <x:c r="G1" s="541"/>
      <x:c r="H1" s="541"/>
      <x:c r="I1" s="541"/>
      <x:c r="J1" s="541"/>
      <x:c r="K1" s="541"/>
      <x:c r="L1" s="541"/>
      <x:c r="M1" s="541"/>
      <x:c r="N1" s="541"/>
      <x:c r="O1" s="541"/>
      <x:c r="P1" s="541"/>
    </x:row>
    <x:row r="2" ht="24" customHeight="1">
      <x:c r="A2" s="545" t="str">
        <x:v>Review each question, check the proposed evidence against Evidence, and complete the yellow cells.</x:v>
      </x:c>
      <x:c r="B2" s="545"/>
      <x:c r="C2" s="545"/>
      <x:c r="D2" s="545"/>
      <x:c r="E2" s="545"/>
      <x:c r="F2" s="545"/>
      <x:c r="G2" s="545"/>
      <x:c r="H2" s="545"/>
      <x:c r="I2" s="545"/>
      <x:c r="J2" s="545"/>
      <x:c r="K2" s="545"/>
      <x:c r="L2" s="545"/>
      <x:c r="M2" s="545"/>
      <x:c r="N2" s="545"/>
      <x:c r="O2" s="545"/>
      <x:c r="P2" s="545"/>
    </x:row>
    <x:row r="4" ht="22" customHeight="1">
      <x:c r="A4" s="549" t="str">
        <x:v>How to complete this sheet</x:v>
      </x:c>
      <x:c r="B4" s="549"/>
      <x:c r="C4" s="549"/>
      <x:c r="D4" s="549"/>
      <x:c r="E4" s="549"/>
      <x:c r="F4" s="549"/>
      <x:c r="G4" s="549"/>
      <x:c r="H4" s="549"/>
      <x:c r="I4" s="549"/>
      <x:c r="K4" s="549" t="str">
        <x:v>Export-ready fields</x:v>
      </x:c>
      <x:c r="L4" s="549"/>
      <x:c r="M4" s="549"/>
      <x:c r="N4" s="549"/>
      <x:c r="O4" s="549"/>
      <x:c r="P4" s="549"/>
    </x:row>
    <x:row r="5" ht="42" customHeight="1">
      <x:c r="A5" s="552" t="str">
        <x:v>Approved = proposal is correct. Corrected = change the chunk IDs. Rejected = unsupported or unusable. Use exact chunk IDs from Evidence column E, separated by commas, with no locator suffix such as (p.1).</x:v>
      </x:c>
      <x:c r="B5" s="552"/>
      <x:c r="C5" s="552"/>
      <x:c r="D5" s="552"/>
      <x:c r="E5" s="552"/>
      <x:c r="F5" s="552"/>
      <x:c r="G5" s="552"/>
      <x:c r="H5" s="552"/>
      <x:c r="I5" s="552"/>
      <x:c r="K5" s="552" t="str">
        <x:v>This six-column section mirrors the yellow review fields and is ready to export as CSV.</x:v>
      </x:c>
      <x:c r="L5" s="552"/>
      <x:c r="M5" s="552"/>
      <x:c r="N5" s="552"/>
      <x:c r="O5" s="552"/>
      <x:c r="P5" s="552"/>
    </x:row>
    <x:row r="6" ht="32" customHeight="1">
      <x:c r="A6"/>
      <x:c r="B6"/>
      <x:c r="D6"/>
      <x:c r="E6"/>
      <x:c r="G6"/>
      <x:c r="H6"/>
    </x:row>
    <x:row r="7" ht="32" customHeight="1">
      <x:c r="A7" s="563" t="str">
        <x:v>question_id</x:v>
      </x:c>
      <x:c r="B7" s="564" t="str">
        <x:v>language</x:v>
      </x:c>
      <x:c r="C7" s="564" t="str">
        <x:v>question</x:v>
      </x:c>
      <x:c r="D7" s="564" t="str">
        <x:v>proposed evidence summary</x:v>
      </x:c>
      <x:c r="E7" s="564" t="str">
        <x:v>status</x:v>
      </x:c>
      <x:c r="F7" s="564" t="str">
        <x:v>human_relevant_chunk_ids</x:v>
      </x:c>
      <x:c r="G7" s="564" t="str">
        <x:v>correction_notes</x:v>
      </x:c>
      <x:c r="H7" s="564" t="str">
        <x:v>reviewer</x:v>
      </x:c>
      <x:c r="I7" s="565" t="str">
        <x:v>reviewed_at</x:v>
      </x:c>
      <x:c r="K7" s="563" t="str">
        <x:v>question_id</x:v>
      </x:c>
      <x:c r="L7" s="564" t="str">
        <x:v>status</x:v>
      </x:c>
      <x:c r="M7" s="564" t="str">
        <x:v>human_relevant_chunk_ids</x:v>
      </x:c>
      <x:c r="N7" s="564" t="str">
        <x:v>reviewer</x:v>
      </x:c>
      <x:c r="O7" s="564" t="str">
        <x:v>reviewed_at</x:v>
      </x:c>
      <x:c r="P7" s="565" t="str">
        <x:v>correction_notes</x:v>
      </x:c>
    </x:row>
    <x:row r="8" ht="60" customHeight="1">
      <x:c r="A8" s="599" t="str">
        <x:v>gold30-001</x:v>
      </x:c>
      <x:c r="B8" s="574" t="str">
        <x:v>English</x:v>
      </x:c>
      <x:c r="C8" s="574" t="str">
        <x:v>What is the latest PM2.5 reading for Jakarta Pusat, and when was it observed?</x:v>
      </x:c>
      <x:c r="D8" s="574" t="str">
        <x:v>Sources: jakarta-monitoring. Proposed chunks: jakarta-monitoring:structure:0. The official station portal establishes that readings need a station, pollutant, value and timestamp; a current value must come from the measurement tool.</x:v>
      </x:c>
      <x:c r="E8" s="585" t="str">
        <x:v>Pending</x:v>
      </x:c>
      <x:c r="F8" s="585" t="str"/>
      <x:c r="G8" s="585" t="str"/>
      <x:c r="H8" s="585" t="str"/>
      <x:c r="I8" s="605" t="str"/>
      <x:c r="K8" s="602" t="str">
        <x:f>A8</x:f>
        <x:v>gold30-001</x:v>
      </x:c>
      <x:c r="L8" s="596" t="str">
        <x:f>E8</x:f>
        <x:v>Pending</x:v>
      </x:c>
      <x:c r="M8" s="608" t="str">
        <x:f>IF(F8="","",F8)</x:f>
      </x:c>
      <x:c r="N8" s="596" t="str">
        <x:f>IF(H8="","",H8)</x:f>
      </x:c>
      <x:c r="O8" s="596" t="str">
        <x:f>IF(I8="","",I8)</x:f>
      </x:c>
      <x:c r="P8" s="596" t="str">
        <x:f>IF(G8="","",G8)</x:f>
      </x:c>
    </x:row>
    <x:row r="9" ht="60" customHeight="1">
      <x:c r="A9" s="600" t="str">
        <x:v>gold30-002</x:v>
      </x:c>
      <x:c r="B9" s="575" t="str">
        <x:v>Bahasa Indonesia</x:v>
      </x:c>
      <x:c r="C9" s="575" t="str">
        <x:v>Stasiun mana di Jakarta yang punya pembacaan ISPU terbaru paling tinggi?</x:v>
      </x:c>
      <x:c r="D9" s="575" t="str">
        <x:v>Sources: jakarta-monitoring, ispu. Proposed chunks: jakarta-monitoring:structure:0, ispu:structure:0. Requires a current-station lookup plus the ISPU category interpretation; the corpus alone cannot substitute for a live observation.</x:v>
      </x:c>
      <x:c r="E9" s="586" t="str">
        <x:v>Pending</x:v>
      </x:c>
      <x:c r="F9" s="586" t="str"/>
      <x:c r="G9" s="586" t="str"/>
      <x:c r="H9" s="586" t="str"/>
      <x:c r="I9" s="606" t="str"/>
      <x:c r="K9" s="603" t="str">
        <x:f>A9</x:f>
        <x:v>gold30-002</x:v>
      </x:c>
      <x:c r="L9" s="597" t="str">
        <x:f>E9</x:f>
        <x:v>Pending</x:v>
      </x:c>
      <x:c r="M9" s="609" t="str">
        <x:f>IF(F9="","",F9)</x:f>
      </x:c>
      <x:c r="N9" s="597" t="str">
        <x:f>IF(H9="","",H9)</x:f>
      </x:c>
      <x:c r="O9" s="597" t="str">
        <x:f>IF(I9="","",I9)</x:f>
      </x:c>
      <x:c r="P9" s="597" t="str">
        <x:f>IF(G9="","",G9)</x:f>
      </x:c>
    </x:row>
    <x:row r="10" ht="60" customHeight="1">
      <x:c r="A10" s="600" t="str">
        <x:v>gold30-003</x:v>
      </x:c>
      <x:c r="B10" s="575" t="str">
        <x:v>English</x:v>
      </x:c>
      <x:c r="C10" s="575" t="str">
        <x:v>Is an ISPU of 125 a concentration of 125 µg/m³?</x:v>
      </x:c>
      <x:c r="D10" s="575" t="str">
        <x:v>Sources: ispu. Proposed chunks: ispu:structure:0. The ISPU source explicitly separates the unitless index from a physical pollutant concentration.</x:v>
      </x:c>
      <x:c r="E10" s="586" t="str">
        <x:v>Pending</x:v>
      </x:c>
      <x:c r="F10" s="586" t="str"/>
      <x:c r="G10" s="586" t="str"/>
      <x:c r="H10" s="586" t="str"/>
      <x:c r="I10" s="606" t="str"/>
      <x:c r="K10" s="603" t="str">
        <x:f>A10</x:f>
        <x:v>gold30-003</x:v>
      </x:c>
      <x:c r="L10" s="597" t="str">
        <x:f>E10</x:f>
        <x:v>Pending</x:v>
      </x:c>
      <x:c r="M10" s="609" t="str">
        <x:f>IF(F10="","",F10)</x:f>
      </x:c>
      <x:c r="N10" s="597" t="str">
        <x:f>IF(H10="","",H10)</x:f>
      </x:c>
      <x:c r="O10" s="597" t="str">
        <x:f>IF(I10="","",I10)</x:f>
      </x:c>
      <x:c r="P10" s="597" t="str">
        <x:f>IF(G10="","",G10)</x:f>
      </x:c>
    </x:row>
    <x:row r="11" ht="60" customHeight="1">
      <x:c r="A11" s="600" t="str">
        <x:v>gold30-004</x:v>
      </x:c>
      <x:c r="B11" s="575" t="str">
        <x:v>Bahasa Indonesia</x:v>
      </x:c>
      <x:c r="C11" s="575" t="str">
        <x:v>Tolong cek kualitas udara di Kepulauan Seribu—jika tidak ada data, apa yang bisa disimpulkan?</x:v>
      </x:c>
      <x:c r="D11" s="575" t="str">
        <x:v>Sources: jakarta-monitoring. Proposed chunks: jakarta-monitoring:structure:0. This is a negative/no-result case: the answer should report absence of a matching observation rather than inventing a value; the portal source documents station scope.</x:v>
      </x:c>
      <x:c r="E11" s="586" t="str">
        <x:v>Pending</x:v>
      </x:c>
      <x:c r="F11" s="586" t="str"/>
      <x:c r="G11" s="586" t="str"/>
      <x:c r="H11" s="586" t="str"/>
      <x:c r="I11" s="606" t="str"/>
      <x:c r="K11" s="603" t="str">
        <x:f>A11</x:f>
        <x:v>gold30-004</x:v>
      </x:c>
      <x:c r="L11" s="597" t="str">
        <x:f>E11</x:f>
        <x:v>Pending</x:v>
      </x:c>
      <x:c r="M11" s="609" t="str">
        <x:f>IF(F11="","",F11)</x:f>
      </x:c>
      <x:c r="N11" s="597" t="str">
        <x:f>IF(H11="","",H11)</x:f>
      </x:c>
      <x:c r="O11" s="597" t="str">
        <x:f>IF(I11="","",I11)</x:f>
      </x:c>
      <x:c r="P11" s="597" t="str">
        <x:f>IF(G11="","",G11)</x:f>
      </x:c>
    </x:row>
    <x:row r="12" ht="60" customHeight="1">
      <x:c r="A12" s="600" t="str">
        <x:v>gold30-005</x:v>
      </x:c>
      <x:c r="B12" s="575" t="str">
        <x:v>English</x:v>
      </x:c>
      <x:c r="C12" s="575" t="str">
        <x:v>What does ISPU 45 mean, and how is that different from PM2.5 at 15 µg/m³?</x:v>
      </x:c>
      <x:c r="D12" s="575" t="str">
        <x:v>Sources: ispu. Proposed chunks: ispu:structure:1. ISPU 45 is a category value, while PM2.5 is a concentration with units; the index source supports the distinction.</x:v>
      </x:c>
      <x:c r="E12" s="586" t="str">
        <x:v>Pending</x:v>
      </x:c>
      <x:c r="F12" s="586" t="str"/>
      <x:c r="G12" s="586" t="str"/>
      <x:c r="H12" s="586" t="str"/>
      <x:c r="I12" s="606" t="str"/>
      <x:c r="K12" s="603" t="str">
        <x:f>A12</x:f>
        <x:v>gold30-005</x:v>
      </x:c>
      <x:c r="L12" s="597" t="str">
        <x:f>E12</x:f>
        <x:v>Pending</x:v>
      </x:c>
      <x:c r="M12" s="609" t="str">
        <x:f>IF(F12="","",F12)</x:f>
      </x:c>
      <x:c r="N12" s="597" t="str">
        <x:f>IF(H12="","",H12)</x:f>
      </x:c>
      <x:c r="O12" s="597" t="str">
        <x:f>IF(I12="","",I12)</x:f>
      </x:c>
      <x:c r="P12" s="597" t="str">
        <x:f>IF(G12="","",G12)</x:f>
      </x:c>
    </x:row>
    <x:row r="13" ht="60" customHeight="1">
      <x:c r="A13" s="600" t="str">
        <x:v>gold30-006</x:v>
      </x:c>
      <x:c r="B13" s="575" t="str">
        <x:v>Bahasa Indonesia</x:v>
      </x:c>
      <x:c r="C13" s="575" t="str">
        <x:v>Berapa pedoman WHO PM2.5 tahunan dan 24 jam, dan apakah itu ambang hukum Indonesia?</x:v>
      </x:c>
      <x:c r="D13" s="575" t="str">
        <x:v>Sources: who-aqg-2021-extract, jakarta-regulations. Proposed chunks: who-aqg-2021-extract:structure:2, jakarta-regulations:structure:0. Needs complementary WHO numeric guidance and Indonesian legal-status context; neither source alone answers both parts.</x:v>
      </x:c>
      <x:c r="E13" s="586" t="str">
        <x:v>Pending</x:v>
      </x:c>
      <x:c r="F13" s="586" t="str"/>
      <x:c r="G13" s="586" t="str"/>
      <x:c r="H13" s="586" t="str"/>
      <x:c r="I13" s="606" t="str"/>
      <x:c r="K13" s="603" t="str">
        <x:f>A13</x:f>
        <x:v>gold30-006</x:v>
      </x:c>
      <x:c r="L13" s="597" t="str">
        <x:f>E13</x:f>
        <x:v>Pending</x:v>
      </x:c>
      <x:c r="M13" s="609" t="str">
        <x:f>IF(F13="","",F13)</x:f>
      </x:c>
      <x:c r="N13" s="597" t="str">
        <x:f>IF(H13="","",H13)</x:f>
      </x:c>
      <x:c r="O13" s="597" t="str">
        <x:f>IF(I13="","",I13)</x:f>
      </x:c>
      <x:c r="P13" s="597" t="str">
        <x:f>IF(G13="","",G13)</x:f>
      </x:c>
    </x:row>
    <x:row r="14" ht="60" customHeight="1">
      <x:c r="A14" s="600" t="str">
        <x:v>gold30-007</x:v>
      </x:c>
      <x:c r="B14" s="575" t="str">
        <x:v>English</x:v>
      </x:c>
      <x:c r="C14" s="575" t="str">
        <x:v>Did Jakarta's historical PM2.5 series come from station sensors or a model?</x:v>
      </x:c>
      <x:c r="D14" s="575" t="str">
        <x:v>Sources: jakarta-historical-city-series. Proposed chunks: jakarta-historical-city-series:structure:2. The historical-series provenance notes CAMS/Open-Meteo model concentrations rather than DKI station measurements.</x:v>
      </x:c>
      <x:c r="E14" s="586" t="str">
        <x:v>Pending</x:v>
      </x:c>
      <x:c r="F14" s="586" t="str"/>
      <x:c r="G14" s="586" t="str"/>
      <x:c r="H14" s="586" t="str"/>
      <x:c r="I14" s="606" t="str"/>
      <x:c r="K14" s="603" t="str">
        <x:f>A14</x:f>
        <x:v>gold30-007</x:v>
      </x:c>
      <x:c r="L14" s="597" t="str">
        <x:f>E14</x:f>
        <x:v>Pending</x:v>
      </x:c>
      <x:c r="M14" s="609" t="str">
        <x:f>IF(F14="","",F14)</x:f>
      </x:c>
      <x:c r="N14" s="597" t="str">
        <x:f>IF(H14="","",H14)</x:f>
      </x:c>
      <x:c r="O14" s="597" t="str">
        <x:f>IF(I14="","",I14)</x:f>
      </x:c>
      <x:c r="P14" s="597" t="str">
        <x:f>IF(G14="","",G14)</x:f>
      </x:c>
    </x:row>
    <x:row r="15" ht="60" customHeight="1">
      <x:c r="A15" s="600" t="str">
        <x:v>gold30-008</x:v>
      </x:c>
      <x:c r="B15" s="575" t="str">
        <x:v>Bahasa Indonesia</x:v>
      </x:c>
      <x:c r="C15" s="575" t="str">
        <x:v>Mengapa PM10 dan PM2.5 pada data historis dipisahkan?</x:v>
      </x:c>
      <x:c r="D15" s="575" t="str">
        <x:v>Sources: jakarta-historical-city-series. Proposed chunks: jakarta-historical-city-series:structure:2. The series description defines PM10 and PM2.5 as separate pollutant variables with separate units and averaging.</x:v>
      </x:c>
      <x:c r="E15" s="586" t="str">
        <x:v>Pending</x:v>
      </x:c>
      <x:c r="F15" s="586" t="str"/>
      <x:c r="G15" s="586" t="str"/>
      <x:c r="H15" s="586" t="str"/>
      <x:c r="I15" s="606" t="str"/>
      <x:c r="K15" s="603" t="str">
        <x:f>A15</x:f>
        <x:v>gold30-008</x:v>
      </x:c>
      <x:c r="L15" s="597" t="str">
        <x:f>E15</x:f>
        <x:v>Pending</x:v>
      </x:c>
      <x:c r="M15" s="609" t="str">
        <x:f>IF(F15="","",F15)</x:f>
      </x:c>
      <x:c r="N15" s="597" t="str">
        <x:f>IF(H15="","",H15)</x:f>
      </x:c>
      <x:c r="O15" s="597" t="str">
        <x:f>IF(I15="","",I15)</x:f>
      </x:c>
      <x:c r="P15" s="597" t="str">
        <x:f>IF(G15="","",G15)</x:f>
      </x:c>
    </x:row>
    <x:row r="16" ht="60" customHeight="1">
      <x:c r="A16" s="600" t="str">
        <x:v>gold30-009</x:v>
      </x:c>
      <x:c r="B16" s="575" t="str">
        <x:v>English</x:v>
      </x:c>
      <x:c r="C16" s="575" t="str">
        <x:v>Can an ISPU category alone tell me whether the WHO annual guideline was met?</x:v>
      </x:c>
      <x:c r="D16" s="575" t="str">
        <x:v>Sources: ispu, who-aqg-2021-extract. Proposed chunks: ispu:structure:0, who-aqg-2021-extract:structure:2. Requires keeping an index category, concentration, pollutant and averaging period distinct; complementary sources are needed.</x:v>
      </x:c>
      <x:c r="E16" s="586" t="str">
        <x:v>Pending</x:v>
      </x:c>
      <x:c r="F16" s="586" t="str"/>
      <x:c r="G16" s="586" t="str"/>
      <x:c r="H16" s="586" t="str"/>
      <x:c r="I16" s="606" t="str"/>
      <x:c r="K16" s="603" t="str">
        <x:f>A16</x:f>
        <x:v>gold30-009</x:v>
      </x:c>
      <x:c r="L16" s="597" t="str">
        <x:f>E16</x:f>
        <x:v>Pending</x:v>
      </x:c>
      <x:c r="M16" s="609" t="str">
        <x:f>IF(F16="","",F16)</x:f>
      </x:c>
      <x:c r="N16" s="597" t="str">
        <x:f>IF(H16="","",H16)</x:f>
      </x:c>
      <x:c r="O16" s="597" t="str">
        <x:f>IF(I16="","",I16)</x:f>
      </x:c>
      <x:c r="P16" s="597" t="str">
        <x:f>IF(G16="","",G16)</x:f>
      </x:c>
    </x:row>
    <x:row r="17" ht="60" customHeight="1">
      <x:c r="A17" s="600" t="str">
        <x:v>gold30-010</x:v>
      </x:c>
      <x:c r="B17" s="575" t="str">
        <x:v>Bahasa Indonesia</x:v>
      </x:c>
      <x:c r="C17" s="575" t="str">
        <x:v>Sumber apa yang terkait dengan PM2.5 Jakarta, dan mengapa satu sumber tidak boleh langsung disebut penyebab pembacaan satu stasiun?</x:v>
      </x:c>
      <x:c r="D17" s="575" t="str">
        <x:v>Sources: jakarta-causes. Proposed chunks: jakarta-causes:structure:0. The causes record distinguishes likely contributors and cautions against causal claims about a single timestamped station reading.</x:v>
      </x:c>
      <x:c r="E17" s="586" t="str">
        <x:v>Pending</x:v>
      </x:c>
      <x:c r="F17" s="586" t="str"/>
      <x:c r="G17" s="586" t="str"/>
      <x:c r="H17" s="586" t="str"/>
      <x:c r="I17" s="606" t="str"/>
      <x:c r="K17" s="603" t="str">
        <x:f>A17</x:f>
        <x:v>gold30-010</x:v>
      </x:c>
      <x:c r="L17" s="597" t="str">
        <x:f>E17</x:f>
        <x:v>Pending</x:v>
      </x:c>
      <x:c r="M17" s="609" t="str">
        <x:f>IF(F17="","",F17)</x:f>
      </x:c>
      <x:c r="N17" s="597" t="str">
        <x:f>IF(H17="","",H17)</x:f>
      </x:c>
      <x:c r="O17" s="597" t="str">
        <x:f>IF(I17="","",I17)</x:f>
      </x:c>
      <x:c r="P17" s="597" t="str">
        <x:f>IF(G17="","",G17)</x:f>
      </x:c>
    </x:row>
    <x:row r="18" ht="60" customHeight="1">
      <x:c r="A18" s="600" t="str">
        <x:v>gold30-011</x:v>
      </x:c>
      <x:c r="B18" s="575" t="str">
        <x:v>English</x:v>
      </x:c>
      <x:c r="C18" s="575" t="str">
        <x:v>What is the difference between an emissions inventory and source apportionment?</x:v>
      </x:c>
      <x:c r="D18" s="575" t="str">
        <x:v>Sources: jakarta-causes. Proposed chunks: jakarta-causes:structure:1. The causes record explains the different methods and their interpretation limits.</x:v>
      </x:c>
      <x:c r="E18" s="586" t="str">
        <x:v>Pending</x:v>
      </x:c>
      <x:c r="F18" s="586" t="str"/>
      <x:c r="G18" s="586" t="str"/>
      <x:c r="H18" s="586" t="str"/>
      <x:c r="I18" s="606" t="str"/>
      <x:c r="K18" s="603" t="str">
        <x:f>A18</x:f>
        <x:v>gold30-011</x:v>
      </x:c>
      <x:c r="L18" s="597" t="str">
        <x:f>E18</x:f>
        <x:v>Pending</x:v>
      </x:c>
      <x:c r="M18" s="609" t="str">
        <x:f>IF(F18="","",F18)</x:f>
      </x:c>
      <x:c r="N18" s="597" t="str">
        <x:f>IF(H18="","",H18)</x:f>
      </x:c>
      <x:c r="O18" s="597" t="str">
        <x:f>IF(I18="","",I18)</x:f>
      </x:c>
      <x:c r="P18" s="597" t="str">
        <x:f>IF(G18="","",G18)</x:f>
      </x:c>
    </x:row>
    <x:row r="19" ht="60" customHeight="1">
      <x:c r="A19" s="600" t="str">
        <x:v>gold30-012</x:v>
      </x:c>
      <x:c r="B19" s="575" t="str">
        <x:v>Bahasa Indonesia</x:v>
      </x:c>
      <x:c r="C19" s="575" t="str">
        <x:v>Apakah pembacaan tinggi di jalan saya membuktikan pabrik menjadi penyebabnya?</x:v>
      </x:c>
      <x:c r="D19" s="575" t="str">
        <x:v>Sources: jakarta-causes. Proposed chunks: jakarta-causes:structure:0. Ambiguous causal question; the source supports multiple contributors and explicitly rejects assigning one cause to one reading without local evidence.</x:v>
      </x:c>
      <x:c r="E19" s="586" t="str">
        <x:v>Pending</x:v>
      </x:c>
      <x:c r="F19" s="586" t="str"/>
      <x:c r="G19" s="586" t="str"/>
      <x:c r="H19" s="586" t="str"/>
      <x:c r="I19" s="606" t="str"/>
      <x:c r="K19" s="603" t="str">
        <x:f>A19</x:f>
        <x:v>gold30-012</x:v>
      </x:c>
      <x:c r="L19" s="597" t="str">
        <x:f>E19</x:f>
        <x:v>Pending</x:v>
      </x:c>
      <x:c r="M19" s="609" t="str">
        <x:f>IF(F19="","",F19)</x:f>
      </x:c>
      <x:c r="N19" s="597" t="str">
        <x:f>IF(H19="","",H19)</x:f>
      </x:c>
      <x:c r="O19" s="597" t="str">
        <x:f>IF(I19="","",I19)</x:f>
      </x:c>
      <x:c r="P19" s="597" t="str">
        <x:f>IF(G19="","",G19)</x:f>
      </x:c>
    </x:row>
    <x:row r="20" ht="60" customHeight="1">
      <x:c r="A20" s="600" t="str">
        <x:v>gold30-013</x:v>
      </x:c>
      <x:c r="B20" s="575" t="str">
        <x:v>English</x:v>
      </x:c>
      <x:c r="C20" s="575" t="str">
        <x:v>Does Jakarta's air pollution come only from inside the city?</x:v>
      </x:c>
      <x:c r="D20" s="575" t="str">
        <x:v>Sources: jakarta-causes, jakarta-policy-implementation. Proposed chunks: jakarta-causes:structure:0, jakarta-policy-implementation:structure:2. Needs the causes discussion of local and regional sources and the implementation record's airshed/coordination context.</x:v>
      </x:c>
      <x:c r="E20" s="586" t="str">
        <x:v>Pending</x:v>
      </x:c>
      <x:c r="F20" s="586" t="str"/>
      <x:c r="G20" s="586" t="str"/>
      <x:c r="H20" s="586" t="str"/>
      <x:c r="I20" s="606" t="str"/>
      <x:c r="K20" s="603" t="str">
        <x:f>A20</x:f>
        <x:v>gold30-013</x:v>
      </x:c>
      <x:c r="L20" s="597" t="str">
        <x:f>E20</x:f>
        <x:v>Pending</x:v>
      </x:c>
      <x:c r="M20" s="609" t="str">
        <x:f>IF(F20="","",F20)</x:f>
      </x:c>
      <x:c r="N20" s="597" t="str">
        <x:f>IF(H20="","",H20)</x:f>
      </x:c>
      <x:c r="O20" s="597" t="str">
        <x:f>IF(I20="","",I20)</x:f>
      </x:c>
      <x:c r="P20" s="597" t="str">
        <x:f>IF(G20="","",G20)</x:f>
      </x:c>
    </x:row>
    <x:row r="21" ht="60" customHeight="1">
      <x:c r="A21" s="600" t="str">
        <x:v>gold30-014</x:v>
      </x:c>
      <x:c r="B21" s="575" t="str">
        <x:v>Bahasa Indonesia</x:v>
      </x:c>
      <x:c r="C21" s="575" t="str">
        <x:v>Apakah Pergub 66/2020 masih tercatat berlaku, dan apa yang dibuktikannya tentang penegakan?</x:v>
      </x:c>
      <x:c r="D21" s="575" t="str">
        <x:v>Sources: pergub-66-2020-vehicle-testing, jakarta-emission-testing. Proposed chunks: pergub-66-2020-vehicle-testing:structure:0, jakarta-emission-testing:structure:0. Separates legal status from evidence of enforcement; the legal record and DKI FAQ provide complementary context.</x:v>
      </x:c>
      <x:c r="E21" s="586" t="str">
        <x:v>Pending</x:v>
      </x:c>
      <x:c r="F21" s="586" t="str"/>
      <x:c r="G21" s="586" t="str"/>
      <x:c r="H21" s="586" t="str"/>
      <x:c r="I21" s="606" t="str"/>
      <x:c r="K21" s="603" t="str">
        <x:f>A21</x:f>
        <x:v>gold30-014</x:v>
      </x:c>
      <x:c r="L21" s="597" t="str">
        <x:f>E21</x:f>
        <x:v>Pending</x:v>
      </x:c>
      <x:c r="M21" s="609" t="str">
        <x:f>IF(F21="","",F21)</x:f>
      </x:c>
      <x:c r="N21" s="597" t="str">
        <x:f>IF(H21="","",H21)</x:f>
      </x:c>
      <x:c r="O21" s="597" t="str">
        <x:f>IF(I21="","",I21)</x:f>
      </x:c>
      <x:c r="P21" s="597" t="str">
        <x:f>IF(G21="","",G21)</x:f>
      </x:c>
    </x:row>
    <x:row r="22" ht="60" customHeight="1">
      <x:c r="A22" s="600" t="str">
        <x:v>gold30-015</x:v>
      </x:c>
      <x:c r="B22" s="575" t="str">
        <x:v>English</x:v>
      </x:c>
      <x:c r="C22" s="575" t="str">
        <x:v>Which vehicle categories and ages are covered by Permen LHK 8/2023?</x:v>
      </x:c>
      <x:c r="D22" s="575" t="str">
        <x:v>Sources: permen-lhk-8-2023-vehicle-emissions. Proposed chunks: permen-lhk-8-2023-vehicle-emissions:structure:0. The official abstract states categories M, N, O and L and the more-than-three-years condition.</x:v>
      </x:c>
      <x:c r="E22" s="586" t="str">
        <x:v>Pending</x:v>
      </x:c>
      <x:c r="F22" s="586" t="str"/>
      <x:c r="G22" s="586" t="str"/>
      <x:c r="H22" s="586" t="str"/>
      <x:c r="I22" s="606" t="str"/>
      <x:c r="K22" s="603" t="str">
        <x:f>A22</x:f>
        <x:v>gold30-015</x:v>
      </x:c>
      <x:c r="L22" s="597" t="str">
        <x:f>E22</x:f>
        <x:v>Pending</x:v>
      </x:c>
      <x:c r="M22" s="609" t="str">
        <x:f>IF(F22="","",F22)</x:f>
      </x:c>
      <x:c r="N22" s="597" t="str">
        <x:f>IF(H22="","",H22)</x:f>
      </x:c>
      <x:c r="O22" s="597" t="str">
        <x:f>IF(I22="","",I22)</x:f>
      </x:c>
      <x:c r="P22" s="597" t="str">
        <x:f>IF(G22="","",G22)</x:f>
      </x:c>
    </x:row>
    <x:row r="23" ht="60" customHeight="1">
      <x:c r="A23" s="600" t="str">
        <x:v>gold30-016</x:v>
      </x:c>
      <x:c r="B23" s="575" t="str">
        <x:v>Bahasa Indonesia</x:v>
      </x:c>
      <x:c r="C23" s="575" t="str">
        <x:v>Apakah konektivitas CEMS menunjukkan bahwa setiap cerobong sudah memenuhi batas emisi?</x:v>
      </x:c>
      <x:c r="D23" s="575" t="str">
        <x:v>Sources: permen-lhk-13-2021-cems, jakarta-cems-monitoring. Proposed chunks: permen-lhk-13-2021-cems:structure:0, jakarta-cems-monitoring:structure:1. Requires the regulation's CEMS boundary and the DKI monitoring-programme caveat that connectivity is not compliance proof.</x:v>
      </x:c>
      <x:c r="E23" s="586" t="str">
        <x:v>Pending</x:v>
      </x:c>
      <x:c r="F23" s="586" t="str"/>
      <x:c r="G23" s="586" t="str"/>
      <x:c r="H23" s="586" t="str"/>
      <x:c r="I23" s="606" t="str"/>
      <x:c r="K23" s="603" t="str">
        <x:f>A23</x:f>
        <x:v>gold30-016</x:v>
      </x:c>
      <x:c r="L23" s="597" t="str">
        <x:f>E23</x:f>
        <x:v>Pending</x:v>
      </x:c>
      <x:c r="M23" s="609" t="str">
        <x:f>IF(F23="","",F23)</x:f>
      </x:c>
      <x:c r="N23" s="597" t="str">
        <x:f>IF(H23="","",H23)</x:f>
      </x:c>
      <x:c r="O23" s="597" t="str">
        <x:f>IF(I23="","",I23)</x:f>
      </x:c>
      <x:c r="P23" s="597" t="str">
        <x:f>IF(G23="","",G23)</x:f>
      </x:c>
    </x:row>
    <x:row r="24" ht="60" customHeight="1">
      <x:c r="A24" s="600" t="str">
        <x:v>gold30-017</x:v>
      </x:c>
      <x:c r="B24" s="575" t="str">
        <x:v>English</x:v>
      </x:c>
      <x:c r="C24" s="575" t="str">
        <x:v>What does the Jakarta air-pollution court record establish, and does it prove every order was implemented?</x:v>
      </x:c>
      <x:c r="D24" s="575" t="str">
        <x:v>Sources: jakarta-court-air-quality, ma-jakarta-air-lawsuit-record. Proposed chunks: jakarta-court-air-quality:structure:1, ma-jakarta-air-lawsuit-record:structure:1. Court-record identity and execution status are separate questions; both normalized records state that implementation needs later verification.</x:v>
      </x:c>
      <x:c r="E24" s="586" t="str">
        <x:v>Pending</x:v>
      </x:c>
      <x:c r="F24" s="586" t="str"/>
      <x:c r="G24" s="586" t="str"/>
      <x:c r="H24" s="586" t="str"/>
      <x:c r="I24" s="606" t="str"/>
      <x:c r="K24" s="603" t="str">
        <x:f>A24</x:f>
        <x:v>gold30-017</x:v>
      </x:c>
      <x:c r="L24" s="597" t="str">
        <x:f>E24</x:f>
        <x:v>Pending</x:v>
      </x:c>
      <x:c r="M24" s="609" t="str">
        <x:f>IF(F24="","",F24)</x:f>
      </x:c>
      <x:c r="N24" s="597" t="str">
        <x:f>IF(H24="","",H24)</x:f>
      </x:c>
      <x:c r="O24" s="597" t="str">
        <x:f>IF(I24="","",I24)</x:f>
      </x:c>
      <x:c r="P24" s="597" t="str">
        <x:f>IF(G24="","",G24)</x:f>
      </x:c>
    </x:row>
    <x:row r="25" ht="60" customHeight="1">
      <x:c r="A25" s="600" t="str">
        <x:v>gold30-018</x:v>
      </x:c>
      <x:c r="B25" s="575" t="str">
        <x:v>Bahasa Indonesia</x:v>
      </x:c>
      <x:c r="C25" s="575" t="str">
        <x:v>Mengapa aturan dapat tetap ada sementara kualitas udara Jakarta masih buruk?</x:v>
      </x:c>
      <x:c r="D25" s="575" t="str">
        <x:v>Sources: jakarta-policy-implementation, jakarta-regulations, jakarta-court-air-quality. Proposed chunks: jakarta-policy-implementation:structure:0, jakarta-regulations:structure:0, jakarta-court-air-quality:structure:1. Complementary rule-on-paper, implementation-gap and court context are required for a cautious explanation.</x:v>
      </x:c>
      <x:c r="E25" s="586" t="str">
        <x:v>Pending</x:v>
      </x:c>
      <x:c r="F25" s="586" t="str"/>
      <x:c r="G25" s="586" t="str"/>
      <x:c r="H25" s="586" t="str"/>
      <x:c r="I25" s="606" t="str"/>
      <x:c r="K25" s="603" t="str">
        <x:f>A25</x:f>
        <x:v>gold30-018</x:v>
      </x:c>
      <x:c r="L25" s="597" t="str">
        <x:f>E25</x:f>
        <x:v>Pending</x:v>
      </x:c>
      <x:c r="M25" s="609" t="str">
        <x:f>IF(F25="","",F25)</x:f>
      </x:c>
      <x:c r="N25" s="597" t="str">
        <x:f>IF(H25="","",H25)</x:f>
      </x:c>
      <x:c r="O25" s="597" t="str">
        <x:f>IF(I25="","",I25)</x:f>
      </x:c>
      <x:c r="P25" s="597" t="str">
        <x:f>IF(G25="","",G25)</x:f>
      </x:c>
    </x:row>
    <x:row r="26" ht="60" customHeight="1">
      <x:c r="A26" s="600" t="str">
        <x:v>gold30-019</x:v>
      </x:c>
      <x:c r="B26" s="575" t="str">
        <x:v>English</x:v>
      </x:c>
      <x:c r="C26" s="575" t="str">
        <x:v>What should I do on a bad-air day, and do masks replace clean-air policy?</x:v>
      </x:c>
      <x:c r="D26" s="575" t="str">
        <x:v>Sources: bad-air-day-protection, exposure-protection. Proposed chunks: bad-air-day-protection:structure:3, exposure-protection:structure:1. The health guidance covers immediate exposure reduction and the explicit limit that personal protection cannot replace emissions policy.</x:v>
      </x:c>
      <x:c r="E26" s="586" t="str">
        <x:v>Pending</x:v>
      </x:c>
      <x:c r="F26" s="586" t="str"/>
      <x:c r="G26" s="586" t="str"/>
      <x:c r="H26" s="586" t="str"/>
      <x:c r="I26" s="606" t="str"/>
      <x:c r="K26" s="603" t="str">
        <x:f>A26</x:f>
        <x:v>gold30-019</x:v>
      </x:c>
      <x:c r="L26" s="597" t="str">
        <x:f>E26</x:f>
        <x:v>Pending</x:v>
      </x:c>
      <x:c r="M26" s="609" t="str">
        <x:f>IF(F26="","",F26)</x:f>
      </x:c>
      <x:c r="N26" s="597" t="str">
        <x:f>IF(H26="","",H26)</x:f>
      </x:c>
      <x:c r="O26" s="597" t="str">
        <x:f>IF(I26="","",I26)</x:f>
      </x:c>
      <x:c r="P26" s="597" t="str">
        <x:f>IF(G26="","",G26)</x:f>
      </x:c>
    </x:row>
    <x:row r="27" ht="60" customHeight="1">
      <x:c r="A27" s="600" t="str">
        <x:v>gold30-020</x:v>
      </x:c>
      <x:c r="B27" s="575" t="str">
        <x:v>Bahasa Indonesia</x:v>
      </x:c>
      <x:c r="C27" s="575" t="str">
        <x:v>Bagaimana memilih pembersih udara untuk kamar 20 m², dan apa batasannya?</x:v>
      </x:c>
      <x:c r="D27" s="575" t="str">
        <x:v>Sources: clean-air-room. Proposed chunks: clean-air-room:structure:0. The EPA-derived room-sizing and limitation guidance supports a cautious engineering answer, not a local health guarantee.</x:v>
      </x:c>
      <x:c r="E27" s="586" t="str">
        <x:v>Pending</x:v>
      </x:c>
      <x:c r="F27" s="586" t="str"/>
      <x:c r="G27" s="586" t="str"/>
      <x:c r="H27" s="586" t="str"/>
      <x:c r="I27" s="606" t="str"/>
      <x:c r="K27" s="603" t="str">
        <x:f>A27</x:f>
        <x:v>gold30-020</x:v>
      </x:c>
      <x:c r="L27" s="597" t="str">
        <x:f>E27</x:f>
        <x:v>Pending</x:v>
      </x:c>
      <x:c r="M27" s="609" t="str">
        <x:f>IF(F27="","",F27)</x:f>
      </x:c>
      <x:c r="N27" s="597" t="str">
        <x:f>IF(H27="","",H27)</x:f>
      </x:c>
      <x:c r="O27" s="597" t="str">
        <x:f>IF(I27="","",I27)</x:f>
      </x:c>
      <x:c r="P27" s="597" t="str">
        <x:f>IF(G27="","",G27)</x:f>
      </x:c>
    </x:row>
    <x:row r="28" ht="60" customHeight="1">
      <x:c r="A28" s="600" t="str">
        <x:v>gold30-021</x:v>
      </x:c>
      <x:c r="B28" s="575" t="str">
        <x:v>English</x:v>
      </x:c>
      <x:c r="C28" s="575" t="str">
        <x:v>Is an N95-style particulate respirator protection against every pollutant?</x:v>
      </x:c>
      <x:c r="D28" s="575" t="str">
        <x:v>Sources: who-personal-interventions-2024, exposure-protection. Proposed chunks: who-personal-interventions-2024:structure:3, exposure-protection:structure:1. The guidance supports particulate protection with fit caveats and says respirators do not filter every gas.</x:v>
      </x:c>
      <x:c r="E28" s="586" t="str">
        <x:v>Pending</x:v>
      </x:c>
      <x:c r="F28" s="586" t="str"/>
      <x:c r="G28" s="586" t="str"/>
      <x:c r="H28" s="586" t="str"/>
      <x:c r="I28" s="606" t="str"/>
      <x:c r="K28" s="603" t="str">
        <x:f>A28</x:f>
        <x:v>gold30-021</x:v>
      </x:c>
      <x:c r="L28" s="597" t="str">
        <x:f>E28</x:f>
        <x:v>Pending</x:v>
      </x:c>
      <x:c r="M28" s="609" t="str">
        <x:f>IF(F28="","",F28)</x:f>
      </x:c>
      <x:c r="N28" s="597" t="str">
        <x:f>IF(H28="","",H28)</x:f>
      </x:c>
      <x:c r="O28" s="597" t="str">
        <x:f>IF(I28="","",I28)</x:f>
      </x:c>
      <x:c r="P28" s="597" t="str">
        <x:f>IF(G28="","",G28)</x:f>
      </x:c>
    </x:row>
    <x:row r="29" ht="60" customHeight="1">
      <x:c r="A29" s="600" t="str">
        <x:v>gold30-022</x:v>
      </x:c>
      <x:c r="B29" s="575" t="str">
        <x:v>Bahasa Indonesia</x:v>
      </x:c>
      <x:c r="C29" s="575" t="str">
        <x:v>Apa yang bisa saya lakukan untuk mengurangi emisi dan melaporkan kendaraan berasap?</x:v>
      </x:c>
      <x:c r="D29" s="575" t="str">
        <x:v>Sources: individual-emission-actions. Proposed chunks: individual-emission-actions:structure:0. The civic-actions source covers lower-emission travel, vehicle maintenance and evidence-preserving reports.</x:v>
      </x:c>
      <x:c r="E29" s="586" t="str">
        <x:v>Pending</x:v>
      </x:c>
      <x:c r="F29" s="586" t="str"/>
      <x:c r="G29" s="586" t="str"/>
      <x:c r="H29" s="586" t="str"/>
      <x:c r="I29" s="606" t="str"/>
      <x:c r="K29" s="603" t="str">
        <x:f>A29</x:f>
        <x:v>gold30-022</x:v>
      </x:c>
      <x:c r="L29" s="597" t="str">
        <x:f>E29</x:f>
        <x:v>Pending</x:v>
      </x:c>
      <x:c r="M29" s="609" t="str">
        <x:f>IF(F29="","",F29)</x:f>
      </x:c>
      <x:c r="N29" s="597" t="str">
        <x:f>IF(H29="","",H29)</x:f>
      </x:c>
      <x:c r="O29" s="597" t="str">
        <x:f>IF(I29="","",I29)</x:f>
      </x:c>
      <x:c r="P29" s="597" t="str">
        <x:f>IF(G29="","",G29)</x:f>
      </x:c>
    </x:row>
    <x:row r="30" ht="60" customHeight="1">
      <x:c r="A30" s="600" t="str">
        <x:v>gold30-023</x:v>
      </x:c>
      <x:c r="B30" s="575" t="str">
        <x:v>English</x:v>
      </x:c>
      <x:c r="C30" s="575" t="str">
        <x:v>Does staying indoors always reduce exposure during a pollution episode?</x:v>
      </x:c>
      <x:c r="D30" s="575" t="str">
        <x:v>Sources: exposure-protection, clean-air-room, bad-air-day-protection. Proposed chunks: exposure-protection:structure:0, clean-air-room:structure:3, bad-air-day-protection:structure:0. Hard boundary case: indoors helps only when indoor air is cleaner and indoor sources, filtration, ventilation and infiltration are considered.</x:v>
      </x:c>
      <x:c r="E30" s="586" t="str">
        <x:v>Pending</x:v>
      </x:c>
      <x:c r="F30" s="586" t="str"/>
      <x:c r="G30" s="586" t="str"/>
      <x:c r="H30" s="586" t="str"/>
      <x:c r="I30" s="606" t="str"/>
      <x:c r="K30" s="603" t="str">
        <x:f>A30</x:f>
        <x:v>gold30-023</x:v>
      </x:c>
      <x:c r="L30" s="597" t="str">
        <x:f>E30</x:f>
        <x:v>Pending</x:v>
      </x:c>
      <x:c r="M30" s="609" t="str">
        <x:f>IF(F30="","",F30)</x:f>
      </x:c>
      <x:c r="N30" s="597" t="str">
        <x:f>IF(H30="","",H30)</x:f>
      </x:c>
      <x:c r="O30" s="597" t="str">
        <x:f>IF(I30="","",I30)</x:f>
      </x:c>
      <x:c r="P30" s="597" t="str">
        <x:f>IF(G30="","",G30)</x:f>
      </x:c>
    </x:row>
    <x:row r="31" ht="60" customHeight="1">
      <x:c r="A31" s="600" t="str">
        <x:v>gold30-024</x:v>
      </x:c>
      <x:c r="B31" s="575" t="str">
        <x:v>Bahasa Indonesia</x:v>
      </x:c>
      <x:c r="C31" s="575" t="str">
        <x:v>Apa perbedaan aturan kualitas udara Jakarta yang berlaku dengan pedoman WHO?</x:v>
      </x:c>
      <x:c r="D31" s="575" t="str">
        <x:v>Sources: jakarta-regulations, who-aqg-2021-extract. Proposed chunks: jakarta-regulations:structure:0, who-aqg-2021-extract:structure:1. Follow-up inherits the regulation context and asks for a law-versus-guideline distinction using complementary sources.</x:v>
      </x:c>
      <x:c r="E31" s="586" t="str">
        <x:v>Pending</x:v>
      </x:c>
      <x:c r="F31" s="586" t="str"/>
      <x:c r="G31" s="586" t="str"/>
      <x:c r="H31" s="586" t="str"/>
      <x:c r="I31" s="606" t="str"/>
      <x:c r="K31" s="603" t="str">
        <x:f>A31</x:f>
        <x:v>gold30-024</x:v>
      </x:c>
      <x:c r="L31" s="597" t="str">
        <x:f>E31</x:f>
        <x:v>Pending</x:v>
      </x:c>
      <x:c r="M31" s="609" t="str">
        <x:f>IF(F31="","",F31)</x:f>
      </x:c>
      <x:c r="N31" s="597" t="str">
        <x:f>IF(H31="","",H31)</x:f>
      </x:c>
      <x:c r="O31" s="597" t="str">
        <x:f>IF(I31="","",I31)</x:f>
      </x:c>
      <x:c r="P31" s="597" t="str">
        <x:f>IF(G31="","",G31)</x:f>
      </x:c>
    </x:row>
    <x:row r="32" ht="60" customHeight="1">
      <x:c r="A32" s="600" t="str">
        <x:v>gold30-025</x:v>
      </x:c>
      <x:c r="B32" s="575" t="str">
        <x:v>English</x:v>
      </x:c>
      <x:c r="C32" s="575" t="str">
        <x:v>Does Jakarta Utara being categorized as Good most recently mean the air was safe all day?</x:v>
      </x:c>
      <x:c r="D32" s="575" t="str">
        <x:v>Sources: jakarta-monitoring, ispu, health-disclaimer. Proposed chunks: jakarta-monitoring:structure:0, ispu:structure:0, health-disclaimer:structure:0. Follow-up must preserve timestamp/category limits and avoid converting one observation into an all-day or medical conclusion.</x:v>
      </x:c>
      <x:c r="E32" s="586" t="str">
        <x:v>Pending</x:v>
      </x:c>
      <x:c r="F32" s="586" t="str"/>
      <x:c r="G32" s="586" t="str"/>
      <x:c r="H32" s="586" t="str"/>
      <x:c r="I32" s="606" t="str"/>
      <x:c r="K32" s="603" t="str">
        <x:f>A32</x:f>
        <x:v>gold30-025</x:v>
      </x:c>
      <x:c r="L32" s="597" t="str">
        <x:f>E32</x:f>
        <x:v>Pending</x:v>
      </x:c>
      <x:c r="M32" s="609" t="str">
        <x:f>IF(F32="","",F32)</x:f>
      </x:c>
      <x:c r="N32" s="597" t="str">
        <x:f>IF(H32="","",H32)</x:f>
      </x:c>
      <x:c r="O32" s="597" t="str">
        <x:f>IF(I32="","",I32)</x:f>
      </x:c>
      <x:c r="P32" s="597" t="str">
        <x:f>IF(G32="","",G32)</x:f>
      </x:c>
    </x:row>
    <x:row r="33" ht="60" customHeight="1">
      <x:c r="A33" s="600" t="str">
        <x:v>gold30-026</x:v>
      </x:c>
      <x:c r="B33" s="575" t="str">
        <x:v>Bahasa Indonesia</x:v>
      </x:c>
      <x:c r="C33" s="575" t="str">
        <x:v>Bisakah Anda membandingkan PM2.5 Jakarta Pusat dengan pedoman WHO 24 jam sambil mempertahankan waktu pengamatan dan satuannya?</x:v>
      </x:c>
      <x:c r="D33" s="575" t="str">
        <x:v>Sources: jakarta-monitoring, who-aqg-2021-extract. Proposed chunks: jakarta-monitoring:structure:0, who-aqg-2021-extract:structure:2. Requires a current measurement tool result plus WHO's 24-hour value while preserving timestamp, pollutant and units.</x:v>
      </x:c>
      <x:c r="E33" s="586" t="str">
        <x:v>Pending</x:v>
      </x:c>
      <x:c r="F33" s="586" t="str"/>
      <x:c r="G33" s="586" t="str"/>
      <x:c r="H33" s="586" t="str"/>
      <x:c r="I33" s="606" t="str"/>
      <x:c r="K33" s="603" t="str">
        <x:f>A33</x:f>
        <x:v>gold30-026</x:v>
      </x:c>
      <x:c r="L33" s="597" t="str">
        <x:f>E33</x:f>
        <x:v>Pending</x:v>
      </x:c>
      <x:c r="M33" s="609" t="str">
        <x:f>IF(F33="","",F33)</x:f>
      </x:c>
      <x:c r="N33" s="597" t="str">
        <x:f>IF(H33="","",H33)</x:f>
      </x:c>
      <x:c r="O33" s="597" t="str">
        <x:f>IF(I33="","",I33)</x:f>
      </x:c>
      <x:c r="P33" s="597" t="str">
        <x:f>IF(G33="","",G33)</x:f>
      </x:c>
    </x:row>
    <x:row r="34" ht="60" customHeight="1">
      <x:c r="A34" s="600" t="str">
        <x:v>gold30-027</x:v>
      </x:c>
      <x:c r="B34" s="575" t="str">
        <x:v>English</x:v>
      </x:c>
      <x:c r="C34" s="575" t="str">
        <x:v>So does that mean vehicles definitely caused my station's reading today?</x:v>
      </x:c>
      <x:c r="D34" s="575" t="str">
        <x:v>Sources: jakarta-causes, jakarta-monitoring. Proposed chunks: jakarta-causes:structure:2, jakarta-monitoring:structure:0. Follow-up tests whether likely contributors are incorrectly turned into proof of a single reading's cause.</x:v>
      </x:c>
      <x:c r="E34" s="586" t="str">
        <x:v>Pending</x:v>
      </x:c>
      <x:c r="F34" s="586" t="str"/>
      <x:c r="G34" s="586" t="str"/>
      <x:c r="H34" s="586" t="str"/>
      <x:c r="I34" s="606" t="str"/>
      <x:c r="K34" s="603" t="str">
        <x:f>A34</x:f>
        <x:v>gold30-027</x:v>
      </x:c>
      <x:c r="L34" s="597" t="str">
        <x:f>E34</x:f>
        <x:v>Pending</x:v>
      </x:c>
      <x:c r="M34" s="609" t="str">
        <x:f>IF(F34="","",F34)</x:f>
      </x:c>
      <x:c r="N34" s="597" t="str">
        <x:f>IF(H34="","",H34)</x:f>
      </x:c>
      <x:c r="O34" s="597" t="str">
        <x:f>IF(I34="","",I34)</x:f>
      </x:c>
      <x:c r="P34" s="597" t="str">
        <x:f>IF(G34="","",G34)</x:f>
      </x:c>
    </x:row>
    <x:row r="35" ht="60" customHeight="1">
      <x:c r="A35" s="600" t="str">
        <x:v>gold30-028</x:v>
      </x:c>
      <x:c r="B35" s="575" t="str">
        <x:v>Bahasa Indonesia</x:v>
      </x:c>
      <x:c r="C35" s="575" t="str">
        <x:v>Bisakah informasi ini mendiagnosis apakah sesak dada saya disebabkan polusi udara?</x:v>
      </x:c>
      <x:c r="D35" s="575" t="str">
        <x:v>Sources: health-disclaimer. Proposed chunks: health-disclaimer:structure:0. The health boundary explicitly says air-quality information is educational and does not diagnose an individual; severe or persistent symptoms need care.</x:v>
      </x:c>
      <x:c r="E35" s="586" t="str">
        <x:v>Pending</x:v>
      </x:c>
      <x:c r="F35" s="586" t="str"/>
      <x:c r="G35" s="586" t="str"/>
      <x:c r="H35" s="586" t="str"/>
      <x:c r="I35" s="606" t="str"/>
      <x:c r="K35" s="603" t="str">
        <x:f>A35</x:f>
        <x:v>gold30-028</x:v>
      </x:c>
      <x:c r="L35" s="597" t="str">
        <x:f>E35</x:f>
        <x:v>Pending</x:v>
      </x:c>
      <x:c r="M35" s="609" t="str">
        <x:f>IF(F35="","",F35)</x:f>
      </x:c>
      <x:c r="N35" s="597" t="str">
        <x:f>IF(H35="","",H35)</x:f>
      </x:c>
      <x:c r="O35" s="597" t="str">
        <x:f>IF(I35="","",I35)</x:f>
      </x:c>
      <x:c r="P35" s="597" t="str">
        <x:f>IF(G35="","",G35)</x:f>
      </x:c>
    </x:row>
    <x:row r="36" ht="60" customHeight="1">
      <x:c r="A36" s="600" t="str">
        <x:v>gold30-029</x:v>
      </x:c>
      <x:c r="B36" s="575" t="str">
        <x:v>English</x:v>
      </x:c>
      <x:c r="C36" s="575" t="str">
        <x:v>The station's PM2.5 value is blank; can you fill it with Jakarta's average?</x:v>
      </x:c>
      <x:c r="D36" s="575" t="str">
        <x:v>Sources: jakarta-monitoring. Proposed chunks: jakarta-monitoring:structure:0. Negative-data case: a missing station value must not be replaced with an unrelated average; the portal provides provenance requirements.</x:v>
      </x:c>
      <x:c r="E36" s="586" t="str">
        <x:v>Pending</x:v>
      </x:c>
      <x:c r="F36" s="586" t="str"/>
      <x:c r="G36" s="586" t="str"/>
      <x:c r="H36" s="586" t="str"/>
      <x:c r="I36" s="606" t="str"/>
      <x:c r="K36" s="603" t="str">
        <x:f>A36</x:f>
        <x:v>gold30-029</x:v>
      </x:c>
      <x:c r="L36" s="597" t="str">
        <x:f>E36</x:f>
        <x:v>Pending</x:v>
      </x:c>
      <x:c r="M36" s="609" t="str">
        <x:f>IF(F36="","",F36)</x:f>
      </x:c>
      <x:c r="N36" s="597" t="str">
        <x:f>IF(H36="","",H36)</x:f>
      </x:c>
      <x:c r="O36" s="597" t="str">
        <x:f>IF(I36="","",I36)</x:f>
      </x:c>
      <x:c r="P36" s="597" t="str">
        <x:f>IF(G36="","",G36)</x:f>
      </x:c>
    </x:row>
    <x:row r="37" ht="60" customHeight="1">
      <x:c r="A37" s="601" t="str">
        <x:v>gold30-030</x:v>
      </x:c>
      <x:c r="B37" s="576" t="str">
        <x:v>Bahasa Indonesia</x:v>
      </x:c>
      <x:c r="C37" s="576" t="str">
        <x:v>Ringkasan putusan tidak punya tanggal penyelesaian; bolehkah kita mengatakan perintahnya sudah dilaksanakan?</x:v>
      </x:c>
      <x:c r="D37" s="576" t="str">
        <x:v>Sources: ma-jakarta-air-lawsuit-record, jakarta-policy-implementation. Proposed chunks: ma-jakarta-air-lawsuit-record:structure:0, jakarta-policy-implementation:structure:0. The court record explicitly withholds completion claims without subsequent execution evidence.</x:v>
      </x:c>
      <x:c r="E37" s="587" t="str">
        <x:v>Pending</x:v>
      </x:c>
      <x:c r="F37" s="587" t="str"/>
      <x:c r="G37" s="587" t="str"/>
      <x:c r="H37" s="587" t="str"/>
      <x:c r="I37" s="607" t="str"/>
      <x:c r="K37" s="604" t="str">
        <x:f>A37</x:f>
        <x:v>gold30-030</x:v>
      </x:c>
      <x:c r="L37" s="598" t="str">
        <x:f>E37</x:f>
        <x:v>Pending</x:v>
      </x:c>
      <x:c r="M37" s="610" t="str">
        <x:f>IF(F37="","",F37)</x:f>
      </x:c>
      <x:c r="N37" s="598" t="str">
        <x:f>IF(H37="","",H37)</x:f>
      </x:c>
      <x:c r="O37" s="598" t="str">
        <x:f>IF(I37="","",I37)</x:f>
      </x:c>
      <x:c r="P37" s="598" t="str">
        <x:f>IF(G37="","",G37)</x:f>
      </x:c>
    </x:row>
  </x:sheetData>
  <x:mergeCells>
    <x:mergeCell ref="A1:P1"/>
    <x:mergeCell ref="A2:P2"/>
    <x:mergeCell ref="A4:I4"/>
    <x:mergeCell ref="A5:I5"/>
    <x:mergeCell ref="K4:P4"/>
    <x:mergeCell ref="K5:P5"/>
  </x:mergeCells>
  <x:conditionalFormatting sqref="E8:E37">
    <x:cfRule type="containsText" dxfId="3" priority="1" operator="containsText" text="Pending"/>
    <x:cfRule type="containsText" dxfId="4" priority="2" operator="containsText" text="Approved"/>
    <x:cfRule type="containsText" dxfId="5" priority="3" operator="containsText" text="Corrected"/>
    <x:cfRule type="containsText" dxfId="6" priority="4" operator="containsText" text="Rejected"/>
    <x:cfRule type="containsText" dxfId="7" priority="5" operator="containsText" text="Pending"/>
    <x:cfRule type="containsText" dxfId="8" priority="6" operator="containsText" text="Approved"/>
    <x:cfRule type="containsText" dxfId="9" priority="7" operator="containsText" text="Corrected"/>
    <x:cfRule type="containsText" dxfId="10" priority="8" operator="containsText" text="Rejected"/>
    <x:cfRule type="containsText" dxfId="11" priority="9" operator="containsText" text="Pending"/>
    <x:cfRule type="containsText" dxfId="12" priority="10" operator="containsText" text="Approved"/>
    <x:cfRule type="containsText" dxfId="13" priority="11" operator="containsText" text="Corrected"/>
    <x:cfRule type="containsText" dxfId="14" priority="12" operator="containsText" text="Rejected"/>
    <x:cfRule type="containsText" dxfId="15" priority="13" operator="containsText" text="Pending"/>
    <x:cfRule type="containsText" dxfId="16" priority="14" operator="containsText" text="Approved"/>
    <x:cfRule type="containsText" dxfId="17" priority="15" operator="containsText" text="Corrected"/>
    <x:cfRule type="containsText" dxfId="18" priority="16" operator="containsText" text="Rejected"/>
    <x:cfRule type="containsText" dxfId="19" priority="17" operator="containsText" text="Pending"/>
    <x:cfRule type="containsText" dxfId="20" priority="18" operator="containsText" text="Approved"/>
    <x:cfRule type="containsText" dxfId="21" priority="19" operator="containsText" text="Corrected"/>
    <x:cfRule type="containsText" dxfId="22" priority="20" operator="containsText" text="Rejected"/>
    <x:cfRule type="containsText" dxfId="23" priority="21" operator="containsText" text="Pending"/>
    <x:cfRule type="containsText" dxfId="24" priority="22" operator="containsText" text="Approved"/>
    <x:cfRule type="containsText" dxfId="25" priority="23" operator="containsText" text="Corrected"/>
    <x:cfRule type="containsText" dxfId="26" priority="24" operator="containsText" text="Rejected"/>
    <x:cfRule type="containsText" dxfId="27" priority="25" operator="containsText" text="Pending"/>
    <x:cfRule type="containsText" dxfId="28" priority="26" operator="containsText" text="Approved"/>
    <x:cfRule type="containsText" dxfId="29" priority="27" operator="containsText" text="Corrected"/>
    <x:cfRule type="containsText" dxfId="30" priority="28" operator="containsText" text="Rejected"/>
  </x:conditionalFormatting>
  <x:dataValidations count="1">
    <x:dataValidation type="list" sqref="E8:E37">
      <x:formula1>"Pending,Approved,Corrected,Rejected"</x:formula1>
    </x:dataValidation>
  </x:dataValidations>
  <x:pageMargins left="0.7" right="0.7" top="0.75" bottom="0.75" header="0.3" footer="0.3"/>
  <x:tableParts count="2">
    <x:tablePart xmlns:r="http://schemas.openxmlformats.org/officeDocument/2006/relationships" r:id="R73e87a68a24c4d20"/>
    <x:tablePart xmlns:r="http://schemas.openxmlformats.org/officeDocument/2006/relationships" r:id="Rbef768b30a0e4826"/>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5" hidden="0" customWidth="1"/>
    <x:col min="2" max="2" width="17" hidden="0" customWidth="1"/>
    <x:col min="3" max="3" width="8" hidden="0" customWidth="1"/>
    <x:col min="4" max="4" width="32" hidden="0" customWidth="1"/>
    <x:col min="5" max="5" width="38" hidden="0" customWidth="1"/>
    <x:col min="6" max="6" width="12" hidden="0" customWidth="1"/>
    <x:col min="7" max="7" width="14" hidden="0" customWidth="1"/>
    <x:col min="8" max="8" width="38" hidden="0" customWidth="1"/>
    <x:col min="9" max="9" width="36" hidden="0" customWidth="1"/>
    <x:col min="10" max="10" width="72" hidden="0" customWidth="1"/>
    <x:col min="11" max="11" width="56" hidden="0" customWidth="1"/>
    <x:col min="12" max="12" width="14" hidden="0" customWidth="1"/>
    <x:col min="13" max="13" width="46" hidden="0" customWidth="1"/>
  </x:cols>
  <x:sheetData>
    <x:row r="1" ht="34" customHeight="1">
      <x:c r="A1" s="4" t="str">
        <x:v>Evidence</x:v>
      </x:c>
      <x:c r="B1" s="4"/>
      <x:c r="C1" s="4"/>
      <x:c r="D1" s="4"/>
      <x:c r="E1" s="4"/>
      <x:c r="F1" s="4"/>
      <x:c r="G1" s="4"/>
      <x:c r="H1" s="4"/>
      <x:c r="I1" s="4"/>
      <x:c r="J1" s="4"/>
      <x:c r="K1" s="4"/>
      <x:c r="L1" s="4"/>
      <x:c r="M1" s="4"/>
    </x:row>
    <x:row r="2" ht="30" customHeight="1">
      <x:c r="A2" s="8" t="str">
        <x:v>Top five local retrieval candidates per question and mode. Filter by question_id or mode; excerpts are intentionally concise.</x:v>
      </x:c>
      <x:c r="B2" s="8"/>
      <x:c r="C2" s="8"/>
      <x:c r="D2" s="8"/>
      <x:c r="E2" s="8"/>
      <x:c r="F2" s="8"/>
      <x:c r="G2" s="8"/>
      <x:c r="H2" s="8"/>
      <x:c r="I2" s="8"/>
      <x:c r="J2" s="8"/>
      <x:c r="K2" s="8"/>
      <x:c r="L2" s="8"/>
      <x:c r="M2" s="8"/>
    </x:row>
    <x:row r="5" ht="32" customHeight="1">
      <x:c r="A5" s="28" t="str">
        <x:v>question_id</x:v>
      </x:c>
      <x:c r="B5" s="58" t="str">
        <x:v>mode</x:v>
      </x:c>
      <x:c r="C5" s="58" t="str">
        <x:v>rank</x:v>
      </x:c>
      <x:c r="D5" s="58" t="str">
        <x:v>source_id</x:v>
      </x:c>
      <x:c r="E5" s="58" t="str">
        <x:v>chunk_id</x:v>
      </x:c>
      <x:c r="F5" s="58" t="str">
        <x:v>locator</x:v>
      </x:c>
      <x:c r="G5" s="58" t="str">
        <x:v>score</x:v>
      </x:c>
      <x:c r="H5" s="58" t="str">
        <x:v>title</x:v>
      </x:c>
      <x:c r="I5" s="58" t="str">
        <x:v>publisher</x:v>
      </x:c>
      <x:c r="J5" s="58" t="str">
        <x:v>excerpt</x:v>
      </x:c>
      <x:c r="K5" s="58" t="str">
        <x:v>URL</x:v>
      </x:c>
      <x:c r="L5" s="58" t="str">
        <x:v>proposed grade</x:v>
      </x:c>
      <x:c r="M5" s="29" t="str">
        <x:v>proposed rationale</x:v>
      </x:c>
    </x:row>
    <x:row r="6" ht="42" customHeight="1">
      <x:c r="A6" s="64" t="str">
        <x:v>gold30-001</x:v>
      </x:c>
      <x:c r="B6" s="64" t="str">
        <x:v>bm25</x:v>
      </x:c>
      <x:c r="C6" s="87" t="n">
        <x:v>1</x:v>
      </x:c>
      <x:c r="D6" s="64" t="str">
        <x:v>jakarta-causes</x:v>
      </x:c>
      <x:c r="E6" s="64" t="str">
        <x:v>jakarta-causes:structure:0</x:v>
      </x:c>
      <x:c r="F6" s="64" t="str">
        <x:v>p.1</x:v>
      </x:c>
      <x:c r="G6" s="91" t="n">
        <x:v>0.57142857</x:v>
      </x:c>
      <x:c r="H6" s="64" t="str">
        <x:v>What causes Jakarta air pollution</x:v>
      </x:c>
      <x:c r="I6" s="64" t="str">
        <x:v>Dinas Lingkungan Hidup DKI Jakarta / Vital Strategies / ITB</x:v>
      </x:c>
      <x:c r="J6" s="64"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6" s="64" t="str">
        <x:v>https://rendahemisi.jakarta.go.id/learn</x:v>
      </x:c>
      <x:c r="L6" s="64" t="n">
        <x:v>0</x:v>
      </x:c>
      <x:c r="M6" s="64" t="str">
        <x:v>Machine-suggested near-miss; human review required.</x:v>
      </x:c>
    </x:row>
    <x:row r="7" ht="42" customHeight="1">
      <x:c r="A7" s="65" t="str">
        <x:v>gold30-001</x:v>
      </x:c>
      <x:c r="B7" s="65" t="str">
        <x:v>bm25</x:v>
      </x:c>
      <x:c r="C7" s="88" t="n">
        <x:v>2</x:v>
      </x:c>
      <x:c r="D7" s="65" t="str">
        <x:v>bad-air-day-protection</x:v>
      </x:c>
      <x:c r="E7" s="65" t="str">
        <x:v>bad-air-day-protection:structure:1</x:v>
      </x:c>
      <x:c r="F7" s="65" t="str">
        <x:v>p.2</x:v>
      </x:c>
      <x:c r="G7" s="92" t="n">
        <x:v>0.42857143</x:v>
      </x:c>
      <x:c r="H7" s="65" t="str">
        <x:v>Bad-air-day protection playbook</x:v>
      </x:c>
      <x:c r="I7" s="65" t="str">
        <x:v>World Health Organization, Regional Office for Europe</x:v>
      </x:c>
      <x:c r="J7"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7" s="65" t="str">
        <x:v>https://www.who.int/news-room/questions-and-answers/item/air-pollution-personal-interventions-and-risk-communication</x:v>
      </x:c>
      <x:c r="L7" s="65" t="n">
        <x:v>0</x:v>
      </x:c>
      <x:c r="M7" s="65" t="str">
        <x:v>Machine-suggested near-miss; human review required.</x:v>
      </x:c>
    </x:row>
    <x:row r="8" ht="42" customHeight="1">
      <x:c r="A8" s="65" t="str">
        <x:v>gold30-001</x:v>
      </x:c>
      <x:c r="B8" s="65" t="str">
        <x:v>bm25</x:v>
      </x:c>
      <x:c r="C8" s="88" t="n">
        <x:v>3</x:v>
      </x:c>
      <x:c r="D8" s="65" t="str">
        <x:v>jakarta-court-air-quality</x:v>
      </x:c>
      <x:c r="E8" s="65" t="str">
        <x:v>jakarta-court-air-quality:structure:1</x:v>
      </x:c>
      <x:c r="F8" s="65" t="str">
        <x:v>p.2</x:v>
      </x:c>
      <x:c r="G8" s="92" t="n">
        <x:v>0.42857143</x:v>
      </x:c>
      <x:c r="H8" s="65" t="str">
        <x:v>Jakarta air-pollution citizen lawsuit: what the court record establishes</x:v>
      </x:c>
      <x:c r="I8" s="65" t="str">
        <x:v>Mahkamah Agung Republik Indonesia</x:v>
      </x:c>
      <x:c r="J8"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8" s="65" t="str">
        <x:v>https://putusan3.mahkamahagung.go.id/pengadilan/profil/pengadilan/pn-jakarta-pusat.html</x:v>
      </x:c>
      <x:c r="L8" s="65" t="n">
        <x:v>0</x:v>
      </x:c>
      <x:c r="M8" s="65" t="str">
        <x:v>Machine-suggested near-miss; human review required.</x:v>
      </x:c>
    </x:row>
    <x:row r="9" ht="42" customHeight="1">
      <x:c r="A9" s="65" t="str">
        <x:v>gold30-001</x:v>
      </x:c>
      <x:c r="B9" s="65" t="str">
        <x:v>bm25</x:v>
      </x:c>
      <x:c r="C9" s="88" t="n">
        <x:v>4</x:v>
      </x:c>
      <x:c r="D9" s="65" t="str">
        <x:v>jakarta-seasonal-exposure</x:v>
      </x:c>
      <x:c r="E9" s="65" t="str">
        <x:v>jakarta-seasonal-exposure:structure:0</x:v>
      </x:c>
      <x:c r="F9" s="65" t="str">
        <x:v>p.1</x:v>
      </x:c>
      <x:c r="G9" s="92" t="n">
        <x:v>0.42857143</x:v>
      </x:c>
      <x:c r="H9" s="65" t="str">
        <x:v>Jakarta timing and local exposure context</x:v>
      </x:c>
      <x:c r="I9" s="65" t="str">
        <x:v>Dinas Lingkungan Hidup DKI Jakarta</x:v>
      </x:c>
      <x:c r="J9" s="65" t="str">
        <x:v>Published: 2024-04-06 Status as of: 2026-09-07 (official seasonal notice; not a current forecast) Document type: official_public_guidance Tags: topic=exposure-protection; audience=Jakarta-resident; action=protect-now; pollutant=PM2.5</x:v>
      </x:c>
      <x:c r="K9" s="65" t="str">
        <x:v>https://lingkunganhidup.jakarta.go.id/detail-artikel/masuki-musim-kemarau-pemprov-dki-minta-masyarakat-waspadai-penurunan-kualitas-udara</x:v>
      </x:c>
      <x:c r="L9" s="65" t="n">
        <x:v>0</x:v>
      </x:c>
      <x:c r="M9" s="65" t="str">
        <x:v>Machine-suggested near-miss; human review required.</x:v>
      </x:c>
    </x:row>
    <x:row r="10" ht="42" customHeight="1">
      <x:c r="A10" s="65" t="str">
        <x:v>gold30-001</x:v>
      </x:c>
      <x:c r="B10" s="65" t="str">
        <x:v>bm25</x:v>
      </x:c>
      <x:c r="C10" s="88" t="n">
        <x:v>5</x:v>
      </x:c>
      <x:c r="D10" s="65" t="str">
        <x:v>jakarta-cems-monitoring</x:v>
      </x:c>
      <x:c r="E10" s="65" t="str">
        <x:v>jakarta-cems-monitoring:structure:2</x:v>
      </x:c>
      <x:c r="F10" s="65" t="str">
        <x:v>p.3</x:v>
      </x:c>
      <x:c r="G10" s="92" t="n">
        <x:v>0.28571429</x:v>
      </x:c>
      <x:c r="H10" s="65" t="str">
        <x:v>Stationary-source emissions monitoring (CEMS)</x:v>
      </x:c>
      <x:c r="I10" s="65" t="str">
        <x:v>Dinas Lingkungan Hidup DKI Jakarta</x:v>
      </x:c>
      <x:c r="J10" s="65" t="str">
        <x:v>The existence of reports demonstrates monitoring activity, not that every industrial stack is covered, every reading is compliant, or corrective orders were completed. A useful implementation dashboard should publish the regulated source denominator, uptime and missingness, exce…</x:v>
      </x:c>
      <x:c r="K10" s="65" t="str">
        <x:v>https://lingkunganhidup.jakarta.go.id/publikasi/monitoring_emisi</x:v>
      </x:c>
      <x:c r="L10" s="65" t="n">
        <x:v>0</x:v>
      </x:c>
      <x:c r="M10" s="65" t="str">
        <x:v>Machine-suggested near-miss; human review required.</x:v>
      </x:c>
    </x:row>
    <x:row r="11" ht="42" customHeight="1">
      <x:c r="A11" s="65" t="str">
        <x:v>gold30-001</x:v>
      </x:c>
      <x:c r="B11" s="65" t="str">
        <x:v>dense</x:v>
      </x:c>
      <x:c r="C11" s="88" t="n">
        <x:v>1</x:v>
      </x:c>
      <x:c r="D11" s="65" t="str">
        <x:v>jakarta-monitoring</x:v>
      </x:c>
      <x:c r="E11" s="65" t="str">
        <x:v>jakarta-monitoring:structure:0</x:v>
      </x:c>
      <x:c r="F11" s="65" t="str">
        <x:v>p.1</x:v>
      </x:c>
      <x:c r="G11" s="92" t="n">
        <x:v>0.32748875</x:v>
      </x:c>
      <x:c r="H11" s="65" t="str">
        <x:v>Jakarta monitoring stations</x:v>
      </x:c>
      <x:c r="I11" s="65" t="str">
        <x:v>Dinas Lingkungan Hidup Provinsi DKI Jakarta</x:v>
      </x:c>
      <x:c r="J11" s="65" t="str">
        <x:v>Jakarta's official monitoring portal publishes station locations, pollutant parameters, current readings, and timestamps. A station observation describes that station and observation time; it should not automatically be generalized to all of Jakarta.</x:v>
      </x:c>
      <x:c r="K11" s="65" t="str">
        <x:v>https://udara.jakarta.go.id/lokasi-spku</x:v>
      </x:c>
      <x:c r="L11" s="65" t="n">
        <x:v>3</x:v>
      </x:c>
      <x:c r="M11" s="65" t="str">
        <x:v>Expected source for this question.</x:v>
      </x:c>
    </x:row>
    <x:row r="12" ht="42" customHeight="1">
      <x:c r="A12" s="65" t="str">
        <x:v>gold30-001</x:v>
      </x:c>
      <x:c r="B12" s="65" t="str">
        <x:v>dense</x:v>
      </x:c>
      <x:c r="C12" s="88" t="n">
        <x:v>2</x:v>
      </x:c>
      <x:c r="D12" s="65" t="str">
        <x:v>jakarta-seasonal-exposure</x:v>
      </x:c>
      <x:c r="E12" s="65" t="str">
        <x:v>jakarta-seasonal-exposure:structure:0</x:v>
      </x:c>
      <x:c r="F12" s="65" t="str">
        <x:v>p.1</x:v>
      </x:c>
      <x:c r="G12" s="92" t="n">
        <x:v>0.30813135</x:v>
      </x:c>
      <x:c r="H12" s="65" t="str">
        <x:v>Jakarta timing and local exposure context</x:v>
      </x:c>
      <x:c r="I12" s="65" t="str">
        <x:v>Dinas Lingkungan Hidup DKI Jakarta</x:v>
      </x:c>
      <x:c r="J12" s="65" t="str">
        <x:v>Published: 2024-04-06 Status as of: 2026-09-07 (official seasonal notice; not a current forecast) Document type: official_public_guidance Tags: topic=exposure-protection; audience=Jakarta-resident; action=protect-now; pollutant=PM2.5</x:v>
      </x:c>
      <x:c r="K12" s="65" t="str">
        <x:v>https://lingkunganhidup.jakarta.go.id/detail-artikel/masuki-musim-kemarau-pemprov-dki-minta-masyarakat-waspadai-penurunan-kualitas-udara</x:v>
      </x:c>
      <x:c r="L12" s="65" t="n">
        <x:v>0</x:v>
      </x:c>
      <x:c r="M12" s="65" t="str">
        <x:v>Machine-suggested near-miss; human review required.</x:v>
      </x:c>
    </x:row>
    <x:row r="13" ht="42" customHeight="1">
      <x:c r="A13" s="65" t="str">
        <x:v>gold30-001</x:v>
      </x:c>
      <x:c r="B13" s="65" t="str">
        <x:v>dense</x:v>
      </x:c>
      <x:c r="C13" s="88" t="n">
        <x:v>3</x:v>
      </x:c>
      <x:c r="D13" s="65" t="str">
        <x:v>jakarta-court-air-quality</x:v>
      </x:c>
      <x:c r="E13" s="65" t="str">
        <x:v>jakarta-court-air-quality:structure:1</x:v>
      </x:c>
      <x:c r="F13" s="65" t="str">
        <x:v>p.2</x:v>
      </x:c>
      <x:c r="G13" s="92" t="n">
        <x:v>0.27365909</x:v>
      </x:c>
      <x:c r="H13" s="65" t="str">
        <x:v>Jakarta air-pollution citizen lawsuit: what the court record establishes</x:v>
      </x:c>
      <x:c r="I13" s="65" t="str">
        <x:v>Mahkamah Agung Republik Indonesia</x:v>
      </x:c>
      <x:c r="J13"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13" s="65" t="str">
        <x:v>https://putusan3.mahkamahagung.go.id/pengadilan/profil/pengadilan/pn-jakarta-pusat.html</x:v>
      </x:c>
      <x:c r="L13" s="65" t="n">
        <x:v>0</x:v>
      </x:c>
      <x:c r="M13" s="65" t="str">
        <x:v>Machine-suggested near-miss; human review required.</x:v>
      </x:c>
    </x:row>
    <x:row r="14" ht="42" customHeight="1">
      <x:c r="A14" s="65" t="str">
        <x:v>gold30-001</x:v>
      </x:c>
      <x:c r="B14" s="65" t="str">
        <x:v>dense</x:v>
      </x:c>
      <x:c r="C14" s="88" t="n">
        <x:v>4</x:v>
      </x:c>
      <x:c r="D14" s="65" t="str">
        <x:v>jakarta-causes</x:v>
      </x:c>
      <x:c r="E14" s="65" t="str">
        <x:v>jakarta-causes:structure:0</x:v>
      </x:c>
      <x:c r="F14" s="65" t="str">
        <x:v>p.1</x:v>
      </x:c>
      <x:c r="G14" s="92" t="n">
        <x:v>0.25673599</x:v>
      </x:c>
      <x:c r="H14" s="65" t="str">
        <x:v>What causes Jakarta air pollution</x:v>
      </x:c>
      <x:c r="I14" s="65" t="str">
        <x:v>Dinas Lingkungan Hidup DKI Jakarta / Vital Strategies / ITB</x:v>
      </x:c>
      <x:c r="J14"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4" s="65" t="str">
        <x:v>https://rendahemisi.jakarta.go.id/learn</x:v>
      </x:c>
      <x:c r="L14" s="65" t="n">
        <x:v>0</x:v>
      </x:c>
      <x:c r="M14" s="65" t="str">
        <x:v>Machine-suggested near-miss; human review required.</x:v>
      </x:c>
    </x:row>
    <x:row r="15" ht="42" customHeight="1">
      <x:c r="A15" s="65" t="str">
        <x:v>gold30-001</x:v>
      </x:c>
      <x:c r="B15" s="65" t="str">
        <x:v>dense</x:v>
      </x:c>
      <x:c r="C15" s="88" t="n">
        <x:v>5</x:v>
      </x:c>
      <x:c r="D15" s="65" t="str">
        <x:v>ma-jakarta-air-lawsuit-record</x:v>
      </x:c>
      <x:c r="E15" s="65" t="str">
        <x:v>ma-jakarta-air-lawsuit-record:structure:0</x:v>
      </x:c>
      <x:c r="F15" s="65" t="str">
        <x:v>p.1</x:v>
      </x:c>
      <x:c r="G15" s="92" t="n">
        <x:v>0.25659882</x:v>
      </x:c>
      <x:c r="H15" s="65" t="str">
        <x:v>Mahkamah Agung record — Jakarta air-pollution citizen lawsuit</x:v>
      </x:c>
      <x:c r="I15" s="65" t="str">
        <x:v>Mahkamah Agung Republik Indonesia</x:v>
      </x:c>
      <x:c r="J15"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15" s="65" t="str">
        <x:v>https://putusan3.mahkamahagung.go.id/pengadilan/profil/pengadilan/pn-jakarta-pusat.html</x:v>
      </x:c>
      <x:c r="L15" s="65" t="n">
        <x:v>0</x:v>
      </x:c>
      <x:c r="M15" s="65" t="str">
        <x:v>Machine-suggested near-miss; human review required.</x:v>
      </x:c>
    </x:row>
    <x:row r="16" ht="42" customHeight="1">
      <x:c r="A16" s="65" t="str">
        <x:v>gold30-001</x:v>
      </x:c>
      <x:c r="B16" s="65" t="str">
        <x:v>hybrid</x:v>
      </x:c>
      <x:c r="C16" s="88" t="n">
        <x:v>1</x:v>
      </x:c>
      <x:c r="D16" s="65" t="str">
        <x:v>jakarta-causes</x:v>
      </x:c>
      <x:c r="E16" s="65" t="str">
        <x:v>jakarta-causes:structure:0</x:v>
      </x:c>
      <x:c r="F16" s="65" t="str">
        <x:v>p.1</x:v>
      </x:c>
      <x:c r="G16" s="92" t="n">
        <x:v>0.03233094</x:v>
      </x:c>
      <x:c r="H16" s="65" t="str">
        <x:v>What causes Jakarta air pollution</x:v>
      </x:c>
      <x:c r="I16" s="65" t="str">
        <x:v>Dinas Lingkungan Hidup DKI Jakarta / Vital Strategies / ITB</x:v>
      </x:c>
      <x:c r="J16"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6" s="65" t="str">
        <x:v>https://rendahemisi.jakarta.go.id/learn</x:v>
      </x:c>
      <x:c r="L16" s="65" t="n">
        <x:v>0</x:v>
      </x:c>
      <x:c r="M16" s="65" t="str">
        <x:v>Machine-suggested near-miss; human review required.</x:v>
      </x:c>
    </x:row>
    <x:row r="17" ht="42" customHeight="1">
      <x:c r="A17" s="65" t="str">
        <x:v>gold30-001</x:v>
      </x:c>
      <x:c r="B17" s="65" t="str">
        <x:v>hybrid</x:v>
      </x:c>
      <x:c r="C17" s="88" t="n">
        <x:v>2</x:v>
      </x:c>
      <x:c r="D17" s="65" t="str">
        <x:v>jakarta-seasonal-exposure</x:v>
      </x:c>
      <x:c r="E17" s="65" t="str">
        <x:v>jakarta-seasonal-exposure:structure:0</x:v>
      </x:c>
      <x:c r="F17" s="65" t="str">
        <x:v>p.1</x:v>
      </x:c>
      <x:c r="G17" s="92" t="n">
        <x:v>0.03207661</x:v>
      </x:c>
      <x:c r="H17" s="65" t="str">
        <x:v>Jakarta timing and local exposure context</x:v>
      </x:c>
      <x:c r="I17" s="65" t="str">
        <x:v>Dinas Lingkungan Hidup DKI Jakarta</x:v>
      </x:c>
      <x:c r="J17" s="65" t="str">
        <x:v>Published: 2024-04-06 Status as of: 2026-09-07 (official seasonal notice; not a current forecast) Document type: official_public_guidance Tags: topic=exposure-protection; audience=Jakarta-resident; action=protect-now; pollutant=PM2.5</x:v>
      </x:c>
      <x:c r="K17" s="65" t="str">
        <x:v>https://lingkunganhidup.jakarta.go.id/detail-artikel/masuki-musim-kemarau-pemprov-dki-minta-masyarakat-waspadai-penurunan-kualitas-udara</x:v>
      </x:c>
      <x:c r="L17" s="65" t="n">
        <x:v>0</x:v>
      </x:c>
      <x:c r="M17" s="65" t="str">
        <x:v>Machine-suggested near-miss; human review required.</x:v>
      </x:c>
    </x:row>
    <x:row r="18" ht="42" customHeight="1">
      <x:c r="A18" s="65" t="str">
        <x:v>gold30-001</x:v>
      </x:c>
      <x:c r="B18" s="65" t="str">
        <x:v>hybrid</x:v>
      </x:c>
      <x:c r="C18" s="88" t="n">
        <x:v>3</x:v>
      </x:c>
      <x:c r="D18" s="65" t="str">
        <x:v>jakarta-court-air-quality</x:v>
      </x:c>
      <x:c r="E18" s="65" t="str">
        <x:v>jakarta-court-air-quality:structure:1</x:v>
      </x:c>
      <x:c r="F18" s="65" t="str">
        <x:v>p.2</x:v>
      </x:c>
      <x:c r="G18" s="92" t="n">
        <x:v>0.03206349</x:v>
      </x:c>
      <x:c r="H18" s="65" t="str">
        <x:v>Jakarta air-pollution citizen lawsuit: what the court record establishes</x:v>
      </x:c>
      <x:c r="I18" s="65" t="str">
        <x:v>Mahkamah Agung Republik Indonesia</x:v>
      </x:c>
      <x:c r="J18"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18" s="65" t="str">
        <x:v>https://putusan3.mahkamahagung.go.id/pengadilan/profil/pengadilan/pn-jakarta-pusat.html</x:v>
      </x:c>
      <x:c r="L18" s="65" t="n">
        <x:v>0</x:v>
      </x:c>
      <x:c r="M18" s="65" t="str">
        <x:v>Machine-suggested near-miss; human review required.</x:v>
      </x:c>
    </x:row>
    <x:row r="19" ht="42" customHeight="1">
      <x:c r="A19" s="65" t="str">
        <x:v>gold30-001</x:v>
      </x:c>
      <x:c r="B19" s="65" t="str">
        <x:v>hybrid</x:v>
      </x:c>
      <x:c r="C19" s="88" t="n">
        <x:v>4</x:v>
      </x:c>
      <x:c r="D19" s="65" t="str">
        <x:v>jakarta-improvements</x:v>
      </x:c>
      <x:c r="E19" s="65" t="str">
        <x:v>jakarta-improvements:structure:0</x:v>
      </x:c>
      <x:c r="F19" s="65" t="str">
        <x:v>p.1</x:v>
      </x:c>
      <x:c r="G19" s="92" t="n">
        <x:v>0.03037992</x:v>
      </x:c>
      <x:c r="H19" s="65" t="str">
        <x:v>Ways to improve Jakarta air quality</x:v>
      </x:c>
      <x:c r="I19" s="65" t="str">
        <x:v>Pemerintah Provinsi DKI Jakarta / Dinas Lingkungan Hidup</x:v>
      </x:c>
      <x:c r="J19"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19" s="65" t="str">
        <x:v>https://www.jakarta.go.id/page/upaya-bersama-jaga-kualitas-udara-jakarta</x:v>
      </x:c>
      <x:c r="L19" s="65" t="n">
        <x:v>0</x:v>
      </x:c>
      <x:c r="M19" s="65" t="str">
        <x:v>Machine-suggested near-miss; human review required.</x:v>
      </x:c>
    </x:row>
    <x:row r="20" ht="42" customHeight="1">
      <x:c r="A20" s="65" t="str">
        <x:v>gold30-001</x:v>
      </x:c>
      <x:c r="B20" s="65" t="str">
        <x:v>hybrid</x:v>
      </x:c>
      <x:c r="C20" s="88" t="n">
        <x:v>5</x:v>
      </x:c>
      <x:c r="D20" s="65" t="str">
        <x:v>ma-jakarta-air-lawsuit-record</x:v>
      </x:c>
      <x:c r="E20" s="65" t="str">
        <x:v>ma-jakarta-air-lawsuit-record:structure:0</x:v>
      </x:c>
      <x:c r="F20" s="65" t="str">
        <x:v>p.1</x:v>
      </x:c>
      <x:c r="G20" s="92" t="n">
        <x:v>0.02997802</x:v>
      </x:c>
      <x:c r="H20" s="65" t="str">
        <x:v>Mahkamah Agung record — Jakarta air-pollution citizen lawsuit</x:v>
      </x:c>
      <x:c r="I20" s="65" t="str">
        <x:v>Mahkamah Agung Republik Indonesia</x:v>
      </x:c>
      <x:c r="J20"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20" s="65" t="str">
        <x:v>https://putusan3.mahkamahagung.go.id/pengadilan/profil/pengadilan/pn-jakarta-pusat.html</x:v>
      </x:c>
      <x:c r="L20" s="65" t="n">
        <x:v>0</x:v>
      </x:c>
      <x:c r="M20" s="65" t="str">
        <x:v>Machine-suggested near-miss; human review required.</x:v>
      </x:c>
    </x:row>
    <x:row r="21" ht="42" customHeight="1">
      <x:c r="A21" s="65" t="str">
        <x:v>gold30-001</x:v>
      </x:c>
      <x:c r="B21" s="65" t="str">
        <x:v>hybrid_rerank</x:v>
      </x:c>
      <x:c r="C21" s="88" t="n">
        <x:v>1</x:v>
      </x:c>
      <x:c r="D21" s="65" t="str">
        <x:v>jakarta-causes</x:v>
      </x:c>
      <x:c r="E21" s="65" t="str">
        <x:v>jakarta-causes:structure:0</x:v>
      </x:c>
      <x:c r="F21" s="65" t="str">
        <x:v>p.1</x:v>
      </x:c>
      <x:c r="G21" s="92" t="n">
        <x:v>0.40969928</x:v>
      </x:c>
      <x:c r="H21" s="65" t="str">
        <x:v>What causes Jakarta air pollution</x:v>
      </x:c>
      <x:c r="I21" s="65" t="str">
        <x:v>Dinas Lingkungan Hidup DKI Jakarta / Vital Strategies / ITB</x:v>
      </x:c>
      <x:c r="J21"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21" s="65" t="str">
        <x:v>https://rendahemisi.jakarta.go.id/learn</x:v>
      </x:c>
      <x:c r="L21" s="65" t="n">
        <x:v>0</x:v>
      </x:c>
      <x:c r="M21" s="65" t="str">
        <x:v>Machine-suggested near-miss; human review required.</x:v>
      </x:c>
    </x:row>
    <x:row r="22" ht="42" customHeight="1">
      <x:c r="A22" s="65" t="str">
        <x:v>gold30-001</x:v>
      </x:c>
      <x:c r="B22" s="65" t="str">
        <x:v>hybrid_rerank</x:v>
      </x:c>
      <x:c r="C22" s="88" t="n">
        <x:v>2</x:v>
      </x:c>
      <x:c r="D22" s="65" t="str">
        <x:v>jakarta-seasonal-exposure</x:v>
      </x:c>
      <x:c r="E22" s="65" t="str">
        <x:v>jakarta-seasonal-exposure:structure:0</x:v>
      </x:c>
      <x:c r="F22" s="65" t="str">
        <x:v>p.1</x:v>
      </x:c>
      <x:c r="G22" s="92" t="n">
        <x:v>0.30962298</x:v>
      </x:c>
      <x:c r="H22" s="65" t="str">
        <x:v>Jakarta timing and local exposure context</x:v>
      </x:c>
      <x:c r="I22" s="65" t="str">
        <x:v>Dinas Lingkungan Hidup DKI Jakarta</x:v>
      </x:c>
      <x:c r="J22" s="65" t="str">
        <x:v>Published: 2024-04-06 Status as of: 2026-09-07 (official seasonal notice; not a current forecast) Document type: official_public_guidance Tags: topic=exposure-protection; audience=Jakarta-resident; action=protect-now; pollutant=PM2.5</x:v>
      </x:c>
      <x:c r="K22" s="65" t="str">
        <x:v>https://lingkunganhidup.jakarta.go.id/detail-artikel/masuki-musim-kemarau-pemprov-dki-minta-masyarakat-waspadai-penurunan-kualitas-udara</x:v>
      </x:c>
      <x:c r="L22" s="65" t="n">
        <x:v>0</x:v>
      </x:c>
      <x:c r="M22" s="65" t="str">
        <x:v>Machine-suggested near-miss; human review required.</x:v>
      </x:c>
    </x:row>
    <x:row r="23" ht="42" customHeight="1">
      <x:c r="A23" s="65" t="str">
        <x:v>gold30-001</x:v>
      </x:c>
      <x:c r="B23" s="65" t="str">
        <x:v>hybrid_rerank</x:v>
      </x:c>
      <x:c r="C23" s="88" t="n">
        <x:v>3</x:v>
      </x:c>
      <x:c r="D23" s="65" t="str">
        <x:v>jakarta-court-air-quality</x:v>
      </x:c>
      <x:c r="E23" s="65" t="str">
        <x:v>jakarta-court-air-quality:structure:1</x:v>
      </x:c>
      <x:c r="F23" s="65" t="str">
        <x:v>p.2</x:v>
      </x:c>
      <x:c r="G23" s="92" t="n">
        <x:v>0.30961905</x:v>
      </x:c>
      <x:c r="H23" s="65" t="str">
        <x:v>Jakarta air-pollution citizen lawsuit: what the court record establishes</x:v>
      </x:c>
      <x:c r="I23" s="65" t="str">
        <x:v>Mahkamah Agung Republik Indonesia</x:v>
      </x:c>
      <x:c r="J23"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23" s="65" t="str">
        <x:v>https://putusan3.mahkamahagung.go.id/pengadilan/profil/pengadilan/pn-jakarta-pusat.html</x:v>
      </x:c>
      <x:c r="L23" s="65" t="n">
        <x:v>0</x:v>
      </x:c>
      <x:c r="M23" s="65" t="str">
        <x:v>Machine-suggested near-miss; human review required.</x:v>
      </x:c>
    </x:row>
    <x:row r="24" ht="42" customHeight="1">
      <x:c r="A24" s="65" t="str">
        <x:v>gold30-001</x:v>
      </x:c>
      <x:c r="B24" s="65" t="str">
        <x:v>hybrid_rerank</x:v>
      </x:c>
      <x:c r="C24" s="88" t="n">
        <x:v>4</x:v>
      </x:c>
      <x:c r="D24" s="65" t="str">
        <x:v>bad-air-day-protection</x:v>
      </x:c>
      <x:c r="E24" s="65" t="str">
        <x:v>bad-air-day-protection:structure:1</x:v>
      </x:c>
      <x:c r="F24" s="65" t="str">
        <x:v>p.2</x:v>
      </x:c>
      <x:c r="G24" s="92" t="n">
        <x:v>0.30483871</x:v>
      </x:c>
      <x:c r="H24" s="65" t="str">
        <x:v>Bad-air-day protection playbook</x:v>
      </x:c>
      <x:c r="I24" s="65" t="str">
        <x:v>World Health Organization, Regional Office for Europe</x:v>
      </x:c>
      <x:c r="J24"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24" s="65" t="str">
        <x:v>https://www.who.int/news-room/questions-and-answers/item/air-pollution-personal-interventions-and-risk-communication</x:v>
      </x:c>
      <x:c r="L24" s="65" t="n">
        <x:v>0</x:v>
      </x:c>
      <x:c r="M24" s="65" t="str">
        <x:v>Machine-suggested near-miss; human review required.</x:v>
      </x:c>
    </x:row>
    <x:row r="25" ht="42" customHeight="1">
      <x:c r="A25" s="65" t="str">
        <x:v>gold30-001</x:v>
      </x:c>
      <x:c r="B25" s="65" t="str">
        <x:v>hybrid_rerank</x:v>
      </x:c>
      <x:c r="C25" s="88" t="n">
        <x:v>5</x:v>
      </x:c>
      <x:c r="D25" s="65" t="str">
        <x:v>jakarta-improvements</x:v>
      </x:c>
      <x:c r="E25" s="65" t="str">
        <x:v>jakarta-improvements:structure:0</x:v>
      </x:c>
      <x:c r="F25" s="65" t="str">
        <x:v>p.1</x:v>
      </x:c>
      <x:c r="G25" s="92" t="n">
        <x:v>0.20911398</x:v>
      </x:c>
      <x:c r="H25" s="65" t="str">
        <x:v>Ways to improve Jakarta air quality</x:v>
      </x:c>
      <x:c r="I25" s="65" t="str">
        <x:v>Pemerintah Provinsi DKI Jakarta / Dinas Lingkungan Hidup</x:v>
      </x:c>
      <x:c r="J25"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5" s="65" t="str">
        <x:v>https://www.jakarta.go.id/page/upaya-bersama-jaga-kualitas-udara-jakarta</x:v>
      </x:c>
      <x:c r="L25" s="65" t="n">
        <x:v>0</x:v>
      </x:c>
      <x:c r="M25" s="65" t="str">
        <x:v>Machine-suggested near-miss; human review required.</x:v>
      </x:c>
    </x:row>
    <x:row r="26" ht="42" customHeight="1">
      <x:c r="A26" s="65" t="str">
        <x:v>gold30-002</x:v>
      </x:c>
      <x:c r="B26" s="65" t="str">
        <x:v>bm25</x:v>
      </x:c>
      <x:c r="C26" s="88" t="n">
        <x:v>1</x:v>
      </x:c>
      <x:c r="D26" s="65" t="str">
        <x:v>jakarta-historical-city-series</x:v>
      </x:c>
      <x:c r="E26" s="65" t="str">
        <x:v>jakarta-historical-city-series:structure:1</x:v>
      </x:c>
      <x:c r="F26" s="65" t="str">
        <x:v>p.2</x:v>
      </x:c>
      <x:c r="G26" s="92" t="n">
        <x:v>0.22222222</x:v>
      </x:c>
      <x:c r="H26" s="65" t="str">
        <x:v>Jakarta historical PM2.5 and PM10 series: provenance and quality</x:v>
      </x:c>
      <x:c r="I26" s="65" t="str">
        <x:v>Open-Meteo / CAMS Global; deposited dataset by Nitiraj Kulkarni and Jagadish Tawade</x:v>
      </x:c>
      <x:c r="J26"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26" s="65" t="str">
        <x:v>https://zenodo.org/records/18673885</x:v>
      </x:c>
      <x:c r="L26" s="65" t="n">
        <x:v>0</x:v>
      </x:c>
      <x:c r="M26" s="65" t="str">
        <x:v>Machine-suggested near-miss; human review required.</x:v>
      </x:c>
    </x:row>
    <x:row r="27" ht="42" customHeight="1">
      <x:c r="A27" s="65" t="str">
        <x:v>gold30-002</x:v>
      </x:c>
      <x:c r="B27" s="65" t="str">
        <x:v>bm25</x:v>
      </x:c>
      <x:c r="C27" s="88" t="n">
        <x:v>2</x:v>
      </x:c>
      <x:c r="D27" s="65" t="str">
        <x:v>jakarta-policy-implementation</x:v>
      </x:c>
      <x:c r="E27" s="65" t="str">
        <x:v>jakarta-policy-implementation:structure:0</x:v>
      </x:c>
      <x:c r="F27" s="65" t="str">
        <x:v>p.1</x:v>
      </x:c>
      <x:c r="G27" s="92" t="n">
        <x:v>0.22222222</x:v>
      </x:c>
      <x:c r="H27" s="65" t="str">
        <x:v>Why rules can coexist with poor air: implementation evidence</x:v>
      </x:c>
      <x:c r="I27" s="65" t="str">
        <x:v>Pemerintah Provinsi DKI Jakarta; Dinas Lingkungan Hidup DKI Jakarta; Mahkamah Agung</x:v>
      </x:c>
      <x:c r="J27" s="65" t="str">
        <x:v>Published: 2024-06-19; court record dated 2021-09-16 Status as of: 2026-09-07 (status is date-bounded; verify later changes in JDIH) Document type: implementation_evidence Tags: topic=regulation-implementation; audience=Jakarta-resident; action=accountability; status=implementat…</x:v>
      </x:c>
      <x:c r="K27" s="65" t="str">
        <x:v>https://www.jakarta.go.id/siaran-pers/4802-SP-HMS-06-2024</x:v>
      </x:c>
      <x:c r="L27" s="65" t="n">
        <x:v>0</x:v>
      </x:c>
      <x:c r="M27" s="65" t="str">
        <x:v>Machine-suggested near-miss; human review required.</x:v>
      </x:c>
    </x:row>
    <x:row r="28" ht="42" customHeight="1">
      <x:c r="A28" s="65" t="str">
        <x:v>gold30-002</x:v>
      </x:c>
      <x:c r="B28" s="65" t="str">
        <x:v>bm25</x:v>
      </x:c>
      <x:c r="C28" s="88" t="n">
        <x:v>3</x:v>
      </x:c>
      <x:c r="D28" s="65" t="str">
        <x:v>jakarta-regulations</x:v>
      </x:c>
      <x:c r="E28" s="65" t="str">
        <x:v>jakarta-regulations:structure:0</x:v>
      </x:c>
      <x:c r="F28" s="65" t="str">
        <x:v>p.1</x:v>
      </x:c>
      <x:c r="G28" s="92" t="n">
        <x:v>0.22222222</x:v>
      </x:c>
      <x:c r="H28" s="65" t="str">
        <x:v>Jakarta and Indonesian air-quality regulations</x:v>
      </x:c>
      <x:c r="I28" s="65" t="str">
        <x:v>JDIH DKI Jakarta / Government of Indonesia</x:v>
      </x:c>
      <x:c r="J28"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8" s="65" t="str">
        <x:v>https://udara.jakarta.go.id/regulasi</x:v>
      </x:c>
      <x:c r="L28" s="65" t="n">
        <x:v>0</x:v>
      </x:c>
      <x:c r="M28" s="65" t="str">
        <x:v>Machine-suggested near-miss; human review required.</x:v>
      </x:c>
    </x:row>
    <x:row r="29" ht="42" customHeight="1">
      <x:c r="A29" s="65" t="str">
        <x:v>gold30-002</x:v>
      </x:c>
      <x:c r="B29" s="65" t="str">
        <x:v>bm25</x:v>
      </x:c>
      <x:c r="C29" s="88" t="n">
        <x:v>4</x:v>
      </x:c>
      <x:c r="D29" s="65" t="str">
        <x:v>policy-improvements-evidence</x:v>
      </x:c>
      <x:c r="E29" s="65" t="str">
        <x:v>policy-improvements-evidence:structure:2</x:v>
      </x:c>
      <x:c r="F29" s="65" t="str">
        <x:v>p.3</x:v>
      </x:c>
      <x:c r="G29" s="92" t="n">
        <x:v>0.22222222</x:v>
      </x:c>
      <x:c r="H29" s="65" t="str">
        <x:v>Evidence-based policy improvements for Jakarta</x:v>
      </x:c>
      <x:c r="I29" s="65" t="str">
        <x:v>Dinas Lingkungan Hidup DKI Jakarta; World Health Organization</x:v>
      </x:c>
      <x:c r="J29"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9" s="65" t="str">
        <x:v>https://www.jakarta.go.id/siaran-pers/4802-SP-HMS-06-2024</x:v>
      </x:c>
      <x:c r="L29" s="65" t="n">
        <x:v>0</x:v>
      </x:c>
      <x:c r="M29" s="65" t="str">
        <x:v>Machine-suggested near-miss; human review required.</x:v>
      </x:c>
    </x:row>
    <x:row r="30" ht="42" customHeight="1">
      <x:c r="A30" s="65" t="str">
        <x:v>gold30-002</x:v>
      </x:c>
      <x:c r="B30" s="65" t="str">
        <x:v>bm25</x:v>
      </x:c>
      <x:c r="C30" s="88" t="n">
        <x:v>5</x:v>
      </x:c>
      <x:c r="D30" s="65" t="str">
        <x:v>pp-22-2021-air-quality</x:v>
      </x:c>
      <x:c r="E30" s="65" t="str">
        <x:v>pp-22-2021-air-quality:structure:3</x:v>
      </x:c>
      <x:c r="F30" s="65" t="str">
        <x:v>p.4</x:v>
      </x:c>
      <x:c r="G30" s="92" t="n">
        <x:v>0.22222222</x:v>
      </x:c>
      <x:c r="H30" s="65" t="str">
        <x:v>PP No. 22 Tahun 2021 — environmental protection and ambient air quality</x:v>
      </x:c>
      <x:c r="I30" s="65" t="str">
        <x:v>Pemerintah Republik Indonesia / Database Peraturan BPK</x:v>
      </x:c>
      <x:c r="J30" s="65" t="str">
        <x:v>The lampiran is the controlling locator for numeric ambient standards. A response must not substitute an ISPU category for an ambient concentration standard, and must identify the pollutant and averaging time before comparing a measurement.</x:v>
      </x:c>
      <x:c r="K30" s="65" t="str">
        <x:v>https://peraturan.bpk.go.id/Details/161852/pp-no-22tahun-2021</x:v>
      </x:c>
      <x:c r="L30" s="65" t="n">
        <x:v>0</x:v>
      </x:c>
      <x:c r="M30" s="65" t="str">
        <x:v>Machine-suggested near-miss; human review required.</x:v>
      </x:c>
    </x:row>
    <x:row r="31" ht="42" customHeight="1">
      <x:c r="A31" s="65" t="str">
        <x:v>gold30-002</x:v>
      </x:c>
      <x:c r="B31" s="65" t="str">
        <x:v>dense</x:v>
      </x:c>
      <x:c r="C31" s="88" t="n">
        <x:v>1</x:v>
      </x:c>
      <x:c r="D31" s="65" t="str">
        <x:v>jakarta-monitoring</x:v>
      </x:c>
      <x:c r="E31" s="65" t="str">
        <x:v>jakarta-monitoring:structure:0</x:v>
      </x:c>
      <x:c r="F31" s="65" t="str">
        <x:v>p.1</x:v>
      </x:c>
      <x:c r="G31" s="92" t="n">
        <x:v>0.25461911</x:v>
      </x:c>
      <x:c r="H31" s="65" t="str">
        <x:v>Jakarta monitoring stations</x:v>
      </x:c>
      <x:c r="I31" s="65" t="str">
        <x:v>Dinas Lingkungan Hidup Provinsi DKI Jakarta</x:v>
      </x:c>
      <x:c r="J31" s="65" t="str">
        <x:v>Jakarta's official monitoring portal publishes station locations, pollutant parameters, current readings, and timestamps. A station observation describes that station and observation time; it should not automatically be generalized to all of Jakarta.</x:v>
      </x:c>
      <x:c r="K31" s="65" t="str">
        <x:v>https://udara.jakarta.go.id/lokasi-spku</x:v>
      </x:c>
      <x:c r="L31" s="65" t="n">
        <x:v>3</x:v>
      </x:c>
      <x:c r="M31" s="65" t="str">
        <x:v>Expected source for this question.</x:v>
      </x:c>
    </x:row>
    <x:row r="32" ht="42" customHeight="1">
      <x:c r="A32" s="65" t="str">
        <x:v>gold30-002</x:v>
      </x:c>
      <x:c r="B32" s="65" t="str">
        <x:v>dense</x:v>
      </x:c>
      <x:c r="C32" s="88" t="n">
        <x:v>2</x:v>
      </x:c>
      <x:c r="D32" s="65" t="str">
        <x:v>jakarta-seasonal-exposure</x:v>
      </x:c>
      <x:c r="E32" s="65" t="str">
        <x:v>jakarta-seasonal-exposure:structure:0</x:v>
      </x:c>
      <x:c r="F32" s="65" t="str">
        <x:v>p.1</x:v>
      </x:c>
      <x:c r="G32" s="92" t="n">
        <x:v>0.23136802</x:v>
      </x:c>
      <x:c r="H32" s="65" t="str">
        <x:v>Jakarta timing and local exposure context</x:v>
      </x:c>
      <x:c r="I32" s="65" t="str">
        <x:v>Dinas Lingkungan Hidup DKI Jakarta</x:v>
      </x:c>
      <x:c r="J32" s="65" t="str">
        <x:v>Published: 2024-04-06 Status as of: 2026-09-07 (official seasonal notice; not a current forecast) Document type: official_public_guidance Tags: topic=exposure-protection; audience=Jakarta-resident; action=protect-now; pollutant=PM2.5</x:v>
      </x:c>
      <x:c r="K32" s="65" t="str">
        <x:v>https://lingkunganhidup.jakarta.go.id/detail-artikel/masuki-musim-kemarau-pemprov-dki-minta-masyarakat-waspadai-penurunan-kualitas-udara</x:v>
      </x:c>
      <x:c r="L32" s="65" t="n">
        <x:v>0</x:v>
      </x:c>
      <x:c r="M32" s="65" t="str">
        <x:v>Machine-suggested near-miss; human review required.</x:v>
      </x:c>
    </x:row>
    <x:row r="33" ht="42" customHeight="1">
      <x:c r="A33" s="65" t="str">
        <x:v>gold30-002</x:v>
      </x:c>
      <x:c r="B33" s="65" t="str">
        <x:v>dense</x:v>
      </x:c>
      <x:c r="C33" s="88" t="n">
        <x:v>3</x:v>
      </x:c>
      <x:c r="D33" s="65" t="str">
        <x:v>jakarta-improvements</x:v>
      </x:c>
      <x:c r="E33" s="65" t="str">
        <x:v>jakarta-improvements:structure:0</x:v>
      </x:c>
      <x:c r="F33" s="65" t="str">
        <x:v>p.1</x:v>
      </x:c>
      <x:c r="G33" s="92" t="n">
        <x:v>0.19786287</x:v>
      </x:c>
      <x:c r="H33" s="65" t="str">
        <x:v>Ways to improve Jakarta air quality</x:v>
      </x:c>
      <x:c r="I33" s="65" t="str">
        <x:v>Pemerintah Provinsi DKI Jakarta / Dinas Lingkungan Hidup</x:v>
      </x:c>
      <x:c r="J33"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3" s="65" t="str">
        <x:v>https://www.jakarta.go.id/page/upaya-bersama-jaga-kualitas-udara-jakarta</x:v>
      </x:c>
      <x:c r="L33" s="65" t="n">
        <x:v>0</x:v>
      </x:c>
      <x:c r="M33" s="65" t="str">
        <x:v>Machine-suggested near-miss; human review required.</x:v>
      </x:c>
    </x:row>
    <x:row r="34" ht="42" customHeight="1">
      <x:c r="A34" s="65" t="str">
        <x:v>gold30-002</x:v>
      </x:c>
      <x:c r="B34" s="65" t="str">
        <x:v>dense</x:v>
      </x:c>
      <x:c r="C34" s="88" t="n">
        <x:v>4</x:v>
      </x:c>
      <x:c r="D34" s="65" t="str">
        <x:v>jakarta-court-air-quality</x:v>
      </x:c>
      <x:c r="E34" s="65" t="str">
        <x:v>jakarta-court-air-quality:structure:1</x:v>
      </x:c>
      <x:c r="F34" s="65" t="str">
        <x:v>p.2</x:v>
      </x:c>
      <x:c r="G34" s="92" t="n">
        <x:v>0.19545769</x:v>
      </x:c>
      <x:c r="H34" s="65" t="str">
        <x:v>Jakarta air-pollution citizen lawsuit: what the court record establishes</x:v>
      </x:c>
      <x:c r="I34" s="65" t="str">
        <x:v>Mahkamah Agung Republik Indonesia</x:v>
      </x:c>
      <x:c r="J34"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4" s="65" t="str">
        <x:v>https://putusan3.mahkamahagung.go.id/pengadilan/profil/pengadilan/pn-jakarta-pusat.html</x:v>
      </x:c>
      <x:c r="L34" s="65" t="n">
        <x:v>0</x:v>
      </x:c>
      <x:c r="M34" s="65" t="str">
        <x:v>Machine-suggested near-miss; human review required.</x:v>
      </x:c>
    </x:row>
    <x:row r="35" ht="42" customHeight="1">
      <x:c r="A35" s="65" t="str">
        <x:v>gold30-002</x:v>
      </x:c>
      <x:c r="B35" s="65" t="str">
        <x:v>dense</x:v>
      </x:c>
      <x:c r="C35" s="88" t="n">
        <x:v>5</x:v>
      </x:c>
      <x:c r="D35" s="65" t="str">
        <x:v>jakarta-regulations</x:v>
      </x:c>
      <x:c r="E35" s="65" t="str">
        <x:v>jakarta-regulations:structure:0</x:v>
      </x:c>
      <x:c r="F35" s="65" t="str">
        <x:v>p.1</x:v>
      </x:c>
      <x:c r="G35" s="92" t="n">
        <x:v>0.17982855</x:v>
      </x:c>
      <x:c r="H35" s="65" t="str">
        <x:v>Jakarta and Indonesian air-quality regulations</x:v>
      </x:c>
      <x:c r="I35" s="65" t="str">
        <x:v>JDIH DKI Jakarta / Government of Indonesia</x:v>
      </x:c>
      <x:c r="J35"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5" s="65" t="str">
        <x:v>https://udara.jakarta.go.id/regulasi</x:v>
      </x:c>
      <x:c r="L35" s="65" t="n">
        <x:v>0</x:v>
      </x:c>
      <x:c r="M35" s="65" t="str">
        <x:v>Machine-suggested near-miss; human review required.</x:v>
      </x:c>
    </x:row>
    <x:row r="36" ht="42" customHeight="1">
      <x:c r="A36" s="65" t="str">
        <x:v>gold30-002</x:v>
      </x:c>
      <x:c r="B36" s="65" t="str">
        <x:v>hybrid</x:v>
      </x:c>
      <x:c r="C36" s="88" t="n">
        <x:v>1</x:v>
      </x:c>
      <x:c r="D36" s="65" t="str">
        <x:v>jakarta-regulations</x:v>
      </x:c>
      <x:c r="E36" s="65" t="str">
        <x:v>jakarta-regulations:structure:0</x:v>
      </x:c>
      <x:c r="F36" s="65" t="str">
        <x:v>p.1</x:v>
      </x:c>
      <x:c r="G36" s="92" t="n">
        <x:v>0.03156532</x:v>
      </x:c>
      <x:c r="H36" s="65" t="str">
        <x:v>Jakarta and Indonesian air-quality regulations</x:v>
      </x:c>
      <x:c r="I36" s="65" t="str">
        <x:v>JDIH DKI Jakarta / Government of Indonesia</x:v>
      </x:c>
      <x:c r="J36"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6" s="65" t="str">
        <x:v>https://udara.jakarta.go.id/regulasi</x:v>
      </x:c>
      <x:c r="L36" s="65" t="n">
        <x:v>0</x:v>
      </x:c>
      <x:c r="M36" s="65" t="str">
        <x:v>Machine-suggested near-miss; human review required.</x:v>
      </x:c>
    </x:row>
    <x:row r="37" ht="42" customHeight="1">
      <x:c r="A37" s="65" t="str">
        <x:v>gold30-002</x:v>
      </x:c>
      <x:c r="B37" s="65" t="str">
        <x:v>hybrid</x:v>
      </x:c>
      <x:c r="C37" s="88" t="n">
        <x:v>2</x:v>
      </x:c>
      <x:c r="D37" s="65" t="str">
        <x:v>jakarta-policy-implementation</x:v>
      </x:c>
      <x:c r="E37" s="65" t="str">
        <x:v>jakarta-policy-implementation:structure:0</x:v>
      </x:c>
      <x:c r="F37" s="65" t="str">
        <x:v>p.1</x:v>
      </x:c>
      <x:c r="G37" s="92" t="n">
        <x:v>0.03112903</x:v>
      </x:c>
      <x:c r="H37" s="65" t="str">
        <x:v>Why rules can coexist with poor air: implementation evidence</x:v>
      </x:c>
      <x:c r="I37" s="65" t="str">
        <x:v>Pemerintah Provinsi DKI Jakarta; Dinas Lingkungan Hidup DKI Jakarta; Mahkamah Agung</x:v>
      </x:c>
      <x:c r="J37" s="65" t="str">
        <x:v>Published: 2024-06-19; court record dated 2021-09-16 Status as of: 2026-09-07 (status is date-bounded; verify later changes in JDIH) Document type: implementation_evidence Tags: topic=regulation-implementation; audience=Jakarta-resident; action=accountability; status=implementat…</x:v>
      </x:c>
      <x:c r="K37" s="65" t="str">
        <x:v>https://www.jakarta.go.id/siaran-pers/4802-SP-HMS-06-2024</x:v>
      </x:c>
      <x:c r="L37" s="65" t="n">
        <x:v>0</x:v>
      </x:c>
      <x:c r="M37" s="65" t="str">
        <x:v>Machine-suggested near-miss; human review required.</x:v>
      </x:c>
    </x:row>
    <x:row r="38" ht="42" customHeight="1">
      <x:c r="A38" s="65" t="str">
        <x:v>gold30-002</x:v>
      </x:c>
      <x:c r="B38" s="65" t="str">
        <x:v>hybrid</x:v>
      </x:c>
      <x:c r="C38" s="88" t="n">
        <x:v>3</x:v>
      </x:c>
      <x:c r="D38" s="65" t="str">
        <x:v>jakarta-monitoring</x:v>
      </x:c>
      <x:c r="E38" s="65" t="str">
        <x:v>jakarta-monitoring:structure:0</x:v>
      </x:c>
      <x:c r="F38" s="65" t="str">
        <x:v>p.1</x:v>
      </x:c>
      <x:c r="G38" s="92" t="n">
        <x:v>0.01672131</x:v>
      </x:c>
      <x:c r="H38" s="65" t="str">
        <x:v>Jakarta monitoring stations</x:v>
      </x:c>
      <x:c r="I38" s="65" t="str">
        <x:v>Dinas Lingkungan Hidup Provinsi DKI Jakarta</x:v>
      </x:c>
      <x:c r="J38" s="65" t="str">
        <x:v>Jakarta's official monitoring portal publishes station locations, pollutant parameters, current readings, and timestamps. A station observation describes that station and observation time; it should not automatically be generalized to all of Jakarta.</x:v>
      </x:c>
      <x:c r="K38" s="65" t="str">
        <x:v>https://udara.jakarta.go.id/lokasi-spku</x:v>
      </x:c>
      <x:c r="L38" s="65" t="n">
        <x:v>3</x:v>
      </x:c>
      <x:c r="M38" s="65" t="str">
        <x:v>Expected source for this question.</x:v>
      </x:c>
    </x:row>
    <x:row r="39" ht="42" customHeight="1">
      <x:c r="A39" s="65" t="str">
        <x:v>gold30-002</x:v>
      </x:c>
      <x:c r="B39" s="65" t="str">
        <x:v>hybrid</x:v>
      </x:c>
      <x:c r="C39" s="88" t="n">
        <x:v>4</x:v>
      </x:c>
      <x:c r="D39" s="65" t="str">
        <x:v>jakarta-seasonal-exposure</x:v>
      </x:c>
      <x:c r="E39" s="65" t="str">
        <x:v>jakarta-seasonal-exposure:structure:0</x:v>
      </x:c>
      <x:c r="F39" s="65" t="str">
        <x:v>p.1</x:v>
      </x:c>
      <x:c r="G39" s="92" t="n">
        <x:v>0.01645161</x:v>
      </x:c>
      <x:c r="H39" s="65" t="str">
        <x:v>Jakarta timing and local exposure context</x:v>
      </x:c>
      <x:c r="I39" s="65" t="str">
        <x:v>Dinas Lingkungan Hidup DKI Jakarta</x:v>
      </x:c>
      <x:c r="J39" s="65" t="str">
        <x:v>Published: 2024-04-06 Status as of: 2026-09-07 (official seasonal notice; not a current forecast) Document type: official_public_guidance Tags: topic=exposure-protection; audience=Jakarta-resident; action=protect-now; pollutant=PM2.5</x:v>
      </x:c>
      <x:c r="K39" s="65" t="str">
        <x:v>https://lingkunganhidup.jakarta.go.id/detail-artikel/masuki-musim-kemarau-pemprov-dki-minta-masyarakat-waspadai-penurunan-kualitas-udara</x:v>
      </x:c>
      <x:c r="L39" s="65" t="n">
        <x:v>0</x:v>
      </x:c>
      <x:c r="M39" s="65" t="str">
        <x:v>Machine-suggested near-miss; human review required.</x:v>
      </x:c>
    </x:row>
    <x:row r="40" ht="42" customHeight="1">
      <x:c r="A40" s="65" t="str">
        <x:v>gold30-002</x:v>
      </x:c>
      <x:c r="B40" s="65" t="str">
        <x:v>hybrid</x:v>
      </x:c>
      <x:c r="C40" s="88" t="n">
        <x:v>5</x:v>
      </x:c>
      <x:c r="D40" s="65" t="str">
        <x:v>jakarta-historical-city-series</x:v>
      </x:c>
      <x:c r="E40" s="65" t="str">
        <x:v>jakarta-historical-city-series:structure:1</x:v>
      </x:c>
      <x:c r="F40" s="65" t="str">
        <x:v>p.2</x:v>
      </x:c>
      <x:c r="G40" s="92" t="n">
        <x:v>0.01639344</x:v>
      </x:c>
      <x:c r="H40" s="65" t="str">
        <x:v>Jakarta historical PM2.5 and PM10 series: provenance and quality</x:v>
      </x:c>
      <x:c r="I40" s="65" t="str">
        <x:v>Open-Meteo / CAMS Global; deposited dataset by Nitiraj Kulkarni and Jagadish Tawade</x:v>
      </x:c>
      <x:c r="J40"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0" s="65" t="str">
        <x:v>https://zenodo.org/records/18673885</x:v>
      </x:c>
      <x:c r="L40" s="65" t="n">
        <x:v>0</x:v>
      </x:c>
      <x:c r="M40" s="65" t="str">
        <x:v>Machine-suggested near-miss; human review required.</x:v>
      </x:c>
    </x:row>
    <x:row r="41" ht="42" customHeight="1">
      <x:c r="A41" s="65" t="str">
        <x:v>gold30-002</x:v>
      </x:c>
      <x:c r="B41" s="65" t="str">
        <x:v>hybrid_rerank</x:v>
      </x:c>
      <x:c r="C41" s="88" t="n">
        <x:v>1</x:v>
      </x:c>
      <x:c r="D41" s="65" t="str">
        <x:v>jakarta-regulations</x:v>
      </x:c>
      <x:c r="E41" s="65" t="str">
        <x:v>jakarta-regulations:structure:0</x:v>
      </x:c>
      <x:c r="F41" s="65" t="str">
        <x:v>p.1</x:v>
      </x:c>
      <x:c r="G41" s="92" t="n">
        <x:v>0.16502515</x:v>
      </x:c>
      <x:c r="H41" s="65" t="str">
        <x:v>Jakarta and Indonesian air-quality regulations</x:v>
      </x:c>
      <x:c r="I41" s="65" t="str">
        <x:v>JDIH DKI Jakarta / Government of Indonesia</x:v>
      </x:c>
      <x:c r="J41"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41" s="65" t="str">
        <x:v>https://udara.jakarta.go.id/regulasi</x:v>
      </x:c>
      <x:c r="L41" s="65" t="n">
        <x:v>0</x:v>
      </x:c>
      <x:c r="M41" s="65" t="str">
        <x:v>Machine-suggested near-miss; human review required.</x:v>
      </x:c>
    </x:row>
    <x:row r="42" ht="42" customHeight="1">
      <x:c r="A42" s="65" t="str">
        <x:v>gold30-002</x:v>
      </x:c>
      <x:c r="B42" s="65" t="str">
        <x:v>hybrid_rerank</x:v>
      </x:c>
      <x:c r="C42" s="88" t="n">
        <x:v>2</x:v>
      </x:c>
      <x:c r="D42" s="65" t="str">
        <x:v>jakarta-policy-implementation</x:v>
      </x:c>
      <x:c r="E42" s="65" t="str">
        <x:v>jakarta-policy-implementation:structure:0</x:v>
      </x:c>
      <x:c r="F42" s="65" t="str">
        <x:v>p.1</x:v>
      </x:c>
      <x:c r="G42" s="92" t="n">
        <x:v>0.16489427</x:v>
      </x:c>
      <x:c r="H42" s="65" t="str">
        <x:v>Why rules can coexist with poor air: implementation evidence</x:v>
      </x:c>
      <x:c r="I42" s="65" t="str">
        <x:v>Pemerintah Provinsi DKI Jakarta; Dinas Lingkungan Hidup DKI Jakarta; Mahkamah Agung</x:v>
      </x:c>
      <x:c r="J42" s="65" t="str">
        <x:v>Published: 2024-06-19; court record dated 2021-09-16 Status as of: 2026-09-07 (status is date-bounded; verify later changes in JDIH) Document type: implementation_evidence Tags: topic=regulation-implementation; audience=Jakarta-resident; action=accountability; status=implementat…</x:v>
      </x:c>
      <x:c r="K42" s="65" t="str">
        <x:v>https://www.jakarta.go.id/siaran-pers/4802-SP-HMS-06-2024</x:v>
      </x:c>
      <x:c r="L42" s="65" t="n">
        <x:v>0</x:v>
      </x:c>
      <x:c r="M42" s="65" t="str">
        <x:v>Machine-suggested near-miss; human review required.</x:v>
      </x:c>
    </x:row>
    <x:row r="43" ht="42" customHeight="1">
      <x:c r="A43" s="65" t="str">
        <x:v>gold30-002</x:v>
      </x:c>
      <x:c r="B43" s="65" t="str">
        <x:v>hybrid_rerank</x:v>
      </x:c>
      <x:c r="C43" s="88" t="n">
        <x:v>3</x:v>
      </x:c>
      <x:c r="D43" s="65" t="str">
        <x:v>jakarta-historical-city-series</x:v>
      </x:c>
      <x:c r="E43" s="65" t="str">
        <x:v>jakarta-historical-city-series:structure:1</x:v>
      </x:c>
      <x:c r="F43" s="65" t="str">
        <x:v>p.2</x:v>
      </x:c>
      <x:c r="G43" s="92" t="n">
        <x:v>0.16047359</x:v>
      </x:c>
      <x:c r="H43" s="65" t="str">
        <x:v>Jakarta historical PM2.5 and PM10 series: provenance and quality</x:v>
      </x:c>
      <x:c r="I43" s="65" t="str">
        <x:v>Open-Meteo / CAMS Global; deposited dataset by Nitiraj Kulkarni and Jagadish Tawade</x:v>
      </x:c>
      <x:c r="J43"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3" s="65" t="str">
        <x:v>https://zenodo.org/records/18673885</x:v>
      </x:c>
      <x:c r="L43" s="65" t="n">
        <x:v>0</x:v>
      </x:c>
      <x:c r="M43" s="65" t="str">
        <x:v>Machine-suggested near-miss; human review required.</x:v>
      </x:c>
    </x:row>
    <x:row r="44" ht="42" customHeight="1">
      <x:c r="A44" s="65" t="str">
        <x:v>gold30-002</x:v>
      </x:c>
      <x:c r="B44" s="65" t="str">
        <x:v>hybrid_rerank</x:v>
      </x:c>
      <x:c r="C44" s="88" t="n">
        <x:v>4</x:v>
      </x:c>
      <x:c r="D44" s="65" t="str">
        <x:v>policy-improvements-evidence</x:v>
      </x:c>
      <x:c r="E44" s="65" t="str">
        <x:v>policy-improvements-evidence:structure:2</x:v>
      </x:c>
      <x:c r="F44" s="65" t="str">
        <x:v>p.3</x:v>
      </x:c>
      <x:c r="G44" s="92" t="n">
        <x:v>0.16024306</x:v>
      </x:c>
      <x:c r="H44" s="65" t="str">
        <x:v>Evidence-based policy improvements for Jakarta</x:v>
      </x:c>
      <x:c r="I44" s="65" t="str">
        <x:v>Dinas Lingkungan Hidup DKI Jakarta; World Health Organization</x:v>
      </x:c>
      <x:c r="J44"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44" s="65" t="str">
        <x:v>https://www.jakarta.go.id/siaran-pers/4802-SP-HMS-06-2024</x:v>
      </x:c>
      <x:c r="L44" s="65" t="n">
        <x:v>0</x:v>
      </x:c>
      <x:c r="M44" s="65" t="str">
        <x:v>Machine-suggested near-miss; human review required.</x:v>
      </x:c>
    </x:row>
    <x:row r="45" ht="42" customHeight="1">
      <x:c r="A45" s="65" t="str">
        <x:v>gold30-002</x:v>
      </x:c>
      <x:c r="B45" s="65" t="str">
        <x:v>hybrid_rerank</x:v>
      </x:c>
      <x:c r="C45" s="88" t="n">
        <x:v>5</x:v>
      </x:c>
      <x:c r="D45" s="65" t="str">
        <x:v>pp-22-2021-air-quality</x:v>
      </x:c>
      <x:c r="E45" s="65" t="str">
        <x:v>pp-22-2021-air-quality:structure:3</x:v>
      </x:c>
      <x:c r="F45" s="65" t="str">
        <x:v>p.4</x:v>
      </x:c>
      <x:c r="G45" s="92" t="n">
        <x:v>0.16017094</x:v>
      </x:c>
      <x:c r="H45" s="65" t="str">
        <x:v>PP No. 22 Tahun 2021 — environmental protection and ambient air quality</x:v>
      </x:c>
      <x:c r="I45" s="65" t="str">
        <x:v>Pemerintah Republik Indonesia / Database Peraturan BPK</x:v>
      </x:c>
      <x:c r="J45" s="65" t="str">
        <x:v>The lampiran is the controlling locator for numeric ambient standards. A response must not substitute an ISPU category for an ambient concentration standard, and must identify the pollutant and averaging time before comparing a measurement.</x:v>
      </x:c>
      <x:c r="K45" s="65" t="str">
        <x:v>https://peraturan.bpk.go.id/Details/161852/pp-no-22tahun-2021</x:v>
      </x:c>
      <x:c r="L45" s="65" t="n">
        <x:v>0</x:v>
      </x:c>
      <x:c r="M45" s="65" t="str">
        <x:v>Machine-suggested near-miss; human review required.</x:v>
      </x:c>
    </x:row>
    <x:row r="46" ht="42" customHeight="1">
      <x:c r="A46" s="65" t="str">
        <x:v>gold30-003</x:v>
      </x:c>
      <x:c r="B46" s="65" t="str">
        <x:v>bm25</x:v>
      </x:c>
      <x:c r="C46" s="88" t="n">
        <x:v>1</x:v>
      </x:c>
      <x:c r="D46" s="65" t="str">
        <x:v>jakarta-historical-city-series</x:v>
      </x:c>
      <x:c r="E46" s="65" t="str">
        <x:v>jakarta-historical-city-series:structure:1</x:v>
      </x:c>
      <x:c r="F46" s="65" t="str">
        <x:v>p.2</x:v>
      </x:c>
      <x:c r="G46" s="92" t="n">
        <x:v>0.5</x:v>
      </x:c>
      <x:c r="H46" s="65" t="str">
        <x:v>Jakarta historical PM2.5 and PM10 series: provenance and quality</x:v>
      </x:c>
      <x:c r="I46" s="65" t="str">
        <x:v>Open-Meteo / CAMS Global; deposited dataset by Nitiraj Kulkarni and Jagadish Tawade</x:v>
      </x:c>
      <x:c r="J46"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6" s="65" t="str">
        <x:v>https://zenodo.org/records/18673885</x:v>
      </x:c>
      <x:c r="L46" s="65" t="n">
        <x:v>0</x:v>
      </x:c>
      <x:c r="M46" s="65" t="str">
        <x:v>Machine-suggested near-miss; human review required.</x:v>
      </x:c>
    </x:row>
    <x:row r="47" ht="42" customHeight="1">
      <x:c r="A47" s="65" t="str">
        <x:v>gold30-003</x:v>
      </x:c>
      <x:c r="B47" s="65" t="str">
        <x:v>bm25</x:v>
      </x:c>
      <x:c r="C47" s="88" t="n">
        <x:v>2</x:v>
      </x:c>
      <x:c r="D47" s="65" t="str">
        <x:v>ispu</x:v>
      </x:c>
      <x:c r="E47" s="65" t="str">
        <x:v>ispu:structure:0</x:v>
      </x:c>
      <x:c r="F47" s="65" t="str">
        <x:v>p.1</x:v>
      </x:c>
      <x:c r="G47" s="92" t="n">
        <x:v>0.33333333</x:v>
      </x:c>
      <x:c r="H47" s="65" t="str">
        <x:v>Indonesian ISPU categories</x:v>
      </x:c>
      <x:c r="I47" s="65" t="str">
        <x:v>Ministry of Environment and Forestry</x:v>
      </x:c>
      <x:c r="J47" s="65" t="str">
        <x:v>The Indonesian ISPU categories used in this demo are Baik (1-50), Sedang (51-100), Tidak Sehat (101-200), Sangat Tidak Sehat (201-300), and Berbahaya (301 or higher). ISPU is an index without a physical concentration unit.</x:v>
      </x:c>
      <x:c r="K47" s="65" t="str">
        <x:v>https://peraturan.bpk.go.id/Details/163466/permen-lhk-no-14-tahun-2020</x:v>
      </x:c>
      <x:c r="L47" s="65" t="n">
        <x:v>3</x:v>
      </x:c>
      <x:c r="M47" s="65" t="str">
        <x:v>Expected source for this question.</x:v>
      </x:c>
    </x:row>
    <x:row r="48" ht="42" customHeight="1">
      <x:c r="A48" s="65" t="str">
        <x:v>gold30-003</x:v>
      </x:c>
      <x:c r="B48" s="65" t="str">
        <x:v>bm25</x:v>
      </x:c>
      <x:c r="C48" s="88" t="n">
        <x:v>3</x:v>
      </x:c>
      <x:c r="D48" s="65" t="str">
        <x:v>policy-improvements-evidence</x:v>
      </x:c>
      <x:c r="E48" s="65" t="str">
        <x:v>policy-improvements-evidence:structure:2</x:v>
      </x:c>
      <x:c r="F48" s="65" t="str">
        <x:v>p.3</x:v>
      </x:c>
      <x:c r="G48" s="92" t="n">
        <x:v>0.33333333</x:v>
      </x:c>
      <x:c r="H48" s="65" t="str">
        <x:v>Evidence-based policy improvements for Jakarta</x:v>
      </x:c>
      <x:c r="I48" s="65" t="str">
        <x:v>Dinas Lingkungan Hidup DKI Jakarta; World Health Organization</x:v>
      </x:c>
      <x:c r="J48"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48" s="65" t="str">
        <x:v>https://www.jakarta.go.id/siaran-pers/4802-SP-HMS-06-2024</x:v>
      </x:c>
      <x:c r="L48" s="65" t="n">
        <x:v>0</x:v>
      </x:c>
      <x:c r="M48" s="65" t="str">
        <x:v>Machine-suggested near-miss; human review required.</x:v>
      </x:c>
    </x:row>
    <x:row r="49" ht="42" customHeight="1">
      <x:c r="A49" s="65" t="str">
        <x:v>gold30-003</x:v>
      </x:c>
      <x:c r="B49" s="65" t="str">
        <x:v>bm25</x:v>
      </x:c>
      <x:c r="C49" s="88" t="n">
        <x:v>4</x:v>
      </x:c>
      <x:c r="D49" s="65" t="str">
        <x:v>pp-22-2021-air-quality</x:v>
      </x:c>
      <x:c r="E49" s="65" t="str">
        <x:v>pp-22-2021-air-quality:structure:3</x:v>
      </x:c>
      <x:c r="F49" s="65" t="str">
        <x:v>p.4</x:v>
      </x:c>
      <x:c r="G49" s="92" t="n">
        <x:v>0.33333333</x:v>
      </x:c>
      <x:c r="H49" s="65" t="str">
        <x:v>PP No. 22 Tahun 2021 — environmental protection and ambient air quality</x:v>
      </x:c>
      <x:c r="I49" s="65" t="str">
        <x:v>Pemerintah Republik Indonesia / Database Peraturan BPK</x:v>
      </x:c>
      <x:c r="J49" s="65" t="str">
        <x:v>The lampiran is the controlling locator for numeric ambient standards. A response must not substitute an ISPU category for an ambient concentration standard, and must identify the pollutant and averaging time before comparing a measurement.</x:v>
      </x:c>
      <x:c r="K49" s="65" t="str">
        <x:v>https://peraturan.bpk.go.id/Details/161852/pp-no-22tahun-2021</x:v>
      </x:c>
      <x:c r="L49" s="65" t="n">
        <x:v>0</x:v>
      </x:c>
      <x:c r="M49" s="65" t="str">
        <x:v>Machine-suggested near-miss; human review required.</x:v>
      </x:c>
    </x:row>
    <x:row r="50" ht="42" customHeight="1">
      <x:c r="A50" s="65" t="str">
        <x:v>gold30-003</x:v>
      </x:c>
      <x:c r="B50" s="65" t="str">
        <x:v>bm25</x:v>
      </x:c>
      <x:c r="C50" s="88" t="n">
        <x:v>5</x:v>
      </x:c>
      <x:c r="D50" s="65" t="str">
        <x:v>jakarta-policy-implementation</x:v>
      </x:c>
      <x:c r="E50" s="65" t="str">
        <x:v>jakarta-policy-implementation:structure:1</x:v>
      </x:c>
      <x:c r="F50" s="65" t="str">
        <x:v>p.2</x:v>
      </x:c>
      <x:c r="G50" s="92" t="n">
        <x:v>0.16666667</x:v>
      </x:c>
      <x:c r="H50" s="65" t="str">
        <x:v>Why rules can coexist with poor air: implementation evidence</x:v>
      </x:c>
      <x:c r="I50" s="65" t="str">
        <x:v>Pemerintah Provinsi DKI Jakarta; Dinas Lingkungan Hidup DKI Jakarta; Mahkamah Agung</x:v>
      </x:c>
      <x:c r="J50"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50" s="65" t="str">
        <x:v>https://www.jakarta.go.id/siaran-pers/4802-SP-HMS-06-2024</x:v>
      </x:c>
      <x:c r="L50" s="65" t="n">
        <x:v>0</x:v>
      </x:c>
      <x:c r="M50" s="65" t="str">
        <x:v>Machine-suggested near-miss; human review required.</x:v>
      </x:c>
    </x:row>
    <x:row r="51" ht="42" customHeight="1">
      <x:c r="A51" s="65" t="str">
        <x:v>gold30-003</x:v>
      </x:c>
      <x:c r="B51" s="65" t="str">
        <x:v>dense</x:v>
      </x:c>
      <x:c r="C51" s="88" t="n">
        <x:v>1</x:v>
      </x:c>
      <x:c r="D51" s="65" t="str">
        <x:v>ispu</x:v>
      </x:c>
      <x:c r="E51" s="65" t="str">
        <x:v>ispu:structure:0</x:v>
      </x:c>
      <x:c r="F51" s="65" t="str">
        <x:v>p.1</x:v>
      </x:c>
      <x:c r="G51" s="92" t="n">
        <x:v>0.3548745</x:v>
      </x:c>
      <x:c r="H51" s="65" t="str">
        <x:v>Indonesian ISPU categories</x:v>
      </x:c>
      <x:c r="I51" s="65" t="str">
        <x:v>Ministry of Environment and Forestry</x:v>
      </x:c>
      <x:c r="J51" s="65" t="str">
        <x:v>The Indonesian ISPU categories used in this demo are Baik (1-50), Sedang (51-100), Tidak Sehat (101-200), Sangat Tidak Sehat (201-300), and Berbahaya (301 or higher). ISPU is an index without a physical concentration unit.</x:v>
      </x:c>
      <x:c r="K51" s="65" t="str">
        <x:v>https://peraturan.bpk.go.id/Details/163466/permen-lhk-no-14-tahun-2020</x:v>
      </x:c>
      <x:c r="L51" s="65" t="n">
        <x:v>3</x:v>
      </x:c>
      <x:c r="M51" s="65" t="str">
        <x:v>Expected source for this question.</x:v>
      </x:c>
    </x:row>
    <x:row r="52" ht="42" customHeight="1">
      <x:c r="A52" s="65" t="str">
        <x:v>gold30-003</x:v>
      </x:c>
      <x:c r="B52" s="65" t="str">
        <x:v>dense</x:v>
      </x:c>
      <x:c r="C52" s="88" t="n">
        <x:v>2</x:v>
      </x:c>
      <x:c r="D52" s="65" t="str">
        <x:v>jakarta-historical-city-series</x:v>
      </x:c>
      <x:c r="E52" s="65" t="str">
        <x:v>jakarta-historical-city-series:structure:1</x:v>
      </x:c>
      <x:c r="F52" s="65" t="str">
        <x:v>p.2</x:v>
      </x:c>
      <x:c r="G52" s="92" t="n">
        <x:v>0.25921744</x:v>
      </x:c>
      <x:c r="H52" s="65" t="str">
        <x:v>Jakarta historical PM2.5 and PM10 series: provenance and quality</x:v>
      </x:c>
      <x:c r="I52" s="65" t="str">
        <x:v>Open-Meteo / CAMS Global; deposited dataset by Nitiraj Kulkarni and Jagadish Tawade</x:v>
      </x:c>
      <x:c r="J52"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52" s="65" t="str">
        <x:v>https://zenodo.org/records/18673885</x:v>
      </x:c>
      <x:c r="L52" s="65" t="n">
        <x:v>0</x:v>
      </x:c>
      <x:c r="M52" s="65" t="str">
        <x:v>Machine-suggested near-miss; human review required.</x:v>
      </x:c>
    </x:row>
    <x:row r="53" ht="42" customHeight="1">
      <x:c r="A53" s="65" t="str">
        <x:v>gold30-003</x:v>
      </x:c>
      <x:c r="B53" s="65" t="str">
        <x:v>dense</x:v>
      </x:c>
      <x:c r="C53" s="88" t="n">
        <x:v>3</x:v>
      </x:c>
      <x:c r="D53" s="65" t="str">
        <x:v>policy-improvements-evidence</x:v>
      </x:c>
      <x:c r="E53" s="65" t="str">
        <x:v>policy-improvements-evidence:structure:2</x:v>
      </x:c>
      <x:c r="F53" s="65" t="str">
        <x:v>p.3</x:v>
      </x:c>
      <x:c r="G53" s="92" t="n">
        <x:v>0.25445507</x:v>
      </x:c>
      <x:c r="H53" s="65" t="str">
        <x:v>Evidence-based policy improvements for Jakarta</x:v>
      </x:c>
      <x:c r="I53" s="65" t="str">
        <x:v>Dinas Lingkungan Hidup DKI Jakarta; World Health Organization</x:v>
      </x:c>
      <x:c r="J53"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3" s="65" t="str">
        <x:v>https://www.jakarta.go.id/siaran-pers/4802-SP-HMS-06-2024</x:v>
      </x:c>
      <x:c r="L53" s="65" t="n">
        <x:v>0</x:v>
      </x:c>
      <x:c r="M53" s="65" t="str">
        <x:v>Machine-suggested near-miss; human review required.</x:v>
      </x:c>
    </x:row>
    <x:row r="54" ht="42" customHeight="1">
      <x:c r="A54" s="65" t="str">
        <x:v>gold30-003</x:v>
      </x:c>
      <x:c r="B54" s="65" t="str">
        <x:v>dense</x:v>
      </x:c>
      <x:c r="C54" s="88" t="n">
        <x:v>4</x:v>
      </x:c>
      <x:c r="D54" s="65" t="str">
        <x:v>jakarta-policy-implementation</x:v>
      </x:c>
      <x:c r="E54" s="65" t="str">
        <x:v>jakarta-policy-implementation:structure:1</x:v>
      </x:c>
      <x:c r="F54" s="65" t="str">
        <x:v>p.2</x:v>
      </x:c>
      <x:c r="G54" s="92" t="n">
        <x:v>0.24988863</x:v>
      </x:c>
      <x:c r="H54" s="65" t="str">
        <x:v>Why rules can coexist with poor air: implementation evidence</x:v>
      </x:c>
      <x:c r="I54" s="65" t="str">
        <x:v>Pemerintah Provinsi DKI Jakarta; Dinas Lingkungan Hidup DKI Jakarta; Mahkamah Agung</x:v>
      </x:c>
      <x:c r="J54"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54" s="65" t="str">
        <x:v>https://www.jakarta.go.id/siaran-pers/4802-SP-HMS-06-2024</x:v>
      </x:c>
      <x:c r="L54" s="65" t="n">
        <x:v>0</x:v>
      </x:c>
      <x:c r="M54" s="65" t="str">
        <x:v>Machine-suggested near-miss; human review required.</x:v>
      </x:c>
    </x:row>
    <x:row r="55" ht="42" customHeight="1">
      <x:c r="A55" s="65" t="str">
        <x:v>gold30-003</x:v>
      </x:c>
      <x:c r="B55" s="65" t="str">
        <x:v>dense</x:v>
      </x:c>
      <x:c r="C55" s="88" t="n">
        <x:v>5</x:v>
      </x:c>
      <x:c r="D55" s="65" t="str">
        <x:v>pp-22-2021-air-quality</x:v>
      </x:c>
      <x:c r="E55" s="65" t="str">
        <x:v>pp-22-2021-air-quality:structure:3</x:v>
      </x:c>
      <x:c r="F55" s="65" t="str">
        <x:v>p.4</x:v>
      </x:c>
      <x:c r="G55" s="92" t="n">
        <x:v>0.24897005</x:v>
      </x:c>
      <x:c r="H55" s="65" t="str">
        <x:v>PP No. 22 Tahun 2021 — environmental protection and ambient air quality</x:v>
      </x:c>
      <x:c r="I55" s="65" t="str">
        <x:v>Pemerintah Republik Indonesia / Database Peraturan BPK</x:v>
      </x:c>
      <x:c r="J55" s="65" t="str">
        <x:v>The lampiran is the controlling locator for numeric ambient standards. A response must not substitute an ISPU category for an ambient concentration standard, and must identify the pollutant and averaging time before comparing a measurement.</x:v>
      </x:c>
      <x:c r="K55" s="65" t="str">
        <x:v>https://peraturan.bpk.go.id/Details/161852/pp-no-22tahun-2021</x:v>
      </x:c>
      <x:c r="L55" s="65" t="n">
        <x:v>0</x:v>
      </x:c>
      <x:c r="M55" s="65" t="str">
        <x:v>Machine-suggested near-miss; human review required.</x:v>
      </x:c>
    </x:row>
    <x:row r="56" ht="42" customHeight="1">
      <x:c r="A56" s="65" t="str">
        <x:v>gold30-003</x:v>
      </x:c>
      <x:c r="B56" s="65" t="str">
        <x:v>hybrid</x:v>
      </x:c>
      <x:c r="C56" s="88" t="n">
        <x:v>1</x:v>
      </x:c>
      <x:c r="D56" s="65" t="str">
        <x:v>ispu</x:v>
      </x:c>
      <x:c r="E56" s="65" t="str">
        <x:v>ispu:structure:0</x:v>
      </x:c>
      <x:c r="F56" s="65" t="str">
        <x:v>p.1</x:v>
      </x:c>
      <x:c r="G56" s="92" t="n">
        <x:v>0.03285034</x:v>
      </x:c>
      <x:c r="H56" s="65" t="str">
        <x:v>Indonesian ISPU categories</x:v>
      </x:c>
      <x:c r="I56" s="65" t="str">
        <x:v>Ministry of Environment and Forestry</x:v>
      </x:c>
      <x:c r="J56" s="65" t="str">
        <x:v>The Indonesian ISPU categories used in this demo are Baik (1-50), Sedang (51-100), Tidak Sehat (101-200), Sangat Tidak Sehat (201-300), and Berbahaya (301 or higher). ISPU is an index without a physical concentration unit.</x:v>
      </x:c>
      <x:c r="K56" s="65" t="str">
        <x:v>https://peraturan.bpk.go.id/Details/163466/permen-lhk-no-14-tahun-2020</x:v>
      </x:c>
      <x:c r="L56" s="65" t="n">
        <x:v>3</x:v>
      </x:c>
      <x:c r="M56" s="65" t="str">
        <x:v>Expected source for this question.</x:v>
      </x:c>
    </x:row>
    <x:row r="57" ht="42" customHeight="1">
      <x:c r="A57" s="65" t="str">
        <x:v>gold30-003</x:v>
      </x:c>
      <x:c r="B57" s="65" t="str">
        <x:v>hybrid</x:v>
      </x:c>
      <x:c r="C57" s="88" t="n">
        <x:v>2</x:v>
      </x:c>
      <x:c r="D57" s="65" t="str">
        <x:v>jakarta-historical-city-series</x:v>
      </x:c>
      <x:c r="E57" s="65" t="str">
        <x:v>jakarta-historical-city-series:structure:1</x:v>
      </x:c>
      <x:c r="F57" s="65" t="str">
        <x:v>p.2</x:v>
      </x:c>
      <x:c r="G57" s="92" t="n">
        <x:v>0.03284506</x:v>
      </x:c>
      <x:c r="H57" s="65" t="str">
        <x:v>Jakarta historical PM2.5 and PM10 series: provenance and quality</x:v>
      </x:c>
      <x:c r="I57" s="65" t="str">
        <x:v>Open-Meteo / CAMS Global; deposited dataset by Nitiraj Kulkarni and Jagadish Tawade</x:v>
      </x:c>
      <x:c r="J57"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57" s="65" t="str">
        <x:v>https://zenodo.org/records/18673885</x:v>
      </x:c>
      <x:c r="L57" s="65" t="n">
        <x:v>0</x:v>
      </x:c>
      <x:c r="M57" s="65" t="str">
        <x:v>Machine-suggested near-miss; human review required.</x:v>
      </x:c>
    </x:row>
    <x:row r="58" ht="42" customHeight="1">
      <x:c r="A58" s="65" t="str">
        <x:v>gold30-003</x:v>
      </x:c>
      <x:c r="B58" s="65" t="str">
        <x:v>hybrid</x:v>
      </x:c>
      <x:c r="C58" s="88" t="n">
        <x:v>3</x:v>
      </x:c>
      <x:c r="D58" s="65" t="str">
        <x:v>policy-improvements-evidence</x:v>
      </x:c>
      <x:c r="E58" s="65" t="str">
        <x:v>policy-improvements-evidence:structure:2</x:v>
      </x:c>
      <x:c r="F58" s="65" t="str">
        <x:v>p.3</x:v>
      </x:c>
      <x:c r="G58" s="92" t="n">
        <x:v>0.03206349</x:v>
      </x:c>
      <x:c r="H58" s="65" t="str">
        <x:v>Evidence-based policy improvements for Jakarta</x:v>
      </x:c>
      <x:c r="I58" s="65" t="str">
        <x:v>Dinas Lingkungan Hidup DKI Jakarta; World Health Organization</x:v>
      </x:c>
      <x:c r="J58"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8" s="65" t="str">
        <x:v>https://www.jakarta.go.id/siaran-pers/4802-SP-HMS-06-2024</x:v>
      </x:c>
      <x:c r="L58" s="65" t="n">
        <x:v>0</x:v>
      </x:c>
      <x:c r="M58" s="65" t="str">
        <x:v>Machine-suggested near-miss; human review required.</x:v>
      </x:c>
    </x:row>
    <x:row r="59" ht="42" customHeight="1">
      <x:c r="A59" s="65" t="str">
        <x:v>gold30-003</x:v>
      </x:c>
      <x:c r="B59" s="65" t="str">
        <x:v>hybrid</x:v>
      </x:c>
      <x:c r="C59" s="88" t="n">
        <x:v>4</x:v>
      </x:c>
      <x:c r="D59" s="65" t="str">
        <x:v>jakarta-policy-implementation</x:v>
      </x:c>
      <x:c r="E59" s="65" t="str">
        <x:v>jakarta-policy-implementation:structure:1</x:v>
      </x:c>
      <x:c r="F59" s="65" t="str">
        <x:v>p.2</x:v>
      </x:c>
      <x:c r="G59" s="92" t="n">
        <x:v>0.03132212</x:v>
      </x:c>
      <x:c r="H59" s="65" t="str">
        <x:v>Why rules can coexist with poor air: implementation evidence</x:v>
      </x:c>
      <x:c r="I59" s="65" t="str">
        <x:v>Pemerintah Provinsi DKI Jakarta; Dinas Lingkungan Hidup DKI Jakarta; Mahkamah Agung</x:v>
      </x:c>
      <x:c r="J59"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59" s="65" t="str">
        <x:v>https://www.jakarta.go.id/siaran-pers/4802-SP-HMS-06-2024</x:v>
      </x:c>
      <x:c r="L59" s="65" t="n">
        <x:v>0</x:v>
      </x:c>
      <x:c r="M59" s="65" t="str">
        <x:v>Machine-suggested near-miss; human review required.</x:v>
      </x:c>
    </x:row>
    <x:row r="60" ht="42" customHeight="1">
      <x:c r="A60" s="65" t="str">
        <x:v>gold30-003</x:v>
      </x:c>
      <x:c r="B60" s="65" t="str">
        <x:v>hybrid</x:v>
      </x:c>
      <x:c r="C60" s="88" t="n">
        <x:v>5</x:v>
      </x:c>
      <x:c r="D60" s="65" t="str">
        <x:v>pp-22-2021-air-quality</x:v>
      </x:c>
      <x:c r="E60" s="65" t="str">
        <x:v>pp-22-2021-air-quality:structure:3</x:v>
      </x:c>
      <x:c r="F60" s="65" t="str">
        <x:v>p.4</x:v>
      </x:c>
      <x:c r="G60" s="92" t="n">
        <x:v>0.03131731</x:v>
      </x:c>
      <x:c r="H60" s="65" t="str">
        <x:v>PP No. 22 Tahun 2021 — environmental protection and ambient air quality</x:v>
      </x:c>
      <x:c r="I60" s="65" t="str">
        <x:v>Pemerintah Republik Indonesia / Database Peraturan BPK</x:v>
      </x:c>
      <x:c r="J60" s="65" t="str">
        <x:v>The lampiran is the controlling locator for numeric ambient standards. A response must not substitute an ISPU category for an ambient concentration standard, and must identify the pollutant and averaging time before comparing a measurement.</x:v>
      </x:c>
      <x:c r="K60" s="65" t="str">
        <x:v>https://peraturan.bpk.go.id/Details/161852/pp-no-22tahun-2021</x:v>
      </x:c>
      <x:c r="L60" s="65" t="n">
        <x:v>0</x:v>
      </x:c>
      <x:c r="M60" s="65" t="str">
        <x:v>Machine-suggested near-miss; human review required.</x:v>
      </x:c>
    </x:row>
    <x:row r="61" ht="42" customHeight="1">
      <x:c r="A61" s="65" t="str">
        <x:v>gold30-003</x:v>
      </x:c>
      <x:c r="B61" s="65" t="str">
        <x:v>hybrid_rerank</x:v>
      </x:c>
      <x:c r="C61" s="88" t="n">
        <x:v>1</x:v>
      </x:c>
      <x:c r="D61" s="65" t="str">
        <x:v>jakarta-historical-city-series</x:v>
      </x:c>
      <x:c r="E61" s="65" t="str">
        <x:v>jakarta-historical-city-series:structure:1</x:v>
      </x:c>
      <x:c r="F61" s="65" t="str">
        <x:v>p.2</x:v>
      </x:c>
      <x:c r="G61" s="92" t="n">
        <x:v>0.35985352</x:v>
      </x:c>
      <x:c r="H61" s="65" t="str">
        <x:v>Jakarta historical PM2.5 and PM10 series: provenance and quality</x:v>
      </x:c>
      <x:c r="I61" s="65" t="str">
        <x:v>Open-Meteo / CAMS Global; deposited dataset by Nitiraj Kulkarni and Jagadish Tawade</x:v>
      </x:c>
      <x:c r="J61"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61" s="65" t="str">
        <x:v>https://zenodo.org/records/18673885</x:v>
      </x:c>
      <x:c r="L61" s="65" t="n">
        <x:v>0</x:v>
      </x:c>
      <x:c r="M61" s="65" t="str">
        <x:v>Machine-suggested near-miss; human review required.</x:v>
      </x:c>
    </x:row>
    <x:row r="62" ht="42" customHeight="1">
      <x:c r="A62" s="65" t="str">
        <x:v>gold30-003</x:v>
      </x:c>
      <x:c r="B62" s="65" t="str">
        <x:v>hybrid_rerank</x:v>
      </x:c>
      <x:c r="C62" s="88" t="n">
        <x:v>2</x:v>
      </x:c>
      <x:c r="D62" s="65" t="str">
        <x:v>ispu</x:v>
      </x:c>
      <x:c r="E62" s="65" t="str">
        <x:v>ispu:structure:0</x:v>
      </x:c>
      <x:c r="F62" s="65" t="str">
        <x:v>p.1</x:v>
      </x:c>
      <x:c r="G62" s="92" t="n">
        <x:v>0.24318844</x:v>
      </x:c>
      <x:c r="H62" s="65" t="str">
        <x:v>Indonesian ISPU categories</x:v>
      </x:c>
      <x:c r="I62" s="65" t="str">
        <x:v>Ministry of Environment and Forestry</x:v>
      </x:c>
      <x:c r="J62" s="65" t="str">
        <x:v>The Indonesian ISPU categories used in this demo are Baik (1-50), Sedang (51-100), Tidak Sehat (101-200), Sangat Tidak Sehat (201-300), and Berbahaya (301 or higher). ISPU is an index without a physical concentration unit.</x:v>
      </x:c>
      <x:c r="K62" s="65" t="str">
        <x:v>https://peraturan.bpk.go.id/Details/163466/permen-lhk-no-14-tahun-2020</x:v>
      </x:c>
      <x:c r="L62" s="65" t="n">
        <x:v>3</x:v>
      </x:c>
      <x:c r="M62" s="65" t="str">
        <x:v>Expected source for this question.</x:v>
      </x:c>
    </x:row>
    <x:row r="63" ht="42" customHeight="1">
      <x:c r="A63" s="65" t="str">
        <x:v>gold30-003</x:v>
      </x:c>
      <x:c r="B63" s="65" t="str">
        <x:v>hybrid_rerank</x:v>
      </x:c>
      <x:c r="C63" s="88" t="n">
        <x:v>3</x:v>
      </x:c>
      <x:c r="D63" s="65" t="str">
        <x:v>policy-improvements-evidence</x:v>
      </x:c>
      <x:c r="E63" s="65" t="str">
        <x:v>policy-improvements-evidence:structure:2</x:v>
      </x:c>
      <x:c r="F63" s="65" t="str">
        <x:v>p.3</x:v>
      </x:c>
      <x:c r="G63" s="92" t="n">
        <x:v>0.24295238</x:v>
      </x:c>
      <x:c r="H63" s="65" t="str">
        <x:v>Evidence-based policy improvements for Jakarta</x:v>
      </x:c>
      <x:c r="I63" s="65" t="str">
        <x:v>Dinas Lingkungan Hidup DKI Jakarta; World Health Organization</x:v>
      </x:c>
      <x:c r="J63"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63" s="65" t="str">
        <x:v>https://www.jakarta.go.id/siaran-pers/4802-SP-HMS-06-2024</x:v>
      </x:c>
      <x:c r="L63" s="65" t="n">
        <x:v>0</x:v>
      </x:c>
      <x:c r="M63" s="65" t="str">
        <x:v>Machine-suggested near-miss; human review required.</x:v>
      </x:c>
    </x:row>
    <x:row r="64" ht="42" customHeight="1">
      <x:c r="A64" s="65" t="str">
        <x:v>gold30-003</x:v>
      </x:c>
      <x:c r="B64" s="65" t="str">
        <x:v>hybrid_rerank</x:v>
      </x:c>
      <x:c r="C64" s="88" t="n">
        <x:v>4</x:v>
      </x:c>
      <x:c r="D64" s="65" t="str">
        <x:v>pp-22-2021-air-quality</x:v>
      </x:c>
      <x:c r="E64" s="65" t="str">
        <x:v>pp-22-2021-air-quality:structure:3</x:v>
      </x:c>
      <x:c r="F64" s="65" t="str">
        <x:v>p.4</x:v>
      </x:c>
      <x:c r="G64" s="92" t="n">
        <x:v>0.24272853</x:v>
      </x:c>
      <x:c r="H64" s="65" t="str">
        <x:v>PP No. 22 Tahun 2021 — environmental protection and ambient air quality</x:v>
      </x:c>
      <x:c r="I64" s="65" t="str">
        <x:v>Pemerintah Republik Indonesia / Database Peraturan BPK</x:v>
      </x:c>
      <x:c r="J64" s="65" t="str">
        <x:v>The lampiran is the controlling locator for numeric ambient standards. A response must not substitute an ISPU category for an ambient concentration standard, and must identify the pollutant and averaging time before comparing a measurement.</x:v>
      </x:c>
      <x:c r="K64" s="65" t="str">
        <x:v>https://peraturan.bpk.go.id/Details/161852/pp-no-22tahun-2021</x:v>
      </x:c>
      <x:c r="L64" s="65" t="n">
        <x:v>0</x:v>
      </x:c>
      <x:c r="M64" s="65" t="str">
        <x:v>Machine-suggested near-miss; human review required.</x:v>
      </x:c>
    </x:row>
    <x:row r="65" ht="42" customHeight="1">
      <x:c r="A65" s="65" t="str">
        <x:v>gold30-003</x:v>
      </x:c>
      <x:c r="B65" s="65" t="str">
        <x:v>hybrid_rerank</x:v>
      </x:c>
      <x:c r="C65" s="88" t="n">
        <x:v>5</x:v>
      </x:c>
      <x:c r="D65" s="65" t="str">
        <x:v>jakarta-policy-implementation</x:v>
      </x:c>
      <x:c r="E65" s="65" t="str">
        <x:v>jakarta-policy-implementation:structure:1</x:v>
      </x:c>
      <x:c r="F65" s="65" t="str">
        <x:v>p.2</x:v>
      </x:c>
      <x:c r="G65" s="92" t="n">
        <x:v>0.1260633</x:v>
      </x:c>
      <x:c r="H65" s="65" t="str">
        <x:v>Why rules can coexist with poor air: implementation evidence</x:v>
      </x:c>
      <x:c r="I65" s="65" t="str">
        <x:v>Pemerintah Provinsi DKI Jakarta; Dinas Lingkungan Hidup DKI Jakarta; Mahkamah Agung</x:v>
      </x:c>
      <x:c r="J65"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65" s="65" t="str">
        <x:v>https://www.jakarta.go.id/siaran-pers/4802-SP-HMS-06-2024</x:v>
      </x:c>
      <x:c r="L65" s="65" t="n">
        <x:v>0</x:v>
      </x:c>
      <x:c r="M65" s="65" t="str">
        <x:v>Machine-suggested near-miss; human review required.</x:v>
      </x:c>
    </x:row>
    <x:row r="66" ht="42" customHeight="1">
      <x:c r="A66" s="65" t="str">
        <x:v>gold30-004</x:v>
      </x:c>
      <x:c r="B66" s="65" t="str">
        <x:v>bm25</x:v>
      </x:c>
      <x:c r="C66" s="88" t="n">
        <x:v>1</x:v>
      </x:c>
      <x:c r="D66" s="65" t="str">
        <x:v>jakarta-improvements</x:v>
      </x:c>
      <x:c r="E66" s="65" t="str">
        <x:v>jakarta-improvements:structure:0</x:v>
      </x:c>
      <x:c r="F66" s="65" t="str">
        <x:v>p.1</x:v>
      </x:c>
      <x:c r="G66" s="92" t="n">
        <x:v>0.22222222</x:v>
      </x:c>
      <x:c r="H66" s="65" t="str">
        <x:v>Ways to improve Jakarta air quality</x:v>
      </x:c>
      <x:c r="I66" s="65" t="str">
        <x:v>Pemerintah Provinsi DKI Jakarta / Dinas Lingkungan Hidup</x:v>
      </x:c>
      <x:c r="J6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66" s="65" t="str">
        <x:v>https://www.jakarta.go.id/page/upaya-bersama-jaga-kualitas-udara-jakarta</x:v>
      </x:c>
      <x:c r="L66" s="65" t="n">
        <x:v>0</x:v>
      </x:c>
      <x:c r="M66" s="65" t="str">
        <x:v>Machine-suggested near-miss; human review required.</x:v>
      </x:c>
    </x:row>
    <x:row r="67" ht="42" customHeight="1">
      <x:c r="A67" s="65" t="str">
        <x:v>gold30-004</x:v>
      </x:c>
      <x:c r="B67" s="65" t="str">
        <x:v>bm25</x:v>
      </x:c>
      <x:c r="C67" s="88" t="n">
        <x:v>2</x:v>
      </x:c>
      <x:c r="D67" s="65" t="str">
        <x:v>jakarta-seasonal-exposure</x:v>
      </x:c>
      <x:c r="E67" s="65" t="str">
        <x:v>jakarta-seasonal-exposure:structure:0</x:v>
      </x:c>
      <x:c r="F67" s="65" t="str">
        <x:v>p.1</x:v>
      </x:c>
      <x:c r="G67" s="92" t="n">
        <x:v>0.22222222</x:v>
      </x:c>
      <x:c r="H67" s="65" t="str">
        <x:v>Jakarta timing and local exposure context</x:v>
      </x:c>
      <x:c r="I67" s="65" t="str">
        <x:v>Dinas Lingkungan Hidup DKI Jakarta</x:v>
      </x:c>
      <x:c r="J67" s="65" t="str">
        <x:v>Published: 2024-04-06 Status as of: 2026-09-07 (official seasonal notice; not a current forecast) Document type: official_public_guidance Tags: topic=exposure-protection; audience=Jakarta-resident; action=protect-now; pollutant=PM2.5</x:v>
      </x:c>
      <x:c r="K67" s="65" t="str">
        <x:v>https://lingkunganhidup.jakarta.go.id/detail-artikel/masuki-musim-kemarau-pemprov-dki-minta-masyarakat-waspadai-penurunan-kualitas-udara</x:v>
      </x:c>
      <x:c r="L67" s="65" t="n">
        <x:v>0</x:v>
      </x:c>
      <x:c r="M67" s="65" t="str">
        <x:v>Machine-suggested near-miss; human review required.</x:v>
      </x:c>
    </x:row>
    <x:row r="68" ht="42" customHeight="1">
      <x:c r="A68" s="65" t="str">
        <x:v>gold30-004</x:v>
      </x:c>
      <x:c r="B68" s="65" t="str">
        <x:v>bm25</x:v>
      </x:c>
      <x:c r="C68" s="88" t="n">
        <x:v>3</x:v>
      </x:c>
      <x:c r="D68" s="65" t="str">
        <x:v>individual-emission-actions</x:v>
      </x:c>
      <x:c r="E68" s="65" t="str">
        <x:v>individual-emission-actions:structure:2</x:v>
      </x:c>
      <x:c r="F68" s="65" t="str">
        <x:v>p.3</x:v>
      </x:c>
      <x:c r="G68" s="92" t="n">
        <x:v>0.11111111</x:v>
      </x:c>
      <x:c r="H68" s="65" t="str">
        <x:v>What an individual can do to reduce emissions and improve accountability</x:v>
      </x:c>
      <x:c r="I68" s="65" t="str">
        <x:v>World Health Organization; Pemerintah Provinsi DKI Jakarta</x:v>
      </x:c>
      <x:c r="J68"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68" s="65" t="str">
        <x:v>https://www.who.int/europe/publications/m/item/personal-level-actions-to-reduce-air-pollution-exposure</x:v>
      </x:c>
      <x:c r="L68" s="65" t="n">
        <x:v>0</x:v>
      </x:c>
      <x:c r="M68" s="65" t="str">
        <x:v>Machine-suggested near-miss; human review required.</x:v>
      </x:c>
    </x:row>
    <x:row r="69" ht="42" customHeight="1">
      <x:c r="A69" s="65" t="str">
        <x:v>gold30-004</x:v>
      </x:c>
      <x:c r="B69" s="65" t="str">
        <x:v>bm25</x:v>
      </x:c>
      <x:c r="C69" s="88" t="n">
        <x:v>4</x:v>
      </x:c>
      <x:c r="D69" s="65" t="str">
        <x:v>jakarta-historical-city-series</x:v>
      </x:c>
      <x:c r="E69" s="65" t="str">
        <x:v>jakarta-historical-city-series:structure:2</x:v>
      </x:c>
      <x:c r="F69" s="65" t="str">
        <x:v>p.3</x:v>
      </x:c>
      <x:c r="G69" s="92" t="n">
        <x:v>0.11111111</x:v>
      </x:c>
      <x:c r="H69" s="65" t="str">
        <x:v>Jakarta historical PM2.5 and PM10 series: provenance and quality</x:v>
      </x:c>
      <x:c r="I69" s="65" t="str">
        <x:v>Open-Meteo / CAMS Global; deposited dataset by Nitiraj Kulkarni and Jagadish Tawade</x:v>
      </x:c>
      <x:c r="J69"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69" s="65" t="str">
        <x:v>https://zenodo.org/records/18673885</x:v>
      </x:c>
      <x:c r="L69" s="65" t="n">
        <x:v>0</x:v>
      </x:c>
      <x:c r="M69" s="65" t="str">
        <x:v>Machine-suggested near-miss; human review required.</x:v>
      </x:c>
    </x:row>
    <x:row r="70" ht="42" customHeight="1">
      <x:c r="A70" s="65" t="str">
        <x:v>gold30-004</x:v>
      </x:c>
      <x:c r="B70" s="65" t="str">
        <x:v>bm25</x:v>
      </x:c>
      <x:c r="C70" s="88" t="n">
        <x:v>5</x:v>
      </x:c>
      <x:c r="D70" s="65" t="str">
        <x:v>jakarta-policy-implementation</x:v>
      </x:c>
      <x:c r="E70" s="65" t="str">
        <x:v>jakarta-policy-implementation:structure:5</x:v>
      </x:c>
      <x:c r="F70" s="65" t="str">
        <x:v>p.6</x:v>
      </x:c>
      <x:c r="G70" s="92" t="n">
        <x:v>0.11111111</x:v>
      </x:c>
      <x:c r="H70" s="65" t="str">
        <x:v>Why rules can coexist with poor air: implementation evidence</x:v>
      </x:c>
      <x:c r="I70" s="65" t="str">
        <x:v>Pemerintah Provinsi DKI Jakarta; Dinas Lingkungan Hidup DKI Jakarta; Mahkamah Agung</x:v>
      </x:c>
      <x:c r="J70" s="65" t="str">
        <x:v>Therefore, “regulations are not working” should be answered as a testable gap: rules exist, but coverage, inspections, reliable data, sanctions, budgets, inter-agency authority, and regional implementation must be measured before claiming failure. [jakarta-policy-implementation]</x:v>
      </x:c>
      <x:c r="K70" s="65" t="str">
        <x:v>https://www.jakarta.go.id/siaran-pers/4802-SP-HMS-06-2024</x:v>
      </x:c>
      <x:c r="L70" s="65" t="n">
        <x:v>0</x:v>
      </x:c>
      <x:c r="M70" s="65" t="str">
        <x:v>Machine-suggested near-miss; human review required.</x:v>
      </x:c>
    </x:row>
    <x:row r="71" ht="42" customHeight="1">
      <x:c r="A71" s="65" t="str">
        <x:v>gold30-004</x:v>
      </x:c>
      <x:c r="B71" s="65" t="str">
        <x:v>dense</x:v>
      </x:c>
      <x:c r="C71" s="88" t="n">
        <x:v>1</x:v>
      </x:c>
      <x:c r="D71" s="65" t="str">
        <x:v>jakarta-historical-city-series</x:v>
      </x:c>
      <x:c r="E71" s="65" t="str">
        <x:v>jakarta-historical-city-series:structure:2</x:v>
      </x:c>
      <x:c r="F71" s="65" t="str">
        <x:v>p.3</x:v>
      </x:c>
      <x:c r="G71" s="92" t="n">
        <x:v>0.11914546</x:v>
      </x:c>
      <x:c r="H71" s="65" t="str">
        <x:v>Jakarta historical PM2.5 and PM10 series: provenance and quality</x:v>
      </x:c>
      <x:c r="I71" s="65" t="str">
        <x:v>Open-Meteo / CAMS Global; deposited dataset by Nitiraj Kulkarni and Jagadish Tawade</x:v>
      </x:c>
      <x:c r="J71"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71" s="65" t="str">
        <x:v>https://zenodo.org/records/18673885</x:v>
      </x:c>
      <x:c r="L71" s="65" t="n">
        <x:v>0</x:v>
      </x:c>
      <x:c r="M71" s="65" t="str">
        <x:v>Machine-suggested near-miss; human review required.</x:v>
      </x:c>
    </x:row>
    <x:row r="72" ht="42" customHeight="1">
      <x:c r="A72" s="65" t="str">
        <x:v>gold30-004</x:v>
      </x:c>
      <x:c r="B72" s="65" t="str">
        <x:v>dense</x:v>
      </x:c>
      <x:c r="C72" s="88" t="n">
        <x:v>2</x:v>
      </x:c>
      <x:c r="D72" s="65" t="str">
        <x:v>pp-22-2021-air-quality</x:v>
      </x:c>
      <x:c r="E72" s="65" t="str">
        <x:v>pp-22-2021-air-quality:structure:0</x:v>
      </x:c>
      <x:c r="F72" s="65" t="str">
        <x:v>p.1</x:v>
      </x:c>
      <x:c r="G72" s="92" t="n">
        <x:v>0.10642469</x:v>
      </x:c>
      <x:c r="H72" s="65" t="str">
        <x:v>PP No. 22 Tahun 2021 — environmental protection and ambient air quality</x:v>
      </x:c>
      <x:c r="I72" s="65" t="str">
        <x:v>Pemerintah Republik Indonesia / Database Peraturan BPK</x:v>
      </x:c>
      <x:c r="J72"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72" s="65" t="str">
        <x:v>https://peraturan.bpk.go.id/Details/161852/pp-no-22tahun-2021</x:v>
      </x:c>
      <x:c r="L72" s="65" t="n">
        <x:v>0</x:v>
      </x:c>
      <x:c r="M72" s="65" t="str">
        <x:v>Machine-suggested near-miss; human review required.</x:v>
      </x:c>
    </x:row>
    <x:row r="73" ht="42" customHeight="1">
      <x:c r="A73" s="65" t="str">
        <x:v>gold30-004</x:v>
      </x:c>
      <x:c r="B73" s="65" t="str">
        <x:v>dense</x:v>
      </x:c>
      <x:c r="C73" s="88" t="n">
        <x:v>3</x:v>
      </x:c>
      <x:c r="D73" s="65" t="str">
        <x:v>jakarta-improvements</x:v>
      </x:c>
      <x:c r="E73" s="65" t="str">
        <x:v>jakarta-improvements:structure:0</x:v>
      </x:c>
      <x:c r="F73" s="65" t="str">
        <x:v>p.1</x:v>
      </x:c>
      <x:c r="G73" s="92" t="n">
        <x:v>0.10551398</x:v>
      </x:c>
      <x:c r="H73" s="65" t="str">
        <x:v>Ways to improve Jakarta air quality</x:v>
      </x:c>
      <x:c r="I73" s="65" t="str">
        <x:v>Pemerintah Provinsi DKI Jakarta / Dinas Lingkungan Hidup</x:v>
      </x:c>
      <x:c r="J73"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73" s="65" t="str">
        <x:v>https://www.jakarta.go.id/page/upaya-bersama-jaga-kualitas-udara-jakarta</x:v>
      </x:c>
      <x:c r="L73" s="65" t="n">
        <x:v>0</x:v>
      </x:c>
      <x:c r="M73" s="65" t="str">
        <x:v>Machine-suggested near-miss; human review required.</x:v>
      </x:c>
    </x:row>
    <x:row r="74" ht="42" customHeight="1">
      <x:c r="A74" s="65" t="str">
        <x:v>gold30-004</x:v>
      </x:c>
      <x:c r="B74" s="65" t="str">
        <x:v>dense</x:v>
      </x:c>
      <x:c r="C74" s="88" t="n">
        <x:v>4</x:v>
      </x:c>
      <x:c r="D74" s="65" t="str">
        <x:v>pergub-66-2020-vehicle-testing</x:v>
      </x:c>
      <x:c r="E74" s="65" t="str">
        <x:v>pergub-66-2020-vehicle-testing:structure:0</x:v>
      </x:c>
      <x:c r="F74" s="65" t="str">
        <x:v>p.1</x:v>
      </x:c>
      <x:c r="G74" s="92" t="n">
        <x:v>0.10188664</x:v>
      </x:c>
      <x:c r="H74" s="65" t="str">
        <x:v>Pergub DKI Jakarta No. 66 Tahun 2020 — motor-vehicle emission testing</x:v>
      </x:c>
      <x:c r="I74" s="65" t="str">
        <x:v>Pemerintah Provinsi DKI Jakarta / Database Peraturan BPK</x:v>
      </x:c>
      <x:c r="J74" s="65" t="str">
        <x:v>Peraturan Gubernur Provinsi DKI Jakarta Nomor 66 Tahun 2020 is titled Uji Emisi Gas Buang Kendaraan Bermotor. The BPK record gives the adoption date as 22 July 2020, promulgation date as 24 July 2020, and effective date as 24 December 2020.</x:v>
      </x:c>
      <x:c r="K74" s="65" t="str">
        <x:v>https://peraturan.bpk.go.id/Details/153923/pergub-prov-dki-jakarta-no-66-tahun-2020</x:v>
      </x:c>
      <x:c r="L74" s="65" t="n">
        <x:v>0</x:v>
      </x:c>
      <x:c r="M74" s="65" t="str">
        <x:v>Machine-suggested near-miss; human review required.</x:v>
      </x:c>
    </x:row>
    <x:row r="75" ht="42" customHeight="1">
      <x:c r="A75" s="65" t="str">
        <x:v>gold30-004</x:v>
      </x:c>
      <x:c r="B75" s="65" t="str">
        <x:v>dense</x:v>
      </x:c>
      <x:c r="C75" s="88" t="n">
        <x:v>5</x:v>
      </x:c>
      <x:c r="D75" s="65" t="str">
        <x:v>jakarta-seasonal-exposure</x:v>
      </x:c>
      <x:c r="E75" s="65" t="str">
        <x:v>jakarta-seasonal-exposure:structure:0</x:v>
      </x:c>
      <x:c r="F75" s="65" t="str">
        <x:v>p.1</x:v>
      </x:c>
      <x:c r="G75" s="92" t="n">
        <x:v>0.10162674</x:v>
      </x:c>
      <x:c r="H75" s="65" t="str">
        <x:v>Jakarta timing and local exposure context</x:v>
      </x:c>
      <x:c r="I75" s="65" t="str">
        <x:v>Dinas Lingkungan Hidup DKI Jakarta</x:v>
      </x:c>
      <x:c r="J75" s="65" t="str">
        <x:v>Published: 2024-04-06 Status as of: 2026-09-07 (official seasonal notice; not a current forecast) Document type: official_public_guidance Tags: topic=exposure-protection; audience=Jakarta-resident; action=protect-now; pollutant=PM2.5</x:v>
      </x:c>
      <x:c r="K75" s="65" t="str">
        <x:v>https://lingkunganhidup.jakarta.go.id/detail-artikel/masuki-musim-kemarau-pemprov-dki-minta-masyarakat-waspadai-penurunan-kualitas-udara</x:v>
      </x:c>
      <x:c r="L75" s="65" t="n">
        <x:v>0</x:v>
      </x:c>
      <x:c r="M75" s="65" t="str">
        <x:v>Machine-suggested near-miss; human review required.</x:v>
      </x:c>
    </x:row>
    <x:row r="76" ht="42" customHeight="1">
      <x:c r="A76" s="65" t="str">
        <x:v>gold30-004</x:v>
      </x:c>
      <x:c r="B76" s="65" t="str">
        <x:v>hybrid</x:v>
      </x:c>
      <x:c r="C76" s="88" t="n">
        <x:v>1</x:v>
      </x:c>
      <x:c r="D76" s="65" t="str">
        <x:v>jakarta-improvements</x:v>
      </x:c>
      <x:c r="E76" s="65" t="str">
        <x:v>jakarta-improvements:structure:0</x:v>
      </x:c>
      <x:c r="F76" s="65" t="str">
        <x:v>p.1</x:v>
      </x:c>
      <x:c r="G76" s="92" t="n">
        <x:v>0.03258392</x:v>
      </x:c>
      <x:c r="H76" s="65" t="str">
        <x:v>Ways to improve Jakarta air quality</x:v>
      </x:c>
      <x:c r="I76" s="65" t="str">
        <x:v>Pemerintah Provinsi DKI Jakarta / Dinas Lingkungan Hidup</x:v>
      </x:c>
      <x:c r="J7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76" s="65" t="str">
        <x:v>https://www.jakarta.go.id/page/upaya-bersama-jaga-kualitas-udara-jakarta</x:v>
      </x:c>
      <x:c r="L76" s="65" t="n">
        <x:v>0</x:v>
      </x:c>
      <x:c r="M76" s="65" t="str">
        <x:v>Machine-suggested near-miss; human review required.</x:v>
      </x:c>
    </x:row>
    <x:row r="77" ht="42" customHeight="1">
      <x:c r="A77" s="65" t="str">
        <x:v>gold30-004</x:v>
      </x:c>
      <x:c r="B77" s="65" t="str">
        <x:v>hybrid</x:v>
      </x:c>
      <x:c r="C77" s="88" t="n">
        <x:v>2</x:v>
      </x:c>
      <x:c r="D77" s="65" t="str">
        <x:v>jakarta-historical-city-series</x:v>
      </x:c>
      <x:c r="E77" s="65" t="str">
        <x:v>jakarta-historical-city-series:structure:2</x:v>
      </x:c>
      <x:c r="F77" s="65" t="str">
        <x:v>p.3</x:v>
      </x:c>
      <x:c r="G77" s="92" t="n">
        <x:v>0.03234631</x:v>
      </x:c>
      <x:c r="H77" s="65" t="str">
        <x:v>Jakarta historical PM2.5 and PM10 series: provenance and quality</x:v>
      </x:c>
      <x:c r="I77" s="65" t="str">
        <x:v>Open-Meteo / CAMS Global; deposited dataset by Nitiraj Kulkarni and Jagadish Tawade</x:v>
      </x:c>
      <x:c r="J77"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77" s="65" t="str">
        <x:v>https://zenodo.org/records/18673885</x:v>
      </x:c>
      <x:c r="L77" s="65" t="n">
        <x:v>0</x:v>
      </x:c>
      <x:c r="M77" s="65" t="str">
        <x:v>Machine-suggested near-miss; human review required.</x:v>
      </x:c>
    </x:row>
    <x:row r="78" ht="42" customHeight="1">
      <x:c r="A78" s="65" t="str">
        <x:v>gold30-004</x:v>
      </x:c>
      <x:c r="B78" s="65" t="str">
        <x:v>hybrid</x:v>
      </x:c>
      <x:c r="C78" s="88" t="n">
        <x:v>3</x:v>
      </x:c>
      <x:c r="D78" s="65" t="str">
        <x:v>jakarta-seasonal-exposure</x:v>
      </x:c>
      <x:c r="E78" s="65" t="str">
        <x:v>jakarta-seasonal-exposure:structure:0</x:v>
      </x:c>
      <x:c r="F78" s="65" t="str">
        <x:v>p.1</x:v>
      </x:c>
      <x:c r="G78" s="92" t="n">
        <x:v>0.03182134</x:v>
      </x:c>
      <x:c r="H78" s="65" t="str">
        <x:v>Jakarta timing and local exposure context</x:v>
      </x:c>
      <x:c r="I78" s="65" t="str">
        <x:v>Dinas Lingkungan Hidup DKI Jakarta</x:v>
      </x:c>
      <x:c r="J78" s="65" t="str">
        <x:v>Published: 2024-04-06 Status as of: 2026-09-07 (official seasonal notice; not a current forecast) Document type: official_public_guidance Tags: topic=exposure-protection; audience=Jakarta-resident; action=protect-now; pollutant=PM2.5</x:v>
      </x:c>
      <x:c r="K78" s="65" t="str">
        <x:v>https://lingkunganhidup.jakarta.go.id/detail-artikel/masuki-musim-kemarau-pemprov-dki-minta-masyarakat-waspadai-penurunan-kualitas-udara</x:v>
      </x:c>
      <x:c r="L78" s="65" t="n">
        <x:v>0</x:v>
      </x:c>
      <x:c r="M78" s="65" t="str">
        <x:v>Machine-suggested near-miss; human review required.</x:v>
      </x:c>
    </x:row>
    <x:row r="79" ht="42" customHeight="1">
      <x:c r="A79" s="65" t="str">
        <x:v>gold30-004</x:v>
      </x:c>
      <x:c r="B79" s="65" t="str">
        <x:v>hybrid</x:v>
      </x:c>
      <x:c r="C79" s="88" t="n">
        <x:v>4</x:v>
      </x:c>
      <x:c r="D79" s="65" t="str">
        <x:v>pp-22-2021-air-quality</x:v>
      </x:c>
      <x:c r="E79" s="65" t="str">
        <x:v>pp-22-2021-air-quality:structure:0</x:v>
      </x:c>
      <x:c r="F79" s="65" t="str">
        <x:v>p.1</x:v>
      </x:c>
      <x:c r="G79" s="92" t="n">
        <x:v>0.0311575</x:v>
      </x:c>
      <x:c r="H79" s="65" t="str">
        <x:v>PP No. 22 Tahun 2021 — environmental protection and ambient air quality</x:v>
      </x:c>
      <x:c r="I79" s="65" t="str">
        <x:v>Pemerintah Republik Indonesia / Database Peraturan BPK</x:v>
      </x:c>
      <x:c r="J79"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79" s="65" t="str">
        <x:v>https://peraturan.bpk.go.id/Details/161852/pp-no-22tahun-2021</x:v>
      </x:c>
      <x:c r="L79" s="65" t="n">
        <x:v>0</x:v>
      </x:c>
      <x:c r="M79" s="65" t="str">
        <x:v>Machine-suggested near-miss; human review required.</x:v>
      </x:c>
    </x:row>
    <x:row r="80" ht="42" customHeight="1">
      <x:c r="A80" s="65" t="str">
        <x:v>gold30-004</x:v>
      </x:c>
      <x:c r="B80" s="65" t="str">
        <x:v>hybrid</x:v>
      </x:c>
      <x:c r="C80" s="88" t="n">
        <x:v>5</x:v>
      </x:c>
      <x:c r="D80" s="65" t="str">
        <x:v>pergub-66-2020-vehicle-testing</x:v>
      </x:c>
      <x:c r="E80" s="65" t="str">
        <x:v>pergub-66-2020-vehicle-testing:structure:0</x:v>
      </x:c>
      <x:c r="F80" s="65" t="str">
        <x:v>p.1</x:v>
      </x:c>
      <x:c r="G80" s="92" t="n">
        <x:v>0.0159375</x:v>
      </x:c>
      <x:c r="H80" s="65" t="str">
        <x:v>Pergub DKI Jakarta No. 66 Tahun 2020 — motor-vehicle emission testing</x:v>
      </x:c>
      <x:c r="I80" s="65" t="str">
        <x:v>Pemerintah Provinsi DKI Jakarta / Database Peraturan BPK</x:v>
      </x:c>
      <x:c r="J80" s="65" t="str">
        <x:v>Peraturan Gubernur Provinsi DKI Jakarta Nomor 66 Tahun 2020 is titled Uji Emisi Gas Buang Kendaraan Bermotor. The BPK record gives the adoption date as 22 July 2020, promulgation date as 24 July 2020, and effective date as 24 December 2020.</x:v>
      </x:c>
      <x:c r="K80" s="65" t="str">
        <x:v>https://peraturan.bpk.go.id/Details/153923/pergub-prov-dki-jakarta-no-66-tahun-2020</x:v>
      </x:c>
      <x:c r="L80" s="65" t="n">
        <x:v>0</x:v>
      </x:c>
      <x:c r="M80" s="65" t="str">
        <x:v>Machine-suggested near-miss; human review required.</x:v>
      </x:c>
    </x:row>
    <x:row r="81" ht="42" customHeight="1">
      <x:c r="A81" s="65" t="str">
        <x:v>gold30-004</x:v>
      </x:c>
      <x:c r="B81" s="65" t="str">
        <x:v>hybrid_rerank</x:v>
      </x:c>
      <x:c r="C81" s="88" t="n">
        <x:v>1</x:v>
      </x:c>
      <x:c r="D81" s="65" t="str">
        <x:v>jakarta-improvements</x:v>
      </x:c>
      <x:c r="E81" s="65" t="str">
        <x:v>jakarta-improvements:structure:0</x:v>
      </x:c>
      <x:c r="F81" s="65" t="str">
        <x:v>p.1</x:v>
      </x:c>
      <x:c r="G81" s="92" t="n">
        <x:v>0.16533073</x:v>
      </x:c>
      <x:c r="H81" s="65" t="str">
        <x:v>Ways to improve Jakarta air quality</x:v>
      </x:c>
      <x:c r="I81" s="65" t="str">
        <x:v>Pemerintah Provinsi DKI Jakarta / Dinas Lingkungan Hidup</x:v>
      </x:c>
      <x:c r="J81"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81" s="65" t="str">
        <x:v>https://www.jakarta.go.id/page/upaya-bersama-jaga-kualitas-udara-jakarta</x:v>
      </x:c>
      <x:c r="L81" s="65" t="n">
        <x:v>0</x:v>
      </x:c>
      <x:c r="M81" s="65" t="str">
        <x:v>Machine-suggested near-miss; human review required.</x:v>
      </x:c>
    </x:row>
    <x:row r="82" ht="42" customHeight="1">
      <x:c r="A82" s="65" t="str">
        <x:v>gold30-004</x:v>
      </x:c>
      <x:c r="B82" s="65" t="str">
        <x:v>hybrid_rerank</x:v>
      </x:c>
      <x:c r="C82" s="88" t="n">
        <x:v>2</x:v>
      </x:c>
      <x:c r="D82" s="65" t="str">
        <x:v>jakarta-seasonal-exposure</x:v>
      </x:c>
      <x:c r="E82" s="65" t="str">
        <x:v>jakarta-seasonal-exposure:structure:0</x:v>
      </x:c>
      <x:c r="F82" s="65" t="str">
        <x:v>p.1</x:v>
      </x:c>
      <x:c r="G82" s="92" t="n">
        <x:v>0.16510196</x:v>
      </x:c>
      <x:c r="H82" s="65" t="str">
        <x:v>Jakarta timing and local exposure context</x:v>
      </x:c>
      <x:c r="I82" s="65" t="str">
        <x:v>Dinas Lingkungan Hidup DKI Jakarta</x:v>
      </x:c>
      <x:c r="J82" s="65" t="str">
        <x:v>Published: 2024-04-06 Status as of: 2026-09-07 (official seasonal notice; not a current forecast) Document type: official_public_guidance Tags: topic=exposure-protection; audience=Jakarta-resident; action=protect-now; pollutant=PM2.5</x:v>
      </x:c>
      <x:c r="K82" s="65" t="str">
        <x:v>https://lingkunganhidup.jakarta.go.id/detail-artikel/masuki-musim-kemarau-pemprov-dki-minta-masyarakat-waspadai-penurunan-kualitas-udara</x:v>
      </x:c>
      <x:c r="L82" s="65" t="n">
        <x:v>0</x:v>
      </x:c>
      <x:c r="M82" s="65" t="str">
        <x:v>Machine-suggested near-miss; human review required.</x:v>
      </x:c>
    </x:row>
    <x:row r="83" ht="42" customHeight="1">
      <x:c r="A83" s="65" t="str">
        <x:v>gold30-004</x:v>
      </x:c>
      <x:c r="B83" s="65" t="str">
        <x:v>hybrid_rerank</x:v>
      </x:c>
      <x:c r="C83" s="88" t="n">
        <x:v>3</x:v>
      </x:c>
      <x:c r="D83" s="65" t="str">
        <x:v>jakarta-historical-city-series</x:v>
      </x:c>
      <x:c r="E83" s="65" t="str">
        <x:v>jakarta-historical-city-series:structure:2</x:v>
      </x:c>
      <x:c r="F83" s="65" t="str">
        <x:v>p.3</x:v>
      </x:c>
      <x:c r="G83" s="92" t="n">
        <x:v>0.08748167</x:v>
      </x:c>
      <x:c r="H83" s="65" t="str">
        <x:v>Jakarta historical PM2.5 and PM10 series: provenance and quality</x:v>
      </x:c>
      <x:c r="I83" s="65" t="str">
        <x:v>Open-Meteo / CAMS Global; deposited dataset by Nitiraj Kulkarni and Jagadish Tawade</x:v>
      </x:c>
      <x:c r="J83"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83" s="65" t="str">
        <x:v>https://zenodo.org/records/18673885</x:v>
      </x:c>
      <x:c r="L83" s="65" t="n">
        <x:v>0</x:v>
      </x:c>
      <x:c r="M83" s="65" t="str">
        <x:v>Machine-suggested near-miss; human review required.</x:v>
      </x:c>
    </x:row>
    <x:row r="84" ht="42" customHeight="1">
      <x:c r="A84" s="65" t="str">
        <x:v>gold30-004</x:v>
      </x:c>
      <x:c r="B84" s="65" t="str">
        <x:v>hybrid_rerank</x:v>
      </x:c>
      <x:c r="C84" s="88" t="n">
        <x:v>4</x:v>
      </x:c>
      <x:c r="D84" s="65" t="str">
        <x:v>pp-22-2021-air-quality</x:v>
      </x:c>
      <x:c r="E84" s="65" t="str">
        <x:v>pp-22-2021-air-quality:structure:0</x:v>
      </x:c>
      <x:c r="F84" s="65" t="str">
        <x:v>p.1</x:v>
      </x:c>
      <x:c r="G84" s="92" t="n">
        <x:v>0.08712503</x:v>
      </x:c>
      <x:c r="H84" s="65" t="str">
        <x:v>PP No. 22 Tahun 2021 — environmental protection and ambient air quality</x:v>
      </x:c>
      <x:c r="I84" s="65" t="str">
        <x:v>Pemerintah Republik Indonesia / Database Peraturan BPK</x:v>
      </x:c>
      <x:c r="J84"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84" s="65" t="str">
        <x:v>https://peraturan.bpk.go.id/Details/161852/pp-no-22tahun-2021</x:v>
      </x:c>
      <x:c r="L84" s="65" t="n">
        <x:v>0</x:v>
      </x:c>
      <x:c r="M84" s="65" t="str">
        <x:v>Machine-suggested near-miss; human review required.</x:v>
      </x:c>
    </x:row>
    <x:row r="85" ht="42" customHeight="1">
      <x:c r="A85" s="65" t="str">
        <x:v>gold30-004</x:v>
      </x:c>
      <x:c r="B85" s="65" t="str">
        <x:v>hybrid_rerank</x:v>
      </x:c>
      <x:c r="C85" s="88" t="n">
        <x:v>5</x:v>
      </x:c>
      <x:c r="D85" s="65" t="str">
        <x:v>individual-emission-actions</x:v>
      </x:c>
      <x:c r="E85" s="65" t="str">
        <x:v>individual-emission-actions:structure:2</x:v>
      </x:c>
      <x:c r="F85" s="65" t="str">
        <x:v>p.3</x:v>
      </x:c>
      <x:c r="G85" s="92" t="n">
        <x:v>0.08253968</x:v>
      </x:c>
      <x:c r="H85" s="65" t="str">
        <x:v>What an individual can do to reduce emissions and improve accountability</x:v>
      </x:c>
      <x:c r="I85" s="65" t="str">
        <x:v>World Health Organization; Pemerintah Provinsi DKI Jakarta</x:v>
      </x:c>
      <x:c r="J85"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85" s="65" t="str">
        <x:v>https://www.who.int/europe/publications/m/item/personal-level-actions-to-reduce-air-pollution-exposure</x:v>
      </x:c>
      <x:c r="L85" s="65" t="n">
        <x:v>0</x:v>
      </x:c>
      <x:c r="M85" s="65" t="str">
        <x:v>Machine-suggested near-miss; human review required.</x:v>
      </x:c>
    </x:row>
    <x:row r="86" ht="42" customHeight="1">
      <x:c r="A86" s="65" t="str">
        <x:v>gold30-005</x:v>
      </x:c>
      <x:c r="B86" s="65" t="str">
        <x:v>bm25</x:v>
      </x:c>
      <x:c r="C86" s="88" t="n">
        <x:v>1</x:v>
      </x:c>
      <x:c r="D86" s="65" t="str">
        <x:v>jakarta-historical-city-series</x:v>
      </x:c>
      <x:c r="E86" s="65" t="str">
        <x:v>jakarta-historical-city-series:structure:4</x:v>
      </x:c>
      <x:c r="F86" s="65" t="str">
        <x:v>p.5</x:v>
      </x:c>
      <x:c r="G86" s="92" t="n">
        <x:v>0.77777778</x:v>
      </x:c>
      <x:c r="H86" s="65" t="str">
        <x:v>Jakarta historical PM2.5 and PM10 series: provenance and quality</x:v>
      </x:c>
      <x:c r="I86" s="65" t="str">
        <x:v>Open-Meteo / CAMS Global; deposited dataset by Nitiraj Kulkarni and Jagadish Tawade</x:v>
      </x:c>
      <x:c r="J86"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86" s="65" t="str">
        <x:v>https://zenodo.org/records/18673885</x:v>
      </x:c>
      <x:c r="L86" s="65" t="n">
        <x:v>0</x:v>
      </x:c>
      <x:c r="M86" s="65" t="str">
        <x:v>Machine-suggested near-miss; human review required.</x:v>
      </x:c>
    </x:row>
    <x:row r="87" ht="42" customHeight="1">
      <x:c r="A87" s="65" t="str">
        <x:v>gold30-005</x:v>
      </x:c>
      <x:c r="B87" s="65" t="str">
        <x:v>bm25</x:v>
      </x:c>
      <x:c r="C87" s="88" t="n">
        <x:v>2</x:v>
      </x:c>
      <x:c r="D87" s="65" t="str">
        <x:v>policy-improvements-evidence</x:v>
      </x:c>
      <x:c r="E87" s="65" t="str">
        <x:v>policy-improvements-evidence:structure:2</x:v>
      </x:c>
      <x:c r="F87" s="65" t="str">
        <x:v>p.3</x:v>
      </x:c>
      <x:c r="G87" s="92" t="n">
        <x:v>0.44444444</x:v>
      </x:c>
      <x:c r="H87" s="65" t="str">
        <x:v>Evidence-based policy improvements for Jakarta</x:v>
      </x:c>
      <x:c r="I87" s="65" t="str">
        <x:v>Dinas Lingkungan Hidup DKI Jakarta; World Health Organization</x:v>
      </x:c>
      <x:c r="J87"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87" s="65" t="str">
        <x:v>https://www.jakarta.go.id/siaran-pers/4802-SP-HMS-06-2024</x:v>
      </x:c>
      <x:c r="L87" s="65" t="n">
        <x:v>0</x:v>
      </x:c>
      <x:c r="M87" s="65" t="str">
        <x:v>Machine-suggested near-miss; human review required.</x:v>
      </x:c>
    </x:row>
    <x:row r="88" ht="42" customHeight="1">
      <x:c r="A88" s="65" t="str">
        <x:v>gold30-005</x:v>
      </x:c>
      <x:c r="B88" s="65" t="str">
        <x:v>bm25</x:v>
      </x:c>
      <x:c r="C88" s="88" t="n">
        <x:v>3</x:v>
      </x:c>
      <x:c r="D88" s="65" t="str">
        <x:v>who-aqg-2021-extract</x:v>
      </x:c>
      <x:c r="E88" s="65" t="str">
        <x:v>who-aqg-2021-extract:structure:3</x:v>
      </x:c>
      <x:c r="F88" s="65" t="str">
        <x:v>p.4</x:v>
      </x:c>
      <x:c r="G88" s="92" t="n">
        <x:v>0.44444444</x:v>
      </x:c>
      <x:c r="H88" s="65" t="str">
        <x:v>WHO Global Air Quality Guidelines (2021) — particulate matter targets</x:v>
      </x:c>
      <x:c r="I88" s="65" t="str">
        <x:v>World Health Organization</x:v>
      </x:c>
      <x:c r="J88" s="65" t="str">
        <x:v>For PM10, the table reports an annual guideline level of 15 micrograms per cubic metre and a 24-hour guideline level of 45 micrograms per cubic metre. These values use an averaging time and pollutant-specific unit that must remain attached to the comparison.</x:v>
      </x:c>
      <x:c r="K88" s="65" t="str">
        <x:v>https://www.who.int/publications/i/item/9789240034228</x:v>
      </x:c>
      <x:c r="L88" s="65" t="n">
        <x:v>0</x:v>
      </x:c>
      <x:c r="M88" s="65" t="str">
        <x:v>Machine-suggested near-miss; human review required.</x:v>
      </x:c>
    </x:row>
    <x:row r="89" ht="42" customHeight="1">
      <x:c r="A89" s="65" t="str">
        <x:v>gold30-005</x:v>
      </x:c>
      <x:c r="B89" s="65" t="str">
        <x:v>bm25</x:v>
      </x:c>
      <x:c r="C89" s="88" t="n">
        <x:v>4</x:v>
      </x:c>
      <x:c r="D89" s="65" t="str">
        <x:v>bad-air-day-protection</x:v>
      </x:c>
      <x:c r="E89" s="65" t="str">
        <x:v>bad-air-day-protection:structure:1</x:v>
      </x:c>
      <x:c r="F89" s="65" t="str">
        <x:v>p.2</x:v>
      </x:c>
      <x:c r="G89" s="92" t="n">
        <x:v>0.33333333</x:v>
      </x:c>
      <x:c r="H89" s="65" t="str">
        <x:v>Bad-air-day protection playbook</x:v>
      </x:c>
      <x:c r="I89" s="65" t="str">
        <x:v>World Health Organization, Regional Office for Europe</x:v>
      </x:c>
      <x:c r="J89"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89" s="65" t="str">
        <x:v>https://www.who.int/news-room/questions-and-answers/item/air-pollution-personal-interventions-and-risk-communication</x:v>
      </x:c>
      <x:c r="L89" s="65" t="n">
        <x:v>0</x:v>
      </x:c>
      <x:c r="M89" s="65" t="str">
        <x:v>Machine-suggested near-miss; human review required.</x:v>
      </x:c>
    </x:row>
    <x:row r="90" ht="42" customHeight="1">
      <x:c r="A90" s="65" t="str">
        <x:v>gold30-005</x:v>
      </x:c>
      <x:c r="B90" s="65" t="str">
        <x:v>bm25</x:v>
      </x:c>
      <x:c r="C90" s="88" t="n">
        <x:v>5</x:v>
      </x:c>
      <x:c r="D90" s="65" t="str">
        <x:v>individual-emission-actions</x:v>
      </x:c>
      <x:c r="E90" s="65" t="str">
        <x:v>individual-emission-actions:structure:3</x:v>
      </x:c>
      <x:c r="F90" s="65" t="str">
        <x:v>p.4</x:v>
      </x:c>
      <x:c r="G90" s="92" t="n">
        <x:v>0.33333333</x:v>
      </x:c>
      <x:c r="H90" s="65" t="str">
        <x:v>What an individual can do to reduce emissions and improve accountability</x:v>
      </x:c>
      <x:c r="I90" s="65" t="str">
        <x:v>World Health Organization; Pemerintah Provinsi DKI Jakarta</x:v>
      </x:c>
      <x:c r="J90"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90" s="65" t="str">
        <x:v>https://www.who.int/europe/publications/m/item/personal-level-actions-to-reduce-air-pollution-exposure</x:v>
      </x:c>
      <x:c r="L90" s="65" t="n">
        <x:v>0</x:v>
      </x:c>
      <x:c r="M90" s="65" t="str">
        <x:v>Machine-suggested near-miss; human review required.</x:v>
      </x:c>
    </x:row>
    <x:row r="91" ht="42" customHeight="1">
      <x:c r="A91" s="65" t="str">
        <x:v>gold30-005</x:v>
      </x:c>
      <x:c r="B91" s="65" t="str">
        <x:v>dense</x:v>
      </x:c>
      <x:c r="C91" s="88" t="n">
        <x:v>1</x:v>
      </x:c>
      <x:c r="D91" s="65" t="str">
        <x:v>jakarta-historical-city-series</x:v>
      </x:c>
      <x:c r="E91" s="65" t="str">
        <x:v>jakarta-historical-city-series:structure:4</x:v>
      </x:c>
      <x:c r="F91" s="65" t="str">
        <x:v>p.5</x:v>
      </x:c>
      <x:c r="G91" s="92" t="n">
        <x:v>0.30399575</x:v>
      </x:c>
      <x:c r="H91" s="65" t="str">
        <x:v>Jakarta historical PM2.5 and PM10 series: provenance and quality</x:v>
      </x:c>
      <x:c r="I91" s="65" t="str">
        <x:v>Open-Meteo / CAMS Global; deposited dataset by Nitiraj Kulkarni and Jagadish Tawade</x:v>
      </x:c>
      <x:c r="J91"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91" s="65" t="str">
        <x:v>https://zenodo.org/records/18673885</x:v>
      </x:c>
      <x:c r="L91" s="65" t="n">
        <x:v>0</x:v>
      </x:c>
      <x:c r="M91" s="65" t="str">
        <x:v>Machine-suggested near-miss; human review required.</x:v>
      </x:c>
    </x:row>
    <x:row r="92" ht="42" customHeight="1">
      <x:c r="A92" s="65" t="str">
        <x:v>gold30-005</x:v>
      </x:c>
      <x:c r="B92" s="65" t="str">
        <x:v>dense</x:v>
      </x:c>
      <x:c r="C92" s="88" t="n">
        <x:v>2</x:v>
      </x:c>
      <x:c r="D92" s="65" t="str">
        <x:v>jakarta-seasonal-exposure</x:v>
      </x:c>
      <x:c r="E92" s="65" t="str">
        <x:v>jakarta-seasonal-exposure:structure:1</x:v>
      </x:c>
      <x:c r="F92" s="65" t="str">
        <x:v>p.2</x:v>
      </x:c>
      <x:c r="G92" s="92" t="n">
        <x:v>0.18333954</x:v>
      </x:c>
      <x:c r="H92" s="65" t="str">
        <x:v>Jakarta timing and local exposure context</x:v>
      </x:c>
      <x:c r="I92" s="65" t="str">
        <x:v>Dinas Lingkungan Hidup DKI Jakarta</x:v>
      </x:c>
      <x:c r="J92" s="65" t="str">
        <x:v>DLH DKI, BMKG, KLHK, and Dinas Kesehatan warned that PM2.5 can increase in the dry season (roughly May–August in the notice) when rain and wind are low, because particles can accumulate and remain suspended. The notice also says SPKU observations showed different day/night patte…</x:v>
      </x:c>
      <x:c r="K92" s="65" t="str">
        <x:v>https://lingkunganhidup.jakarta.go.id/detail-artikel/masuki-musim-kemarau-pemprov-dki-minta-masyarakat-waspadai-penurunan-kualitas-udara</x:v>
      </x:c>
      <x:c r="L92" s="65" t="n">
        <x:v>0</x:v>
      </x:c>
      <x:c r="M92" s="65" t="str">
        <x:v>Machine-suggested near-miss; human review required.</x:v>
      </x:c>
    </x:row>
    <x:row r="93" ht="42" customHeight="1">
      <x:c r="A93" s="65" t="str">
        <x:v>gold30-005</x:v>
      </x:c>
      <x:c r="B93" s="65" t="str">
        <x:v>dense</x:v>
      </x:c>
      <x:c r="C93" s="88" t="n">
        <x:v>3</x:v>
      </x:c>
      <x:c r="D93" s="65" t="str">
        <x:v>ispu</x:v>
      </x:c>
      <x:c r="E93" s="65" t="str">
        <x:v>ispu:structure:1</x:v>
      </x:c>
      <x:c r="F93" s="65" t="str">
        <x:v>p.2</x:v>
      </x:c>
      <x:c r="G93" s="92" t="n">
        <x:v>0.1741363</x:v>
      </x:c>
      <x:c r="H93" s="65" t="str">
        <x:v>Indonesian ISPU categories</x:v>
      </x:c>
      <x:c r="I93" s="65" t="str">
        <x:v>Ministry of Environment and Forestry</x:v>
      </x:c>
      <x:c r="J93" s="65" t="str">
        <x:v>Never describe an ISPU value as a PM2.5 concentration. The application should show the index and the concentration separately.</x:v>
      </x:c>
      <x:c r="K93" s="65" t="str">
        <x:v>https://peraturan.bpk.go.id/Details/163466/permen-lhk-no-14-tahun-2020</x:v>
      </x:c>
      <x:c r="L93" s="65" t="n">
        <x:v>3</x:v>
      </x:c>
      <x:c r="M93" s="65" t="str">
        <x:v>Expected source for this question.</x:v>
      </x:c>
    </x:row>
    <x:row r="94" ht="42" customHeight="1">
      <x:c r="A94" s="65" t="str">
        <x:v>gold30-005</x:v>
      </x:c>
      <x:c r="B94" s="65" t="str">
        <x:v>dense</x:v>
      </x:c>
      <x:c r="C94" s="88" t="n">
        <x:v>4</x:v>
      </x:c>
      <x:c r="D94" s="65" t="str">
        <x:v>jakarta-causes</x:v>
      </x:c>
      <x:c r="E94" s="65" t="str">
        <x:v>jakarta-causes:structure:1</x:v>
      </x:c>
      <x:c r="F94" s="65" t="str">
        <x:v>p.2</x:v>
      </x:c>
      <x:c r="G94" s="92" t="n">
        <x:v>0.17375949</x:v>
      </x:c>
      <x:c r="H94" s="65" t="str">
        <x:v>What causes Jakarta air pollution</x:v>
      </x:c>
      <x:c r="I94" s="65" t="str">
        <x:v>Dinas Lingkungan Hidup DKI Jakarta / Vital Strategies / ITB</x:v>
      </x:c>
      <x:c r="J94"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94" s="65" t="str">
        <x:v>https://rendahemisi.jakarta.go.id/learn</x:v>
      </x:c>
      <x:c r="L94" s="65" t="n">
        <x:v>0</x:v>
      </x:c>
      <x:c r="M94" s="65" t="str">
        <x:v>Machine-suggested near-miss; human review required.</x:v>
      </x:c>
    </x:row>
    <x:row r="95" ht="42" customHeight="1">
      <x:c r="A95" s="65" t="str">
        <x:v>gold30-005</x:v>
      </x:c>
      <x:c r="B95" s="65" t="str">
        <x:v>dense</x:v>
      </x:c>
      <x:c r="C95" s="88" t="n">
        <x:v>5</x:v>
      </x:c>
      <x:c r="D95" s="65" t="str">
        <x:v>pp-22-2021-air-quality</x:v>
      </x:c>
      <x:c r="E95" s="65" t="str">
        <x:v>pp-22-2021-air-quality:structure:0</x:v>
      </x:c>
      <x:c r="F95" s="65" t="str">
        <x:v>p.1</x:v>
      </x:c>
      <x:c r="G95" s="92" t="n">
        <x:v>0.15183882</x:v>
      </x:c>
      <x:c r="H95" s="65" t="str">
        <x:v>PP No. 22 Tahun 2021 — environmental protection and ambient air quality</x:v>
      </x:c>
      <x:c r="I95" s="65" t="str">
        <x:v>Pemerintah Republik Indonesia / Database Peraturan BPK</x:v>
      </x:c>
      <x:c r="J95"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95" s="65" t="str">
        <x:v>https://peraturan.bpk.go.id/Details/161852/pp-no-22tahun-2021</x:v>
      </x:c>
      <x:c r="L95" s="65" t="n">
        <x:v>0</x:v>
      </x:c>
      <x:c r="M95" s="65" t="str">
        <x:v>Machine-suggested near-miss; human review required.</x:v>
      </x:c>
    </x:row>
    <x:row r="96" ht="42" customHeight="1">
      <x:c r="A96" s="65" t="str">
        <x:v>gold30-005</x:v>
      </x:c>
      <x:c r="B96" s="65" t="str">
        <x:v>hybrid</x:v>
      </x:c>
      <x:c r="C96" s="88" t="n">
        <x:v>1</x:v>
      </x:c>
      <x:c r="D96" s="65" t="str">
        <x:v>jakarta-historical-city-series</x:v>
      </x:c>
      <x:c r="E96" s="65" t="str">
        <x:v>jakarta-historical-city-series:structure:4</x:v>
      </x:c>
      <x:c r="F96" s="65" t="str">
        <x:v>p.5</x:v>
      </x:c>
      <x:c r="G96" s="92" t="n">
        <x:v>0.03311475</x:v>
      </x:c>
      <x:c r="H96" s="65" t="str">
        <x:v>Jakarta historical PM2.5 and PM10 series: provenance and quality</x:v>
      </x:c>
      <x:c r="I96" s="65" t="str">
        <x:v>Open-Meteo / CAMS Global; deposited dataset by Nitiraj Kulkarni and Jagadish Tawade</x:v>
      </x:c>
      <x:c r="J96"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96" s="65" t="str">
        <x:v>https://zenodo.org/records/18673885</x:v>
      </x:c>
      <x:c r="L96" s="65" t="n">
        <x:v>0</x:v>
      </x:c>
      <x:c r="M96" s="65" t="str">
        <x:v>Machine-suggested near-miss; human review required.</x:v>
      </x:c>
    </x:row>
    <x:row r="97" ht="42" customHeight="1">
      <x:c r="A97" s="65" t="str">
        <x:v>gold30-005</x:v>
      </x:c>
      <x:c r="B97" s="65" t="str">
        <x:v>hybrid</x:v>
      </x:c>
      <x:c r="C97" s="88" t="n">
        <x:v>2</x:v>
      </x:c>
      <x:c r="D97" s="65" t="str">
        <x:v>jakarta-seasonal-exposure</x:v>
      </x:c>
      <x:c r="E97" s="65" t="str">
        <x:v>jakarta-seasonal-exposure:structure:1</x:v>
      </x:c>
      <x:c r="F97" s="65" t="str">
        <x:v>p.2</x:v>
      </x:c>
      <x:c r="G97" s="92" t="n">
        <x:v>0.0311575</x:v>
      </x:c>
      <x:c r="H97" s="65" t="str">
        <x:v>Jakarta timing and local exposure context</x:v>
      </x:c>
      <x:c r="I97" s="65" t="str">
        <x:v>Dinas Lingkungan Hidup DKI Jakarta</x:v>
      </x:c>
      <x:c r="J97" s="65" t="str">
        <x:v>DLH DKI, BMKG, KLHK, and Dinas Kesehatan warned that PM2.5 can increase in the dry season (roughly May–August in the notice) when rain and wind are low, because particles can accumulate and remain suspended. The notice also says SPKU observations showed different day/night patte…</x:v>
      </x:c>
      <x:c r="K97" s="65" t="str">
        <x:v>https://lingkunganhidup.jakarta.go.id/detail-artikel/masuki-musim-kemarau-pemprov-dki-minta-masyarakat-waspadai-penurunan-kualitas-udara</x:v>
      </x:c>
      <x:c r="L97" s="65" t="n">
        <x:v>0</x:v>
      </x:c>
      <x:c r="M97" s="65" t="str">
        <x:v>Machine-suggested near-miss; human review required.</x:v>
      </x:c>
    </x:row>
    <x:row r="98" ht="42" customHeight="1">
      <x:c r="A98" s="65" t="str">
        <x:v>gold30-005</x:v>
      </x:c>
      <x:c r="B98" s="65" t="str">
        <x:v>hybrid</x:v>
      </x:c>
      <x:c r="C98" s="88" t="n">
        <x:v>3</x:v>
      </x:c>
      <x:c r="D98" s="65" t="str">
        <x:v>jakarta-causes</x:v>
      </x:c>
      <x:c r="E98" s="65" t="str">
        <x:v>jakarta-causes:structure:1</x:v>
      </x:c>
      <x:c r="F98" s="65" t="str">
        <x:v>p.2</x:v>
      </x:c>
      <x:c r="G98" s="92" t="n">
        <x:v>0.03108902</x:v>
      </x:c>
      <x:c r="H98" s="65" t="str">
        <x:v>What causes Jakarta air pollution</x:v>
      </x:c>
      <x:c r="I98" s="65" t="str">
        <x:v>Dinas Lingkungan Hidup DKI Jakarta / Vital Strategies / ITB</x:v>
      </x:c>
      <x:c r="J98"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98" s="65" t="str">
        <x:v>https://rendahemisi.jakarta.go.id/learn</x:v>
      </x:c>
      <x:c r="L98" s="65" t="n">
        <x:v>0</x:v>
      </x:c>
      <x:c r="M98" s="65" t="str">
        <x:v>Machine-suggested near-miss; human review required.</x:v>
      </x:c>
    </x:row>
    <x:row r="99" ht="42" customHeight="1">
      <x:c r="A99" s="65" t="str">
        <x:v>gold30-005</x:v>
      </x:c>
      <x:c r="B99" s="65" t="str">
        <x:v>hybrid</x:v>
      </x:c>
      <x:c r="C99" s="88" t="n">
        <x:v>4</x:v>
      </x:c>
      <x:c r="D99" s="65" t="str">
        <x:v>ispu</x:v>
      </x:c>
      <x:c r="E99" s="65" t="str">
        <x:v>ispu:structure:1</x:v>
      </x:c>
      <x:c r="F99" s="65" t="str">
        <x:v>p.2</x:v>
      </x:c>
      <x:c r="G99" s="92" t="n">
        <x:v>0.03068323</x:v>
      </x:c>
      <x:c r="H99" s="65" t="str">
        <x:v>Indonesian ISPU categories</x:v>
      </x:c>
      <x:c r="I99" s="65" t="str">
        <x:v>Ministry of Environment and Forestry</x:v>
      </x:c>
      <x:c r="J99" s="65" t="str">
        <x:v>Never describe an ISPU value as a PM2.5 concentration. The application should show the index and the concentration separately.</x:v>
      </x:c>
      <x:c r="K99" s="65" t="str">
        <x:v>https://peraturan.bpk.go.id/Details/163466/permen-lhk-no-14-tahun-2020</x:v>
      </x:c>
      <x:c r="L99" s="65" t="n">
        <x:v>3</x:v>
      </x:c>
      <x:c r="M99" s="65" t="str">
        <x:v>Expected source for this question.</x:v>
      </x:c>
    </x:row>
    <x:row r="100" ht="42" customHeight="1">
      <x:c r="A100" s="65" t="str">
        <x:v>gold30-005</x:v>
      </x:c>
      <x:c r="B100" s="65" t="str">
        <x:v>hybrid</x:v>
      </x:c>
      <x:c r="C100" s="88" t="n">
        <x:v>5</x:v>
      </x:c>
      <x:c r="D100" s="65" t="str">
        <x:v>jakarta-policy-implementation</x:v>
      </x:c>
      <x:c r="E100" s="65" t="str">
        <x:v>jakarta-policy-implementation:structure:1</x:v>
      </x:c>
      <x:c r="F100" s="65" t="str">
        <x:v>p.2</x:v>
      </x:c>
      <x:c r="G100" s="92" t="n">
        <x:v>0.02970798</x:v>
      </x:c>
      <x:c r="H100" s="65" t="str">
        <x:v>Why rules can coexist with poor air: implementation evidence</x:v>
      </x:c>
      <x:c r="I100" s="65" t="str">
        <x:v>Pemerintah Provinsi DKI Jakarta; Dinas Lingkungan Hidup DKI Jakarta; Mahkamah Agung</x:v>
      </x:c>
      <x:c r="J100"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100" s="65" t="str">
        <x:v>https://www.jakarta.go.id/siaran-pers/4802-SP-HMS-06-2024</x:v>
      </x:c>
      <x:c r="L100" s="65" t="n">
        <x:v>0</x:v>
      </x:c>
      <x:c r="M100" s="65" t="str">
        <x:v>Machine-suggested near-miss; human review required.</x:v>
      </x:c>
    </x:row>
    <x:row r="101" ht="42" customHeight="1">
      <x:c r="A101" s="65" t="str">
        <x:v>gold30-005</x:v>
      </x:c>
      <x:c r="B101" s="65" t="str">
        <x:v>hybrid_rerank</x:v>
      </x:c>
      <x:c r="C101" s="88" t="n">
        <x:v>1</x:v>
      </x:c>
      <x:c r="D101" s="65" t="str">
        <x:v>jakarta-historical-city-series</x:v>
      </x:c>
      <x:c r="E101" s="65" t="str">
        <x:v>jakarta-historical-city-series:structure:4</x:v>
      </x:c>
      <x:c r="F101" s="65" t="str">
        <x:v>p.5</x:v>
      </x:c>
      <x:c r="G101" s="92" t="n">
        <x:v>0.55437887</x:v>
      </x:c>
      <x:c r="H101" s="65" t="str">
        <x:v>Jakarta historical PM2.5 and PM10 series: provenance and quality</x:v>
      </x:c>
      <x:c r="I101" s="65" t="str">
        <x:v>Open-Meteo / CAMS Global; deposited dataset by Nitiraj Kulkarni and Jagadish Tawade</x:v>
      </x:c>
      <x:c r="J101"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101" s="65" t="str">
        <x:v>https://zenodo.org/records/18673885</x:v>
      </x:c>
      <x:c r="L101" s="65" t="n">
        <x:v>0</x:v>
      </x:c>
      <x:c r="M101" s="65" t="str">
        <x:v>Machine-suggested near-miss; human review required.</x:v>
      </x:c>
    </x:row>
    <x:row r="102" ht="42" customHeight="1">
      <x:c r="A102" s="65" t="str">
        <x:v>gold30-005</x:v>
      </x:c>
      <x:c r="B102" s="65" t="str">
        <x:v>hybrid_rerank</x:v>
      </x:c>
      <x:c r="C102" s="88" t="n">
        <x:v>2</x:v>
      </x:c>
      <x:c r="D102" s="65" t="str">
        <x:v>policy-improvements-evidence</x:v>
      </x:c>
      <x:c r="E102" s="65" t="str">
        <x:v>policy-improvements-evidence:structure:2</x:v>
      </x:c>
      <x:c r="F102" s="65" t="str">
        <x:v>p.3</x:v>
      </x:c>
      <x:c r="G102" s="92" t="n">
        <x:v>0.31594982</x:v>
      </x:c>
      <x:c r="H102" s="65" t="str">
        <x:v>Evidence-based policy improvements for Jakarta</x:v>
      </x:c>
      <x:c r="I102" s="65" t="str">
        <x:v>Dinas Lingkungan Hidup DKI Jakarta; World Health Organization</x:v>
      </x:c>
      <x:c r="J102"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02" s="65" t="str">
        <x:v>https://www.jakarta.go.id/siaran-pers/4802-SP-HMS-06-2024</x:v>
      </x:c>
      <x:c r="L102" s="65" t="n">
        <x:v>0</x:v>
      </x:c>
      <x:c r="M102" s="65" t="str">
        <x:v>Machine-suggested near-miss; human review required.</x:v>
      </x:c>
    </x:row>
    <x:row r="103" ht="42" customHeight="1">
      <x:c r="A103" s="65" t="str">
        <x:v>gold30-005</x:v>
      </x:c>
      <x:c r="B103" s="65" t="str">
        <x:v>hybrid_rerank</x:v>
      </x:c>
      <x:c r="C103" s="88" t="n">
        <x:v>3</x:v>
      </x:c>
      <x:c r="D103" s="65" t="str">
        <x:v>who-aqg-2021-extract</x:v>
      </x:c>
      <x:c r="E103" s="65" t="str">
        <x:v>who-aqg-2021-extract:structure:3</x:v>
      </x:c>
      <x:c r="F103" s="65" t="str">
        <x:v>p.4</x:v>
      </x:c>
      <x:c r="G103" s="92" t="n">
        <x:v>0.31587302</x:v>
      </x:c>
      <x:c r="H103" s="65" t="str">
        <x:v>WHO Global Air Quality Guidelines (2021) — particulate matter targets</x:v>
      </x:c>
      <x:c r="I103" s="65" t="str">
        <x:v>World Health Organization</x:v>
      </x:c>
      <x:c r="J103" s="65" t="str">
        <x:v>For PM10, the table reports an annual guideline level of 15 micrograms per cubic metre and a 24-hour guideline level of 45 micrograms per cubic metre. These values use an averaging time and pollutant-specific unit that must remain attached to the comparison.</x:v>
      </x:c>
      <x:c r="K103" s="65" t="str">
        <x:v>https://www.who.int/publications/i/item/9789240034228</x:v>
      </x:c>
      <x:c r="L103" s="65" t="n">
        <x:v>0</x:v>
      </x:c>
      <x:c r="M103" s="65" t="str">
        <x:v>Machine-suggested near-miss; human review required.</x:v>
      </x:c>
    </x:row>
    <x:row r="104" ht="42" customHeight="1">
      <x:c r="A104" s="65" t="str">
        <x:v>gold30-005</x:v>
      </x:c>
      <x:c r="B104" s="65" t="str">
        <x:v>hybrid_rerank</x:v>
      </x:c>
      <x:c r="C104" s="88" t="n">
        <x:v>4</x:v>
      </x:c>
      <x:c r="D104" s="65" t="str">
        <x:v>jakarta-seasonal-exposure</x:v>
      </x:c>
      <x:c r="E104" s="65" t="str">
        <x:v>jakarta-seasonal-exposure:structure:1</x:v>
      </x:c>
      <x:c r="F104" s="65" t="str">
        <x:v>p.2</x:v>
      </x:c>
      <x:c r="G104" s="92" t="n">
        <x:v>0.24268058</x:v>
      </x:c>
      <x:c r="H104" s="65" t="str">
        <x:v>Jakarta timing and local exposure context</x:v>
      </x:c>
      <x:c r="I104" s="65" t="str">
        <x:v>Dinas Lingkungan Hidup DKI Jakarta</x:v>
      </x:c>
      <x:c r="J104" s="65" t="str">
        <x:v>DLH DKI, BMKG, KLHK, and Dinas Kesehatan warned that PM2.5 can increase in the dry season (roughly May–August in the notice) when rain and wind are low, because particles can accumulate and remain suspended. The notice also says SPKU observations showed different day/night patte…</x:v>
      </x:c>
      <x:c r="K104" s="65" t="str">
        <x:v>https://lingkunganhidup.jakarta.go.id/detail-artikel/masuki-musim-kemarau-pemprov-dki-minta-masyarakat-waspadai-penurunan-kualitas-udara</x:v>
      </x:c>
      <x:c r="L104" s="65" t="n">
        <x:v>0</x:v>
      </x:c>
      <x:c r="M104" s="65" t="str">
        <x:v>Machine-suggested near-miss; human review required.</x:v>
      </x:c>
    </x:row>
    <x:row r="105" ht="42" customHeight="1">
      <x:c r="A105" s="65" t="str">
        <x:v>gold30-005</x:v>
      </x:c>
      <x:c r="B105" s="65" t="str">
        <x:v>hybrid_rerank</x:v>
      </x:c>
      <x:c r="C105" s="88" t="n">
        <x:v>5</x:v>
      </x:c>
      <x:c r="D105" s="65" t="str">
        <x:v>jakarta-causes</x:v>
      </x:c>
      <x:c r="E105" s="65" t="str">
        <x:v>jakarta-causes:structure:1</x:v>
      </x:c>
      <x:c r="F105" s="65" t="str">
        <x:v>p.2</x:v>
      </x:c>
      <x:c r="G105" s="92" t="n">
        <x:v>0.24266004</x:v>
      </x:c>
      <x:c r="H105" s="65" t="str">
        <x:v>What causes Jakarta air pollution</x:v>
      </x:c>
      <x:c r="I105" s="65" t="str">
        <x:v>Dinas Lingkungan Hidup DKI Jakarta / Vital Strategies / ITB</x:v>
      </x:c>
      <x:c r="J105"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105" s="65" t="str">
        <x:v>https://rendahemisi.jakarta.go.id/learn</x:v>
      </x:c>
      <x:c r="L105" s="65" t="n">
        <x:v>0</x:v>
      </x:c>
      <x:c r="M105" s="65" t="str">
        <x:v>Machine-suggested near-miss; human review required.</x:v>
      </x:c>
    </x:row>
    <x:row r="106" ht="42" customHeight="1">
      <x:c r="A106" s="65" t="str">
        <x:v>gold30-006</x:v>
      </x:c>
      <x:c r="B106" s="65" t="str">
        <x:v>bm25</x:v>
      </x:c>
      <x:c r="C106" s="88" t="n">
        <x:v>1</x:v>
      </x:c>
      <x:c r="D106" s="65" t="str">
        <x:v>who-aqg-2021-extract</x:v>
      </x:c>
      <x:c r="E106" s="65" t="str">
        <x:v>who-aqg-2021-extract:structure:2</x:v>
      </x:c>
      <x:c r="F106" s="65" t="str">
        <x:v>p.3</x:v>
      </x:c>
      <x:c r="G106" s="92" t="n">
        <x:v>0.2</x:v>
      </x:c>
      <x:c r="H106" s="65" t="str">
        <x:v>WHO Global Air Quality Guidelines (2021) — particulate matter targets</x:v>
      </x:c>
      <x:c r="I106" s="65" t="str">
        <x:v>World Health Organization</x:v>
      </x:c>
      <x:c r="J106"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06" s="65" t="str">
        <x:v>https://www.who.int/publications/i/item/9789240034228</x:v>
      </x:c>
      <x:c r="L106" s="65" t="n">
        <x:v>3</x:v>
      </x:c>
      <x:c r="M106" s="65" t="str">
        <x:v>Expected source for this question.</x:v>
      </x:c>
    </x:row>
    <x:row r="107" ht="42" customHeight="1">
      <x:c r="A107" s="65" t="str">
        <x:v>gold30-006</x:v>
      </x:c>
      <x:c r="B107" s="65" t="str">
        <x:v>bm25</x:v>
      </x:c>
      <x:c r="C107" s="88" t="n">
        <x:v>2</x:v>
      </x:c>
      <x:c r="D107" s="65" t="str">
        <x:v>bad-air-day-protection</x:v>
      </x:c>
      <x:c r="E107" s="65" t="str">
        <x:v>bad-air-day-protection:structure:1</x:v>
      </x:c>
      <x:c r="F107" s="65" t="str">
        <x:v>p.2</x:v>
      </x:c>
      <x:c r="G107" s="92" t="n">
        <x:v>0.1</x:v>
      </x:c>
      <x:c r="H107" s="65" t="str">
        <x:v>Bad-air-day protection playbook</x:v>
      </x:c>
      <x:c r="I107" s="65" t="str">
        <x:v>World Health Organization, Regional Office for Europe</x:v>
      </x:c>
      <x:c r="J107"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107" s="65" t="str">
        <x:v>https://www.who.int/news-room/questions-and-answers/item/air-pollution-personal-interventions-and-risk-communication</x:v>
      </x:c>
      <x:c r="L107" s="65" t="n">
        <x:v>0</x:v>
      </x:c>
      <x:c r="M107" s="65" t="str">
        <x:v>Machine-suggested near-miss; human review required.</x:v>
      </x:c>
    </x:row>
    <x:row r="108" ht="42" customHeight="1">
      <x:c r="A108" s="65" t="str">
        <x:v>gold30-006</x:v>
      </x:c>
      <x:c r="B108" s="65" t="str">
        <x:v>bm25</x:v>
      </x:c>
      <x:c r="C108" s="88" t="n">
        <x:v>3</x:v>
      </x:c>
      <x:c r="D108" s="65" t="str">
        <x:v>exposure-protection</x:v>
      </x:c>
      <x:c r="E108" s="65" t="str">
        <x:v>exposure-protection:structure:1</x:v>
      </x:c>
      <x:c r="F108" s="65" t="str">
        <x:v>p.2</x:v>
      </x:c>
      <x:c r="G108" s="92" t="n">
        <x:v>0.1</x:v>
      </x:c>
      <x:c r="H108" s="65" t="str">
        <x:v>Reducing personal exposure to air pollution</x:v>
      </x:c>
      <x:c r="I108" s="65" t="str">
        <x:v>World Health Organization</x:v>
      </x:c>
      <x:c r="J108"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108" s="65" t="str">
        <x:v>https://www.who.int/publications/i/item/9789240000278</x:v>
      </x:c>
      <x:c r="L108" s="65" t="n">
        <x:v>0</x:v>
      </x:c>
      <x:c r="M108" s="65" t="str">
        <x:v>Machine-suggested near-miss; human review required.</x:v>
      </x:c>
    </x:row>
    <x:row r="109" ht="42" customHeight="1">
      <x:c r="A109" s="65" t="str">
        <x:v>gold30-006</x:v>
      </x:c>
      <x:c r="B109" s="65" t="str">
        <x:v>bm25</x:v>
      </x:c>
      <x:c r="C109" s="88" t="n">
        <x:v>4</x:v>
      </x:c>
      <x:c r="D109" s="65" t="str">
        <x:v>ispu</x:v>
      </x:c>
      <x:c r="E109" s="65" t="str">
        <x:v>ispu:structure:1</x:v>
      </x:c>
      <x:c r="F109" s="65" t="str">
        <x:v>p.2</x:v>
      </x:c>
      <x:c r="G109" s="92" t="n">
        <x:v>0.1</x:v>
      </x:c>
      <x:c r="H109" s="65" t="str">
        <x:v>Indonesian ISPU categories</x:v>
      </x:c>
      <x:c r="I109" s="65" t="str">
        <x:v>Ministry of Environment and Forestry</x:v>
      </x:c>
      <x:c r="J109" s="65" t="str">
        <x:v>Never describe an ISPU value as a PM2.5 concentration. The application should show the index and the concentration separately.</x:v>
      </x:c>
      <x:c r="K109" s="65" t="str">
        <x:v>https://peraturan.bpk.go.id/Details/163466/permen-lhk-no-14-tahun-2020</x:v>
      </x:c>
      <x:c r="L109" s="65" t="n">
        <x:v>0</x:v>
      </x:c>
      <x:c r="M109" s="65" t="str">
        <x:v>Machine-suggested near-miss; human review required.</x:v>
      </x:c>
    </x:row>
    <x:row r="110" ht="42" customHeight="1">
      <x:c r="A110" s="65" t="str">
        <x:v>gold30-006</x:v>
      </x:c>
      <x:c r="B110" s="65" t="str">
        <x:v>bm25</x:v>
      </x:c>
      <x:c r="C110" s="88" t="n">
        <x:v>5</x:v>
      </x:c>
      <x:c r="D110" s="65" t="str">
        <x:v>jakarta-causes</x:v>
      </x:c>
      <x:c r="E110" s="65" t="str">
        <x:v>jakarta-causes:structure:0</x:v>
      </x:c>
      <x:c r="F110" s="65" t="str">
        <x:v>p.1</x:v>
      </x:c>
      <x:c r="G110" s="92" t="n">
        <x:v>0.1</x:v>
      </x:c>
      <x:c r="H110" s="65" t="str">
        <x:v>What causes Jakarta air pollution</x:v>
      </x:c>
      <x:c r="I110" s="65" t="str">
        <x:v>Dinas Lingkungan Hidup DKI Jakarta / Vital Strategies / ITB</x:v>
      </x:c>
      <x:c r="J110"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10" s="65" t="str">
        <x:v>https://rendahemisi.jakarta.go.id/learn</x:v>
      </x:c>
      <x:c r="L110" s="65" t="n">
        <x:v>0</x:v>
      </x:c>
      <x:c r="M110" s="65" t="str">
        <x:v>Machine-suggested near-miss; human review required.</x:v>
      </x:c>
    </x:row>
    <x:row r="111" ht="42" customHeight="1">
      <x:c r="A111" s="65" t="str">
        <x:v>gold30-006</x:v>
      </x:c>
      <x:c r="B111" s="65" t="str">
        <x:v>dense</x:v>
      </x:c>
      <x:c r="C111" s="88" t="n">
        <x:v>1</x:v>
      </x:c>
      <x:c r="D111" s="65" t="str">
        <x:v>ispu</x:v>
      </x:c>
      <x:c r="E111" s="65" t="str">
        <x:v>ispu:structure:1</x:v>
      </x:c>
      <x:c r="F111" s="65" t="str">
        <x:v>p.2</x:v>
      </x:c>
      <x:c r="G111" s="92" t="n">
        <x:v>0.18355577</x:v>
      </x:c>
      <x:c r="H111" s="65" t="str">
        <x:v>Indonesian ISPU categories</x:v>
      </x:c>
      <x:c r="I111" s="65" t="str">
        <x:v>Ministry of Environment and Forestry</x:v>
      </x:c>
      <x:c r="J111" s="65" t="str">
        <x:v>Never describe an ISPU value as a PM2.5 concentration. The application should show the index and the concentration separately.</x:v>
      </x:c>
      <x:c r="K111" s="65" t="str">
        <x:v>https://peraturan.bpk.go.id/Details/163466/permen-lhk-no-14-tahun-2020</x:v>
      </x:c>
      <x:c r="L111" s="65" t="n">
        <x:v>0</x:v>
      </x:c>
      <x:c r="M111" s="65" t="str">
        <x:v>Machine-suggested near-miss; human review required.</x:v>
      </x:c>
    </x:row>
    <x:row r="112" ht="42" customHeight="1">
      <x:c r="A112" s="65" t="str">
        <x:v>gold30-006</x:v>
      </x:c>
      <x:c r="B112" s="65" t="str">
        <x:v>dense</x:v>
      </x:c>
      <x:c r="C112" s="88" t="n">
        <x:v>2</x:v>
      </x:c>
      <x:c r="D112" s="65" t="str">
        <x:v>jakarta-regulations</x:v>
      </x:c>
      <x:c r="E112" s="65" t="str">
        <x:v>jakarta-regulations:structure:0</x:v>
      </x:c>
      <x:c r="F112" s="65" t="str">
        <x:v>p.1</x:v>
      </x:c>
      <x:c r="G112" s="92" t="n">
        <x:v>0.16171115</x:v>
      </x:c>
      <x:c r="H112" s="65" t="str">
        <x:v>Jakarta and Indonesian air-quality regulations</x:v>
      </x:c>
      <x:c r="I112" s="65" t="str">
        <x:v>JDIH DKI Jakarta / Government of Indonesia</x:v>
      </x:c>
      <x:c r="J112"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12" s="65" t="str">
        <x:v>https://udara.jakarta.go.id/regulasi</x:v>
      </x:c>
      <x:c r="L112" s="65" t="n">
        <x:v>3</x:v>
      </x:c>
      <x:c r="M112" s="65" t="str">
        <x:v>Expected source for this question.</x:v>
      </x:c>
    </x:row>
    <x:row r="113" ht="42" customHeight="1">
      <x:c r="A113" s="65" t="str">
        <x:v>gold30-006</x:v>
      </x:c>
      <x:c r="B113" s="65" t="str">
        <x:v>dense</x:v>
      </x:c>
      <x:c r="C113" s="88" t="n">
        <x:v>3</x:v>
      </x:c>
      <x:c r="D113" s="65" t="str">
        <x:v>pp-22-2021-air-quality</x:v>
      </x:c>
      <x:c r="E113" s="65" t="str">
        <x:v>pp-22-2021-air-quality:structure:0</x:v>
      </x:c>
      <x:c r="F113" s="65" t="str">
        <x:v>p.1</x:v>
      </x:c>
      <x:c r="G113" s="92" t="n">
        <x:v>0.14004565</x:v>
      </x:c>
      <x:c r="H113" s="65" t="str">
        <x:v>PP No. 22 Tahun 2021 — environmental protection and ambient air quality</x:v>
      </x:c>
      <x:c r="I113" s="65" t="str">
        <x:v>Pemerintah Republik Indonesia / Database Peraturan BPK</x:v>
      </x:c>
      <x:c r="J113"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113" s="65" t="str">
        <x:v>https://peraturan.bpk.go.id/Details/161852/pp-no-22tahun-2021</x:v>
      </x:c>
      <x:c r="L113" s="65" t="n">
        <x:v>0</x:v>
      </x:c>
      <x:c r="M113" s="65" t="str">
        <x:v>Machine-suggested near-miss; human review required.</x:v>
      </x:c>
    </x:row>
    <x:row r="114" ht="42" customHeight="1">
      <x:c r="A114" s="65" t="str">
        <x:v>gold30-006</x:v>
      </x:c>
      <x:c r="B114" s="65" t="str">
        <x:v>dense</x:v>
      </x:c>
      <x:c r="C114" s="88" t="n">
        <x:v>4</x:v>
      </x:c>
      <x:c r="D114" s="65" t="str">
        <x:v>exposure-protection</x:v>
      </x:c>
      <x:c r="E114" s="65" t="str">
        <x:v>exposure-protection:structure:1</x:v>
      </x:c>
      <x:c r="F114" s="65" t="str">
        <x:v>p.2</x:v>
      </x:c>
      <x:c r="G114" s="92" t="n">
        <x:v>0.13274503</x:v>
      </x:c>
      <x:c r="H114" s="65" t="str">
        <x:v>Reducing personal exposure to air pollution</x:v>
      </x:c>
      <x:c r="I114" s="65" t="str">
        <x:v>World Health Organization</x:v>
      </x:c>
      <x:c r="J114"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114" s="65" t="str">
        <x:v>https://www.who.int/publications/i/item/9789240000278</x:v>
      </x:c>
      <x:c r="L114" s="65" t="n">
        <x:v>0</x:v>
      </x:c>
      <x:c r="M114" s="65" t="str">
        <x:v>Machine-suggested near-miss; human review required.</x:v>
      </x:c>
    </x:row>
    <x:row r="115" ht="42" customHeight="1">
      <x:c r="A115" s="65" t="str">
        <x:v>gold30-006</x:v>
      </x:c>
      <x:c r="B115" s="65" t="str">
        <x:v>dense</x:v>
      </x:c>
      <x:c r="C115" s="88" t="n">
        <x:v>5</x:v>
      </x:c>
      <x:c r="D115" s="65" t="str">
        <x:v>clean-air-room</x:v>
      </x:c>
      <x:c r="E115" s="65" t="str">
        <x:v>clean-air-room:structure:0</x:v>
      </x:c>
      <x:c r="F115" s="65" t="str">
        <x:v>p.1</x:v>
      </x:c>
      <x:c r="G115" s="92" t="n">
        <x:v>0.12477209</x:v>
      </x:c>
      <x:c r="H115" s="65" t="str">
        <x:v>Indoor filtration and a clean-air room</x:v>
      </x:c>
      <x:c r="I115" s="65" t="str">
        <x:v>United States Environmental Protection Agency</x:v>
      </x:c>
      <x:c r="J115" s="65" t="str">
        <x:v>Published: not stated; page last updated 2026-02-17 (accessed 2026-09-07) Status as of: 2026-09-07 (technical guidance; not Indonesian law) Document type: indoor_air_guidance Tags: topic=indoor-filtration; audience=household; action=protect-now; pollutant=particles</x:v>
      </x:c>
      <x:c r="K115" s="65" t="str">
        <x:v>https://www.epa.gov/indoor-air-quality-iaq/guide-air-cleaners-home</x:v>
      </x:c>
      <x:c r="L115" s="65" t="n">
        <x:v>0</x:v>
      </x:c>
      <x:c r="M115" s="65" t="str">
        <x:v>Machine-suggested near-miss; human review required.</x:v>
      </x:c>
    </x:row>
    <x:row r="116" ht="42" customHeight="1">
      <x:c r="A116" s="65" t="str">
        <x:v>gold30-006</x:v>
      </x:c>
      <x:c r="B116" s="65" t="str">
        <x:v>hybrid</x:v>
      </x:c>
      <x:c r="C116" s="88" t="n">
        <x:v>1</x:v>
      </x:c>
      <x:c r="D116" s="65" t="str">
        <x:v>ispu</x:v>
      </x:c>
      <x:c r="E116" s="65" t="str">
        <x:v>ispu:structure:1</x:v>
      </x:c>
      <x:c r="F116" s="65" t="str">
        <x:v>p.2</x:v>
      </x:c>
      <x:c r="G116" s="92" t="n">
        <x:v>0.03234631</x:v>
      </x:c>
      <x:c r="H116" s="65" t="str">
        <x:v>Indonesian ISPU categories</x:v>
      </x:c>
      <x:c r="I116" s="65" t="str">
        <x:v>Ministry of Environment and Forestry</x:v>
      </x:c>
      <x:c r="J116" s="65" t="str">
        <x:v>Never describe an ISPU value as a PM2.5 concentration. The application should show the index and the concentration separately.</x:v>
      </x:c>
      <x:c r="K116" s="65" t="str">
        <x:v>https://peraturan.bpk.go.id/Details/163466/permen-lhk-no-14-tahun-2020</x:v>
      </x:c>
      <x:c r="L116" s="65" t="n">
        <x:v>0</x:v>
      </x:c>
      <x:c r="M116" s="65" t="str">
        <x:v>Machine-suggested near-miss; human review required.</x:v>
      </x:c>
    </x:row>
    <x:row r="117" ht="42" customHeight="1">
      <x:c r="A117" s="65" t="str">
        <x:v>gold30-006</x:v>
      </x:c>
      <x:c r="B117" s="65" t="str">
        <x:v>hybrid</x:v>
      </x:c>
      <x:c r="C117" s="88" t="n">
        <x:v>2</x:v>
      </x:c>
      <x:c r="D117" s="65" t="str">
        <x:v>exposure-protection</x:v>
      </x:c>
      <x:c r="E117" s="65" t="str">
        <x:v>exposure-protection:structure:1</x:v>
      </x:c>
      <x:c r="F117" s="65" t="str">
        <x:v>p.2</x:v>
      </x:c>
      <x:c r="G117" s="92" t="n">
        <x:v>0.03181052</x:v>
      </x:c>
      <x:c r="H117" s="65" t="str">
        <x:v>Reducing personal exposure to air pollution</x:v>
      </x:c>
      <x:c r="I117" s="65" t="str">
        <x:v>World Health Organization</x:v>
      </x:c>
      <x:c r="J117"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117" s="65" t="str">
        <x:v>https://www.who.int/publications/i/item/9789240000278</x:v>
      </x:c>
      <x:c r="L117" s="65" t="n">
        <x:v>0</x:v>
      </x:c>
      <x:c r="M117" s="65" t="str">
        <x:v>Machine-suggested near-miss; human review required.</x:v>
      </x:c>
    </x:row>
    <x:row r="118" ht="42" customHeight="1">
      <x:c r="A118" s="65" t="str">
        <x:v>gold30-006</x:v>
      </x:c>
      <x:c r="B118" s="65" t="str">
        <x:v>hybrid</x:v>
      </x:c>
      <x:c r="C118" s="88" t="n">
        <x:v>3</x:v>
      </x:c>
      <x:c r="D118" s="65" t="str">
        <x:v>jakarta-regulations</x:v>
      </x:c>
      <x:c r="E118" s="65" t="str">
        <x:v>jakarta-regulations:structure:0</x:v>
      </x:c>
      <x:c r="F118" s="65" t="str">
        <x:v>p.1</x:v>
      </x:c>
      <x:c r="G118" s="92" t="n">
        <x:v>0.03094437</x:v>
      </x:c>
      <x:c r="H118" s="65" t="str">
        <x:v>Jakarta and Indonesian air-quality regulations</x:v>
      </x:c>
      <x:c r="I118" s="65" t="str">
        <x:v>JDIH DKI Jakarta / Government of Indonesia</x:v>
      </x:c>
      <x:c r="J118"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18" s="65" t="str">
        <x:v>https://udara.jakarta.go.id/regulasi</x:v>
      </x:c>
      <x:c r="L118" s="65" t="n">
        <x:v>3</x:v>
      </x:c>
      <x:c r="M118" s="65" t="str">
        <x:v>Expected source for this question.</x:v>
      </x:c>
    </x:row>
    <x:row r="119" ht="42" customHeight="1">
      <x:c r="A119" s="65" t="str">
        <x:v>gold30-006</x:v>
      </x:c>
      <x:c r="B119" s="65" t="str">
        <x:v>hybrid</x:v>
      </x:c>
      <x:c r="C119" s="88" t="n">
        <x:v>4</x:v>
      </x:c>
      <x:c r="D119" s="65" t="str">
        <x:v>jakarta-historical-city-series</x:v>
      </x:c>
      <x:c r="E119" s="65" t="str">
        <x:v>jakarta-historical-city-series:structure:2</x:v>
      </x:c>
      <x:c r="F119" s="65" t="str">
        <x:v>p.3</x:v>
      </x:c>
      <x:c r="G119" s="92" t="n">
        <x:v>0.03037992</x:v>
      </x:c>
      <x:c r="H119" s="65" t="str">
        <x:v>Jakarta historical PM2.5 and PM10 series: provenance and quality</x:v>
      </x:c>
      <x:c r="I119" s="65" t="str">
        <x:v>Open-Meteo / CAMS Global; deposited dataset by Nitiraj Kulkarni and Jagadish Tawade</x:v>
      </x:c>
      <x:c r="J119"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19" s="65" t="str">
        <x:v>https://zenodo.org/records/18673885</x:v>
      </x:c>
      <x:c r="L119" s="65" t="n">
        <x:v>0</x:v>
      </x:c>
      <x:c r="M119" s="65" t="str">
        <x:v>Machine-suggested near-miss; human review required.</x:v>
      </x:c>
    </x:row>
    <x:row r="120" ht="42" customHeight="1">
      <x:c r="A120" s="65" t="str">
        <x:v>gold30-006</x:v>
      </x:c>
      <x:c r="B120" s="65" t="str">
        <x:v>hybrid</x:v>
      </x:c>
      <x:c r="C120" s="88" t="n">
        <x:v>5</x:v>
      </x:c>
      <x:c r="D120" s="65" t="str">
        <x:v>jakarta-seasonal-exposure</x:v>
      </x:c>
      <x:c r="E120" s="65" t="str">
        <x:v>jakarta-seasonal-exposure:structure:0</x:v>
      </x:c>
      <x:c r="F120" s="65" t="str">
        <x:v>p.1</x:v>
      </x:c>
      <x:c r="G120" s="92" t="n">
        <x:v>0.02885714</x:v>
      </x:c>
      <x:c r="H120" s="65" t="str">
        <x:v>Jakarta timing and local exposure context</x:v>
      </x:c>
      <x:c r="I120" s="65" t="str">
        <x:v>Dinas Lingkungan Hidup DKI Jakarta</x:v>
      </x:c>
      <x:c r="J120" s="65" t="str">
        <x:v>Published: 2024-04-06 Status as of: 2026-09-07 (official seasonal notice; not a current forecast) Document type: official_public_guidance Tags: topic=exposure-protection; audience=Jakarta-resident; action=protect-now; pollutant=PM2.5</x:v>
      </x:c>
      <x:c r="K120" s="65" t="str">
        <x:v>https://lingkunganhidup.jakarta.go.id/detail-artikel/masuki-musim-kemarau-pemprov-dki-minta-masyarakat-waspadai-penurunan-kualitas-udara</x:v>
      </x:c>
      <x:c r="L120" s="65" t="n">
        <x:v>0</x:v>
      </x:c>
      <x:c r="M120" s="65" t="str">
        <x:v>Machine-suggested near-miss; human review required.</x:v>
      </x:c>
    </x:row>
    <x:row r="121" ht="42" customHeight="1">
      <x:c r="A121" s="65" t="str">
        <x:v>gold30-006</x:v>
      </x:c>
      <x:c r="B121" s="65" t="str">
        <x:v>hybrid_rerank</x:v>
      </x:c>
      <x:c r="C121" s="88" t="n">
        <x:v>1</x:v>
      </x:c>
      <x:c r="D121" s="65" t="str">
        <x:v>who-aqg-2021-extract</x:v>
      </x:c>
      <x:c r="E121" s="65" t="str">
        <x:v>who-aqg-2021-extract:structure:2</x:v>
      </x:c>
      <x:c r="F121" s="65" t="str">
        <x:v>p.3</x:v>
      </x:c>
      <x:c r="G121" s="92" t="n">
        <x:v>0.14491803</x:v>
      </x:c>
      <x:c r="H121" s="65" t="str">
        <x:v>WHO Global Air Quality Guidelines (2021) — particulate matter targets</x:v>
      </x:c>
      <x:c r="I121" s="65" t="str">
        <x:v>World Health Organization</x:v>
      </x:c>
      <x:c r="J121"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21" s="65" t="str">
        <x:v>https://www.who.int/publications/i/item/9789240034228</x:v>
      </x:c>
      <x:c r="L121" s="65" t="n">
        <x:v>3</x:v>
      </x:c>
      <x:c r="M121" s="65" t="str">
        <x:v>Expected source for this question.</x:v>
      </x:c>
    </x:row>
    <x:row r="122" ht="42" customHeight="1">
      <x:c r="A122" s="65" t="str">
        <x:v>gold30-006</x:v>
      </x:c>
      <x:c r="B122" s="65" t="str">
        <x:v>hybrid_rerank</x:v>
      </x:c>
      <x:c r="C122" s="88" t="n">
        <x:v>2</x:v>
      </x:c>
      <x:c r="D122" s="65" t="str">
        <x:v>ispu</x:v>
      </x:c>
      <x:c r="E122" s="65" t="str">
        <x:v>ispu:structure:1</x:v>
      </x:c>
      <x:c r="F122" s="65" t="str">
        <x:v>p.2</x:v>
      </x:c>
      <x:c r="G122" s="92" t="n">
        <x:v>0.07970389</x:v>
      </x:c>
      <x:c r="H122" s="65" t="str">
        <x:v>Indonesian ISPU categories</x:v>
      </x:c>
      <x:c r="I122" s="65" t="str">
        <x:v>Ministry of Environment and Forestry</x:v>
      </x:c>
      <x:c r="J122" s="65" t="str">
        <x:v>Never describe an ISPU value as a PM2.5 concentration. The application should show the index and the concentration separately.</x:v>
      </x:c>
      <x:c r="K122" s="65" t="str">
        <x:v>https://peraturan.bpk.go.id/Details/163466/permen-lhk-no-14-tahun-2020</x:v>
      </x:c>
      <x:c r="L122" s="65" t="n">
        <x:v>0</x:v>
      </x:c>
      <x:c r="M122" s="65" t="str">
        <x:v>Machine-suggested near-miss; human review required.</x:v>
      </x:c>
    </x:row>
    <x:row r="123" ht="42" customHeight="1">
      <x:c r="A123" s="65" t="str">
        <x:v>gold30-006</x:v>
      </x:c>
      <x:c r="B123" s="65" t="str">
        <x:v>hybrid_rerank</x:v>
      </x:c>
      <x:c r="C123" s="88" t="n">
        <x:v>3</x:v>
      </x:c>
      <x:c r="D123" s="65" t="str">
        <x:v>exposure-protection</x:v>
      </x:c>
      <x:c r="E123" s="65" t="str">
        <x:v>exposure-protection:structure:1</x:v>
      </x:c>
      <x:c r="F123" s="65" t="str">
        <x:v>p.2</x:v>
      </x:c>
      <x:c r="G123" s="92" t="n">
        <x:v>0.07954315</x:v>
      </x:c>
      <x:c r="H123" s="65" t="str">
        <x:v>Reducing personal exposure to air pollution</x:v>
      </x:c>
      <x:c r="I123" s="65" t="str">
        <x:v>World Health Organization</x:v>
      </x:c>
      <x:c r="J123"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123" s="65" t="str">
        <x:v>https://www.who.int/publications/i/item/9789240000278</x:v>
      </x:c>
      <x:c r="L123" s="65" t="n">
        <x:v>0</x:v>
      </x:c>
      <x:c r="M123" s="65" t="str">
        <x:v>Machine-suggested near-miss; human review required.</x:v>
      </x:c>
    </x:row>
    <x:row r="124" ht="42" customHeight="1">
      <x:c r="A124" s="65" t="str">
        <x:v>gold30-006</x:v>
      </x:c>
      <x:c r="B124" s="65" t="str">
        <x:v>hybrid_rerank</x:v>
      </x:c>
      <x:c r="C124" s="88" t="n">
        <x:v>4</x:v>
      </x:c>
      <x:c r="D124" s="65" t="str">
        <x:v>jakarta-regulations</x:v>
      </x:c>
      <x:c r="E124" s="65" t="str">
        <x:v>jakarta-regulations:structure:0</x:v>
      </x:c>
      <x:c r="F124" s="65" t="str">
        <x:v>p.1</x:v>
      </x:c>
      <x:c r="G124" s="92" t="n">
        <x:v>0.07928331</x:v>
      </x:c>
      <x:c r="H124" s="65" t="str">
        <x:v>Jakarta and Indonesian air-quality regulations</x:v>
      </x:c>
      <x:c r="I124" s="65" t="str">
        <x:v>JDIH DKI Jakarta / Government of Indonesia</x:v>
      </x:c>
      <x:c r="J124"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24" s="65" t="str">
        <x:v>https://udara.jakarta.go.id/regulasi</x:v>
      </x:c>
      <x:c r="L124" s="65" t="n">
        <x:v>3</x:v>
      </x:c>
      <x:c r="M124" s="65" t="str">
        <x:v>Expected source for this question.</x:v>
      </x:c>
    </x:row>
    <x:row r="125" ht="42" customHeight="1">
      <x:c r="A125" s="65" t="str">
        <x:v>gold30-006</x:v>
      </x:c>
      <x:c r="B125" s="65" t="str">
        <x:v>hybrid_rerank</x:v>
      </x:c>
      <x:c r="C125" s="88" t="n">
        <x:v>5</x:v>
      </x:c>
      <x:c r="D125" s="65" t="str">
        <x:v>jakarta-historical-city-series</x:v>
      </x:c>
      <x:c r="E125" s="65" t="str">
        <x:v>jakarta-historical-city-series:structure:2</x:v>
      </x:c>
      <x:c r="F125" s="65" t="str">
        <x:v>p.3</x:v>
      </x:c>
      <x:c r="G125" s="92" t="n">
        <x:v>0.07911398</x:v>
      </x:c>
      <x:c r="H125" s="65" t="str">
        <x:v>Jakarta historical PM2.5 and PM10 series: provenance and quality</x:v>
      </x:c>
      <x:c r="I125" s="65" t="str">
        <x:v>Open-Meteo / CAMS Global; deposited dataset by Nitiraj Kulkarni and Jagadish Tawade</x:v>
      </x:c>
      <x:c r="J125"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25" s="65" t="str">
        <x:v>https://zenodo.org/records/18673885</x:v>
      </x:c>
      <x:c r="L125" s="65" t="n">
        <x:v>0</x:v>
      </x:c>
      <x:c r="M125" s="65" t="str">
        <x:v>Machine-suggested near-miss; human review required.</x:v>
      </x:c>
    </x:row>
    <x:row r="126" ht="42" customHeight="1">
      <x:c r="A126" s="65" t="str">
        <x:v>gold30-007</x:v>
      </x:c>
      <x:c r="B126" s="65" t="str">
        <x:v>bm25</x:v>
      </x:c>
      <x:c r="C126" s="88" t="n">
        <x:v>1</x:v>
      </x:c>
      <x:c r="D126" s="65" t="str">
        <x:v>jakarta-historical-city-series</x:v>
      </x:c>
      <x:c r="E126" s="65" t="str">
        <x:v>jakarta-historical-city-series:structure:2</x:v>
      </x:c>
      <x:c r="F126" s="65" t="str">
        <x:v>p.3</x:v>
      </x:c>
      <x:c r="G126" s="92" t="n">
        <x:v>0.7</x:v>
      </x:c>
      <x:c r="H126" s="65" t="str">
        <x:v>Jakarta historical PM2.5 and PM10 series: provenance and quality</x:v>
      </x:c>
      <x:c r="I126" s="65" t="str">
        <x:v>Open-Meteo / CAMS Global; deposited dataset by Nitiraj Kulkarni and Jagadish Tawade</x:v>
      </x:c>
      <x:c r="J126"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26" s="65" t="str">
        <x:v>https://zenodo.org/records/18673885</x:v>
      </x:c>
      <x:c r="L126" s="65" t="n">
        <x:v>3</x:v>
      </x:c>
      <x:c r="M126" s="65" t="str">
        <x:v>Expected source for this question.</x:v>
      </x:c>
    </x:row>
    <x:row r="127" ht="42" customHeight="1">
      <x:c r="A127" s="65" t="str">
        <x:v>gold30-007</x:v>
      </x:c>
      <x:c r="B127" s="65" t="str">
        <x:v>bm25</x:v>
      </x:c>
      <x:c r="C127" s="88" t="n">
        <x:v>2</x:v>
      </x:c>
      <x:c r="D127" s="65" t="str">
        <x:v>individual-emission-actions</x:v>
      </x:c>
      <x:c r="E127" s="65" t="str">
        <x:v>individual-emission-actions:structure:2</x:v>
      </x:c>
      <x:c r="F127" s="65" t="str">
        <x:v>p.3</x:v>
      </x:c>
      <x:c r="G127" s="92" t="n">
        <x:v>0.4</x:v>
      </x:c>
      <x:c r="H127" s="65" t="str">
        <x:v>What an individual can do to reduce emissions and improve accountability</x:v>
      </x:c>
      <x:c r="I127" s="65" t="str">
        <x:v>World Health Organization; Pemerintah Provinsi DKI Jakarta</x:v>
      </x:c>
      <x:c r="J127"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127" s="65" t="str">
        <x:v>https://www.who.int/europe/publications/m/item/personal-level-actions-to-reduce-air-pollution-exposure</x:v>
      </x:c>
      <x:c r="L127" s="65" t="n">
        <x:v>0</x:v>
      </x:c>
      <x:c r="M127" s="65" t="str">
        <x:v>Machine-suggested near-miss; human review required.</x:v>
      </x:c>
    </x:row>
    <x:row r="128" ht="42" customHeight="1">
      <x:c r="A128" s="65" t="str">
        <x:v>gold30-007</x:v>
      </x:c>
      <x:c r="B128" s="65" t="str">
        <x:v>bm25</x:v>
      </x:c>
      <x:c r="C128" s="88" t="n">
        <x:v>3</x:v>
      </x:c>
      <x:c r="D128" s="65" t="str">
        <x:v>jakarta-causes</x:v>
      </x:c>
      <x:c r="E128" s="65" t="str">
        <x:v>jakarta-causes:structure:0</x:v>
      </x:c>
      <x:c r="F128" s="65" t="str">
        <x:v>p.1</x:v>
      </x:c>
      <x:c r="G128" s="92" t="n">
        <x:v>0.4</x:v>
      </x:c>
      <x:c r="H128" s="65" t="str">
        <x:v>What causes Jakarta air pollution</x:v>
      </x:c>
      <x:c r="I128" s="65" t="str">
        <x:v>Dinas Lingkungan Hidup DKI Jakarta / Vital Strategies / ITB</x:v>
      </x:c>
      <x:c r="J128"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28" s="65" t="str">
        <x:v>https://rendahemisi.jakarta.go.id/learn</x:v>
      </x:c>
      <x:c r="L128" s="65" t="n">
        <x:v>0</x:v>
      </x:c>
      <x:c r="M128" s="65" t="str">
        <x:v>Machine-suggested near-miss; human review required.</x:v>
      </x:c>
    </x:row>
    <x:row r="129" ht="42" customHeight="1">
      <x:c r="A129" s="65" t="str">
        <x:v>gold30-007</x:v>
      </x:c>
      <x:c r="B129" s="65" t="str">
        <x:v>bm25</x:v>
      </x:c>
      <x:c r="C129" s="88" t="n">
        <x:v>4</x:v>
      </x:c>
      <x:c r="D129" s="65" t="str">
        <x:v>policy-improvements-evidence</x:v>
      </x:c>
      <x:c r="E129" s="65" t="str">
        <x:v>policy-improvements-evidence:structure:2</x:v>
      </x:c>
      <x:c r="F129" s="65" t="str">
        <x:v>p.3</x:v>
      </x:c>
      <x:c r="G129" s="92" t="n">
        <x:v>0.4</x:v>
      </x:c>
      <x:c r="H129" s="65" t="str">
        <x:v>Evidence-based policy improvements for Jakarta</x:v>
      </x:c>
      <x:c r="I129" s="65" t="str">
        <x:v>Dinas Lingkungan Hidup DKI Jakarta; World Health Organization</x:v>
      </x:c>
      <x:c r="J129"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29" s="65" t="str">
        <x:v>https://www.jakarta.go.id/siaran-pers/4802-SP-HMS-06-2024</x:v>
      </x:c>
      <x:c r="L129" s="65" t="n">
        <x:v>0</x:v>
      </x:c>
      <x:c r="M129" s="65" t="str">
        <x:v>Machine-suggested near-miss; human review required.</x:v>
      </x:c>
    </x:row>
    <x:row r="130" ht="42" customHeight="1">
      <x:c r="A130" s="65" t="str">
        <x:v>gold30-007</x:v>
      </x:c>
      <x:c r="B130" s="65" t="str">
        <x:v>bm25</x:v>
      </x:c>
      <x:c r="C130" s="88" t="n">
        <x:v>5</x:v>
      </x:c>
      <x:c r="D130" s="65" t="str">
        <x:v>bad-air-day-protection</x:v>
      </x:c>
      <x:c r="E130" s="65" t="str">
        <x:v>bad-air-day-protection:structure:1</x:v>
      </x:c>
      <x:c r="F130" s="65" t="str">
        <x:v>p.2</x:v>
      </x:c>
      <x:c r="G130" s="92" t="n">
        <x:v>0.3</x:v>
      </x:c>
      <x:c r="H130" s="65" t="str">
        <x:v>Bad-air-day protection playbook</x:v>
      </x:c>
      <x:c r="I130" s="65" t="str">
        <x:v>World Health Organization, Regional Office for Europe</x:v>
      </x:c>
      <x:c r="J130"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130" s="65" t="str">
        <x:v>https://www.who.int/news-room/questions-and-answers/item/air-pollution-personal-interventions-and-risk-communication</x:v>
      </x:c>
      <x:c r="L130" s="65" t="n">
        <x:v>0</x:v>
      </x:c>
      <x:c r="M130" s="65" t="str">
        <x:v>Machine-suggested near-miss; human review required.</x:v>
      </x:c>
    </x:row>
    <x:row r="131" ht="42" customHeight="1">
      <x:c r="A131" s="65" t="str">
        <x:v>gold30-007</x:v>
      </x:c>
      <x:c r="B131" s="65" t="str">
        <x:v>dense</x:v>
      </x:c>
      <x:c r="C131" s="88" t="n">
        <x:v>1</x:v>
      </x:c>
      <x:c r="D131" s="65" t="str">
        <x:v>jakarta-monitoring</x:v>
      </x:c>
      <x:c r="E131" s="65" t="str">
        <x:v>jakarta-monitoring:structure:0</x:v>
      </x:c>
      <x:c r="F131" s="65" t="str">
        <x:v>p.1</x:v>
      </x:c>
      <x:c r="G131" s="92" t="n">
        <x:v>0.43216944</x:v>
      </x:c>
      <x:c r="H131" s="65" t="str">
        <x:v>Jakarta monitoring stations</x:v>
      </x:c>
      <x:c r="I131" s="65" t="str">
        <x:v>Dinas Lingkungan Hidup Provinsi DKI Jakarta</x:v>
      </x:c>
      <x:c r="J131" s="65" t="str">
        <x:v>Jakarta's official monitoring portal publishes station locations, pollutant parameters, current readings, and timestamps. A station observation describes that station and observation time; it should not automatically be generalized to all of Jakarta.</x:v>
      </x:c>
      <x:c r="K131" s="65" t="str">
        <x:v>https://udara.jakarta.go.id/lokasi-spku</x:v>
      </x:c>
      <x:c r="L131" s="65" t="n">
        <x:v>0</x:v>
      </x:c>
      <x:c r="M131" s="65" t="str">
        <x:v>Machine-suggested near-miss; human review required.</x:v>
      </x:c>
    </x:row>
    <x:row r="132" ht="42" customHeight="1">
      <x:c r="A132" s="65" t="str">
        <x:v>gold30-007</x:v>
      </x:c>
      <x:c r="B132" s="65" t="str">
        <x:v>dense</x:v>
      </x:c>
      <x:c r="C132" s="88" t="n">
        <x:v>2</x:v>
      </x:c>
      <x:c r="D132" s="65" t="str">
        <x:v>jakarta-causes</x:v>
      </x:c>
      <x:c r="E132" s="65" t="str">
        <x:v>jakarta-causes:structure:0</x:v>
      </x:c>
      <x:c r="F132" s="65" t="str">
        <x:v>p.1</x:v>
      </x:c>
      <x:c r="G132" s="92" t="n">
        <x:v>0.33829663</x:v>
      </x:c>
      <x:c r="H132" s="65" t="str">
        <x:v>What causes Jakarta air pollution</x:v>
      </x:c>
      <x:c r="I132" s="65" t="str">
        <x:v>Dinas Lingkungan Hidup DKI Jakarta / Vital Strategies / ITB</x:v>
      </x:c>
      <x:c r="J13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32" s="65" t="str">
        <x:v>https://rendahemisi.jakarta.go.id/learn</x:v>
      </x:c>
      <x:c r="L132" s="65" t="n">
        <x:v>0</x:v>
      </x:c>
      <x:c r="M132" s="65" t="str">
        <x:v>Machine-suggested near-miss; human review required.</x:v>
      </x:c>
    </x:row>
    <x:row r="133" ht="42" customHeight="1">
      <x:c r="A133" s="65" t="str">
        <x:v>gold30-007</x:v>
      </x:c>
      <x:c r="B133" s="65" t="str">
        <x:v>dense</x:v>
      </x:c>
      <x:c r="C133" s="88" t="n">
        <x:v>3</x:v>
      </x:c>
      <x:c r="D133" s="65" t="str">
        <x:v>jakarta-sppu-official-status-2024</x:v>
      </x:c>
      <x:c r="E133" s="65" t="str">
        <x:v>jakarta-sppu-official-status-2024:structure:1</x:v>
      </x:c>
      <x:c r="F133" s="65" t="str">
        <x:v>p.2</x:v>
      </x:c>
      <x:c r="G133" s="92" t="n">
        <x:v>0.32208016</x:v>
      </x:c>
      <x:c r="H133" s="65" t="str">
        <x:v>Jakarta SPPU and air-quality implementation status (official statement, 2024)</x:v>
      </x:c>
      <x:c r="I133" s="65" t="str">
        <x:v>Pemerintah Provinsi DKI Jakarta / Dinas Lingkungan Hidup DKI Jakarta</x:v>
      </x:c>
      <x:c r="J133"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133" s="65" t="str">
        <x:v>https://www.jakarta.go.id/siaran-pers/4802-SP-HMS-06-2024</x:v>
      </x:c>
      <x:c r="L133" s="65" t="n">
        <x:v>0</x:v>
      </x:c>
      <x:c r="M133" s="65" t="str">
        <x:v>Machine-suggested near-miss; human review required.</x:v>
      </x:c>
    </x:row>
    <x:row r="134" ht="42" customHeight="1">
      <x:c r="A134" s="65" t="str">
        <x:v>gold30-007</x:v>
      </x:c>
      <x:c r="B134" s="65" t="str">
        <x:v>dense</x:v>
      </x:c>
      <x:c r="C134" s="88" t="n">
        <x:v>4</x:v>
      </x:c>
      <x:c r="D134" s="65" t="str">
        <x:v>jakarta-policy-implementation</x:v>
      </x:c>
      <x:c r="E134" s="65" t="str">
        <x:v>jakarta-policy-implementation:structure:0</x:v>
      </x:c>
      <x:c r="F134" s="65" t="str">
        <x:v>p.1</x:v>
      </x:c>
      <x:c r="G134" s="92" t="n">
        <x:v>0.31554814</x:v>
      </x:c>
      <x:c r="H134" s="65" t="str">
        <x:v>Why rules can coexist with poor air: implementation evidence</x:v>
      </x:c>
      <x:c r="I134" s="65" t="str">
        <x:v>Pemerintah Provinsi DKI Jakarta; Dinas Lingkungan Hidup DKI Jakarta; Mahkamah Agung</x:v>
      </x:c>
      <x:c r="J134" s="65" t="str">
        <x:v>Published: 2024-06-19; court record dated 2021-09-16 Status as of: 2026-09-07 (status is date-bounded; verify later changes in JDIH) Document type: implementation_evidence Tags: topic=regulation-implementation; audience=Jakarta-resident; action=accountability; status=implementat…</x:v>
      </x:c>
      <x:c r="K134" s="65" t="str">
        <x:v>https://www.jakarta.go.id/siaran-pers/4802-SP-HMS-06-2024</x:v>
      </x:c>
      <x:c r="L134" s="65" t="n">
        <x:v>0</x:v>
      </x:c>
      <x:c r="M134" s="65" t="str">
        <x:v>Machine-suggested near-miss; human review required.</x:v>
      </x:c>
    </x:row>
    <x:row r="135" ht="42" customHeight="1">
      <x:c r="A135" s="65" t="str">
        <x:v>gold30-007</x:v>
      </x:c>
      <x:c r="B135" s="65" t="str">
        <x:v>dense</x:v>
      </x:c>
      <x:c r="C135" s="88" t="n">
        <x:v>5</x:v>
      </x:c>
      <x:c r="D135" s="65" t="str">
        <x:v>jakarta-improvements</x:v>
      </x:c>
      <x:c r="E135" s="65" t="str">
        <x:v>jakarta-improvements:structure:0</x:v>
      </x:c>
      <x:c r="F135" s="65" t="str">
        <x:v>p.1</x:v>
      </x:c>
      <x:c r="G135" s="92" t="n">
        <x:v>0.31405923</x:v>
      </x:c>
      <x:c r="H135" s="65" t="str">
        <x:v>Ways to improve Jakarta air quality</x:v>
      </x:c>
      <x:c r="I135" s="65" t="str">
        <x:v>Pemerintah Provinsi DKI Jakarta / Dinas Lingkungan Hidup</x:v>
      </x:c>
      <x:c r="J135"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135" s="65" t="str">
        <x:v>https://www.jakarta.go.id/page/upaya-bersama-jaga-kualitas-udara-jakarta</x:v>
      </x:c>
      <x:c r="L135" s="65" t="n">
        <x:v>0</x:v>
      </x:c>
      <x:c r="M135" s="65" t="str">
        <x:v>Machine-suggested near-miss; human review required.</x:v>
      </x:c>
    </x:row>
    <x:row r="136" ht="42" customHeight="1">
      <x:c r="A136" s="65" t="str">
        <x:v>gold30-007</x:v>
      </x:c>
      <x:c r="B136" s="65" t="str">
        <x:v>hybrid</x:v>
      </x:c>
      <x:c r="C136" s="88" t="n">
        <x:v>1</x:v>
      </x:c>
      <x:c r="D136" s="65" t="str">
        <x:v>jakarta-causes</x:v>
      </x:c>
      <x:c r="E136" s="65" t="str">
        <x:v>jakarta-causes:structure:0</x:v>
      </x:c>
      <x:c r="F136" s="65" t="str">
        <x:v>p.1</x:v>
      </x:c>
      <x:c r="G136" s="92" t="n">
        <x:v>0.03232463</x:v>
      </x:c>
      <x:c r="H136" s="65" t="str">
        <x:v>What causes Jakarta air pollution</x:v>
      </x:c>
      <x:c r="I136" s="65" t="str">
        <x:v>Dinas Lingkungan Hidup DKI Jakarta / Vital Strategies / ITB</x:v>
      </x:c>
      <x:c r="J136"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36" s="65" t="str">
        <x:v>https://rendahemisi.jakarta.go.id/learn</x:v>
      </x:c>
      <x:c r="L136" s="65" t="n">
        <x:v>0</x:v>
      </x:c>
      <x:c r="M136" s="65" t="str">
        <x:v>Machine-suggested near-miss; human review required.</x:v>
      </x:c>
    </x:row>
    <x:row r="137" ht="42" customHeight="1">
      <x:c r="A137" s="65" t="str">
        <x:v>gold30-007</x:v>
      </x:c>
      <x:c r="B137" s="65" t="str">
        <x:v>hybrid</x:v>
      </x:c>
      <x:c r="C137" s="88" t="n">
        <x:v>2</x:v>
      </x:c>
      <x:c r="D137" s="65" t="str">
        <x:v>jakarta-monitoring</x:v>
      </x:c>
      <x:c r="E137" s="65" t="str">
        <x:v>jakarta-monitoring:structure:0</x:v>
      </x:c>
      <x:c r="F137" s="65" t="str">
        <x:v>p.1</x:v>
      </x:c>
      <x:c r="G137" s="92" t="n">
        <x:v>0.03187283</x:v>
      </x:c>
      <x:c r="H137" s="65" t="str">
        <x:v>Jakarta monitoring stations</x:v>
      </x:c>
      <x:c r="I137" s="65" t="str">
        <x:v>Dinas Lingkungan Hidup Provinsi DKI Jakarta</x:v>
      </x:c>
      <x:c r="J137" s="65" t="str">
        <x:v>Jakarta's official monitoring portal publishes station locations, pollutant parameters, current readings, and timestamps. A station observation describes that station and observation time; it should not automatically be generalized to all of Jakarta.</x:v>
      </x:c>
      <x:c r="K137" s="65" t="str">
        <x:v>https://udara.jakarta.go.id/lokasi-spku</x:v>
      </x:c>
      <x:c r="L137" s="65" t="n">
        <x:v>0</x:v>
      </x:c>
      <x:c r="M137" s="65" t="str">
        <x:v>Machine-suggested near-miss; human review required.</x:v>
      </x:c>
    </x:row>
    <x:row r="138" ht="42" customHeight="1">
      <x:c r="A138" s="65" t="str">
        <x:v>gold30-007</x:v>
      </x:c>
      <x:c r="B138" s="65" t="str">
        <x:v>hybrid</x:v>
      </x:c>
      <x:c r="C138" s="88" t="n">
        <x:v>3</x:v>
      </x:c>
      <x:c r="D138" s="65" t="str">
        <x:v>jakarta-historical-city-series</x:v>
      </x:c>
      <x:c r="E138" s="65" t="str">
        <x:v>jakarta-historical-city-series:structure:2</x:v>
      </x:c>
      <x:c r="F138" s="65" t="str">
        <x:v>p.3</x:v>
      </x:c>
      <x:c r="G138" s="92" t="n">
        <x:v>0.03096487</x:v>
      </x:c>
      <x:c r="H138" s="65" t="str">
        <x:v>Jakarta historical PM2.5 and PM10 series: provenance and quality</x:v>
      </x:c>
      <x:c r="I138" s="65" t="str">
        <x:v>Open-Meteo / CAMS Global; deposited dataset by Nitiraj Kulkarni and Jagadish Tawade</x:v>
      </x:c>
      <x:c r="J138"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38" s="65" t="str">
        <x:v>https://zenodo.org/records/18673885</x:v>
      </x:c>
      <x:c r="L138" s="65" t="n">
        <x:v>3</x:v>
      </x:c>
      <x:c r="M138" s="65" t="str">
        <x:v>Expected source for this question.</x:v>
      </x:c>
    </x:row>
    <x:row r="139" ht="42" customHeight="1">
      <x:c r="A139" s="65" t="str">
        <x:v>gold30-007</x:v>
      </x:c>
      <x:c r="B139" s="65" t="str">
        <x:v>hybrid</x:v>
      </x:c>
      <x:c r="C139" s="88" t="n">
        <x:v>4</x:v>
      </x:c>
      <x:c r="D139" s="65" t="str">
        <x:v>jakarta-seasonal-exposure</x:v>
      </x:c>
      <x:c r="E139" s="65" t="str">
        <x:v>jakarta-seasonal-exposure:structure:0</x:v>
      </x:c>
      <x:c r="F139" s="65" t="str">
        <x:v>p.1</x:v>
      </x:c>
      <x:c r="G139" s="92" t="n">
        <x:v>0.03037992</x:v>
      </x:c>
      <x:c r="H139" s="65" t="str">
        <x:v>Jakarta timing and local exposure context</x:v>
      </x:c>
      <x:c r="I139" s="65" t="str">
        <x:v>Dinas Lingkungan Hidup DKI Jakarta</x:v>
      </x:c>
      <x:c r="J139" s="65" t="str">
        <x:v>Published: 2024-04-06 Status as of: 2026-09-07 (official seasonal notice; not a current forecast) Document type: official_public_guidance Tags: topic=exposure-protection; audience=Jakarta-resident; action=protect-now; pollutant=PM2.5</x:v>
      </x:c>
      <x:c r="K139" s="65" t="str">
        <x:v>https://lingkunganhidup.jakarta.go.id/detail-artikel/masuki-musim-kemarau-pemprov-dki-minta-masyarakat-waspadai-penurunan-kualitas-udara</x:v>
      </x:c>
      <x:c r="L139" s="65" t="n">
        <x:v>0</x:v>
      </x:c>
      <x:c r="M139" s="65" t="str">
        <x:v>Machine-suggested near-miss; human review required.</x:v>
      </x:c>
    </x:row>
    <x:row r="140" ht="42" customHeight="1">
      <x:c r="A140" s="65" t="str">
        <x:v>gold30-007</x:v>
      </x:c>
      <x:c r="B140" s="65" t="str">
        <x:v>hybrid</x:v>
      </x:c>
      <x:c r="C140" s="88" t="n">
        <x:v>5</x:v>
      </x:c>
      <x:c r="D140" s="65" t="str">
        <x:v>jakarta-sppu-official-status-2024</x:v>
      </x:c>
      <x:c r="E140" s="65" t="str">
        <x:v>jakarta-sppu-official-status-2024:structure:1</x:v>
      </x:c>
      <x:c r="F140" s="65" t="str">
        <x:v>p.2</x:v>
      </x:c>
      <x:c r="G140" s="92" t="n">
        <x:v>0.01619048</x:v>
      </x:c>
      <x:c r="H140" s="65" t="str">
        <x:v>Jakarta SPPU and air-quality implementation status (official statement, 2024)</x:v>
      </x:c>
      <x:c r="I140" s="65" t="str">
        <x:v>Pemerintah Provinsi DKI Jakarta / Dinas Lingkungan Hidup DKI Jakarta</x:v>
      </x:c>
      <x:c r="J140"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140" s="65" t="str">
        <x:v>https://www.jakarta.go.id/siaran-pers/4802-SP-HMS-06-2024</x:v>
      </x:c>
      <x:c r="L140" s="65" t="n">
        <x:v>0</x:v>
      </x:c>
      <x:c r="M140" s="65" t="str">
        <x:v>Machine-suggested near-miss; human review required.</x:v>
      </x:c>
    </x:row>
    <x:row r="141" ht="42" customHeight="1">
      <x:c r="A141" s="65" t="str">
        <x:v>gold30-007</x:v>
      </x:c>
      <x:c r="B141" s="65" t="str">
        <x:v>hybrid_rerank</x:v>
      </x:c>
      <x:c r="C141" s="88" t="n">
        <x:v>1</x:v>
      </x:c>
      <x:c r="D141" s="65" t="str">
        <x:v>jakarta-historical-city-series</x:v>
      </x:c>
      <x:c r="E141" s="65" t="str">
        <x:v>jakarta-historical-city-series:structure:2</x:v>
      </x:c>
      <x:c r="F141" s="65" t="str">
        <x:v>p.3</x:v>
      </x:c>
      <x:c r="G141" s="92" t="n">
        <x:v>0.49928946</x:v>
      </x:c>
      <x:c r="H141" s="65" t="str">
        <x:v>Jakarta historical PM2.5 and PM10 series: provenance and quality</x:v>
      </x:c>
      <x:c r="I141" s="65" t="str">
        <x:v>Open-Meteo / CAMS Global; deposited dataset by Nitiraj Kulkarni and Jagadish Tawade</x:v>
      </x:c>
      <x:c r="J141"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41" s="65" t="str">
        <x:v>https://zenodo.org/records/18673885</x:v>
      </x:c>
      <x:c r="L141" s="65" t="n">
        <x:v>3</x:v>
      </x:c>
      <x:c r="M141" s="65" t="str">
        <x:v>Expected source for this question.</x:v>
      </x:c>
    </x:row>
    <x:row r="142" ht="42" customHeight="1">
      <x:c r="A142" s="65" t="str">
        <x:v>gold30-007</x:v>
      </x:c>
      <x:c r="B142" s="65" t="str">
        <x:v>hybrid_rerank</x:v>
      </x:c>
      <x:c r="C142" s="88" t="n">
        <x:v>2</x:v>
      </x:c>
      <x:c r="D142" s="65" t="str">
        <x:v>jakarta-causes</x:v>
      </x:c>
      <x:c r="E142" s="65" t="str">
        <x:v>jakarta-causes:structure:0</x:v>
      </x:c>
      <x:c r="F142" s="65" t="str">
        <x:v>p.1</x:v>
      </x:c>
      <x:c r="G142" s="92" t="n">
        <x:v>0.28969739</x:v>
      </x:c>
      <x:c r="H142" s="65" t="str">
        <x:v>What causes Jakarta air pollution</x:v>
      </x:c>
      <x:c r="I142" s="65" t="str">
        <x:v>Dinas Lingkungan Hidup DKI Jakarta / Vital Strategies / ITB</x:v>
      </x:c>
      <x:c r="J14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42" s="65" t="str">
        <x:v>https://rendahemisi.jakarta.go.id/learn</x:v>
      </x:c>
      <x:c r="L142" s="65" t="n">
        <x:v>0</x:v>
      </x:c>
      <x:c r="M142" s="65" t="str">
        <x:v>Machine-suggested near-miss; human review required.</x:v>
      </x:c>
    </x:row>
    <x:row r="143" ht="42" customHeight="1">
      <x:c r="A143" s="65" t="str">
        <x:v>gold30-007</x:v>
      </x:c>
      <x:c r="B143" s="65" t="str">
        <x:v>hybrid_rerank</x:v>
      </x:c>
      <x:c r="C143" s="88" t="n">
        <x:v>3</x:v>
      </x:c>
      <x:c r="D143" s="65" t="str">
        <x:v>individual-emission-actions</x:v>
      </x:c>
      <x:c r="E143" s="65" t="str">
        <x:v>individual-emission-actions:structure:2</x:v>
      </x:c>
      <x:c r="F143" s="65" t="str">
        <x:v>p.3</x:v>
      </x:c>
      <x:c r="G143" s="92" t="n">
        <x:v>0.28483871</x:v>
      </x:c>
      <x:c r="H143" s="65" t="str">
        <x:v>What an individual can do to reduce emissions and improve accountability</x:v>
      </x:c>
      <x:c r="I143" s="65" t="str">
        <x:v>World Health Organization; Pemerintah Provinsi DKI Jakarta</x:v>
      </x:c>
      <x:c r="J143"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143" s="65" t="str">
        <x:v>https://www.who.int/europe/publications/m/item/personal-level-actions-to-reduce-air-pollution-exposure</x:v>
      </x:c>
      <x:c r="L143" s="65" t="n">
        <x:v>0</x:v>
      </x:c>
      <x:c r="M143" s="65" t="str">
        <x:v>Machine-suggested near-miss; human review required.</x:v>
      </x:c>
    </x:row>
    <x:row r="144" ht="42" customHeight="1">
      <x:c r="A144" s="65" t="str">
        <x:v>gold30-007</x:v>
      </x:c>
      <x:c r="B144" s="65" t="str">
        <x:v>hybrid_rerank</x:v>
      </x:c>
      <x:c r="C144" s="88" t="n">
        <x:v>4</x:v>
      </x:c>
      <x:c r="D144" s="65" t="str">
        <x:v>policy-improvements-evidence</x:v>
      </x:c>
      <x:c r="E144" s="65" t="str">
        <x:v>policy-improvements-evidence:structure:2</x:v>
      </x:c>
      <x:c r="F144" s="65" t="str">
        <x:v>p.3</x:v>
      </x:c>
      <x:c r="G144" s="92" t="n">
        <x:v>0.2846875</x:v>
      </x:c>
      <x:c r="H144" s="65" t="str">
        <x:v>Evidence-based policy improvements for Jakarta</x:v>
      </x:c>
      <x:c r="I144" s="65" t="str">
        <x:v>Dinas Lingkungan Hidup DKI Jakarta; World Health Organization</x:v>
      </x:c>
      <x:c r="J144"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44" s="65" t="str">
        <x:v>https://www.jakarta.go.id/siaran-pers/4802-SP-HMS-06-2024</x:v>
      </x:c>
      <x:c r="L144" s="65" t="n">
        <x:v>0</x:v>
      </x:c>
      <x:c r="M144" s="65" t="str">
        <x:v>Machine-suggested near-miss; human review required.</x:v>
      </x:c>
    </x:row>
    <x:row r="145" ht="42" customHeight="1">
      <x:c r="A145" s="65" t="str">
        <x:v>gold30-007</x:v>
      </x:c>
      <x:c r="B145" s="65" t="str">
        <x:v>hybrid_rerank</x:v>
      </x:c>
      <x:c r="C145" s="88" t="n">
        <x:v>5</x:v>
      </x:c>
      <x:c r="D145" s="65" t="str">
        <x:v>jakarta-monitoring</x:v>
      </x:c>
      <x:c r="E145" s="65" t="str">
        <x:v>jakarta-monitoring:structure:0</x:v>
      </x:c>
      <x:c r="F145" s="65" t="str">
        <x:v>p.1</x:v>
      </x:c>
      <x:c r="G145" s="92" t="n">
        <x:v>0.21956185</x:v>
      </x:c>
      <x:c r="H145" s="65" t="str">
        <x:v>Jakarta monitoring stations</x:v>
      </x:c>
      <x:c r="I145" s="65" t="str">
        <x:v>Dinas Lingkungan Hidup Provinsi DKI Jakarta</x:v>
      </x:c>
      <x:c r="J145" s="65" t="str">
        <x:v>Jakarta's official monitoring portal publishes station locations, pollutant parameters, current readings, and timestamps. A station observation describes that station and observation time; it should not automatically be generalized to all of Jakarta.</x:v>
      </x:c>
      <x:c r="K145" s="65" t="str">
        <x:v>https://udara.jakarta.go.id/lokasi-spku</x:v>
      </x:c>
      <x:c r="L145" s="65" t="n">
        <x:v>0</x:v>
      </x:c>
      <x:c r="M145" s="65" t="str">
        <x:v>Machine-suggested near-miss; human review required.</x:v>
      </x:c>
    </x:row>
    <x:row r="146" ht="42" customHeight="1">
      <x:c r="A146" s="65" t="str">
        <x:v>gold30-008</x:v>
      </x:c>
      <x:c r="B146" s="65" t="str">
        <x:v>bm25</x:v>
      </x:c>
      <x:c r="C146" s="88" t="n">
        <x:v>1</x:v>
      </x:c>
      <x:c r="D146" s="65" t="str">
        <x:v>jakarta-historical-city-series</x:v>
      </x:c>
      <x:c r="E146" s="65" t="str">
        <x:v>jakarta-historical-city-series:structure:2</x:v>
      </x:c>
      <x:c r="F146" s="65" t="str">
        <x:v>p.3</x:v>
      </x:c>
      <x:c r="G146" s="92" t="n">
        <x:v>0.5</x:v>
      </x:c>
      <x:c r="H146" s="65" t="str">
        <x:v>Jakarta historical PM2.5 and PM10 series: provenance and quality</x:v>
      </x:c>
      <x:c r="I146" s="65" t="str">
        <x:v>Open-Meteo / CAMS Global; deposited dataset by Nitiraj Kulkarni and Jagadish Tawade</x:v>
      </x:c>
      <x:c r="J146"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46" s="65" t="str">
        <x:v>https://zenodo.org/records/18673885</x:v>
      </x:c>
      <x:c r="L146" s="65" t="n">
        <x:v>3</x:v>
      </x:c>
      <x:c r="M146" s="65" t="str">
        <x:v>Expected source for this question.</x:v>
      </x:c>
    </x:row>
    <x:row r="147" ht="42" customHeight="1">
      <x:c r="A147" s="65" t="str">
        <x:v>gold30-008</x:v>
      </x:c>
      <x:c r="B147" s="65" t="str">
        <x:v>bm25</x:v>
      </x:c>
      <x:c r="C147" s="88" t="n">
        <x:v>2</x:v>
      </x:c>
      <x:c r="D147" s="65" t="str">
        <x:v>who-aqg-2021-extract</x:v>
      </x:c>
      <x:c r="E147" s="65" t="str">
        <x:v>who-aqg-2021-extract:structure:2</x:v>
      </x:c>
      <x:c r="F147" s="65" t="str">
        <x:v>p.3</x:v>
      </x:c>
      <x:c r="G147" s="92" t="n">
        <x:v>0.5</x:v>
      </x:c>
      <x:c r="H147" s="65" t="str">
        <x:v>WHO Global Air Quality Guidelines (2021) — particulate matter targets</x:v>
      </x:c>
      <x:c r="I147" s="65" t="str">
        <x:v>World Health Organization</x:v>
      </x:c>
      <x:c r="J147"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47" s="65" t="str">
        <x:v>https://www.who.int/publications/i/item/9789240034228</x:v>
      </x:c>
      <x:c r="L147" s="65" t="n">
        <x:v>0</x:v>
      </x:c>
      <x:c r="M147" s="65" t="str">
        <x:v>Machine-suggested near-miss; human review required.</x:v>
      </x:c>
    </x:row>
    <x:row r="148" ht="42" customHeight="1">
      <x:c r="A148" s="65" t="str">
        <x:v>gold30-008</x:v>
      </x:c>
      <x:c r="B148" s="65" t="str">
        <x:v>bm25</x:v>
      </x:c>
      <x:c r="C148" s="88" t="n">
        <x:v>3</x:v>
      </x:c>
      <x:c r="D148" s="65" t="str">
        <x:v>jakarta-causes</x:v>
      </x:c>
      <x:c r="E148" s="65" t="str">
        <x:v>jakarta-causes:structure:0</x:v>
      </x:c>
      <x:c r="F148" s="65" t="str">
        <x:v>p.1</x:v>
      </x:c>
      <x:c r="G148" s="92" t="n">
        <x:v>0.33333333</x:v>
      </x:c>
      <x:c r="H148" s="65" t="str">
        <x:v>What causes Jakarta air pollution</x:v>
      </x:c>
      <x:c r="I148" s="65" t="str">
        <x:v>Dinas Lingkungan Hidup DKI Jakarta / Vital Strategies / ITB</x:v>
      </x:c>
      <x:c r="J148"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48" s="65" t="str">
        <x:v>https://rendahemisi.jakarta.go.id/learn</x:v>
      </x:c>
      <x:c r="L148" s="65" t="n">
        <x:v>0</x:v>
      </x:c>
      <x:c r="M148" s="65" t="str">
        <x:v>Machine-suggested near-miss; human review required.</x:v>
      </x:c>
    </x:row>
    <x:row r="149" ht="42" customHeight="1">
      <x:c r="A149" s="65" t="str">
        <x:v>gold30-008</x:v>
      </x:c>
      <x:c r="B149" s="65" t="str">
        <x:v>bm25</x:v>
      </x:c>
      <x:c r="C149" s="88" t="n">
        <x:v>4</x:v>
      </x:c>
      <x:c r="D149" s="65" t="str">
        <x:v>policy-improvements-evidence</x:v>
      </x:c>
      <x:c r="E149" s="65" t="str">
        <x:v>policy-improvements-evidence:structure:2</x:v>
      </x:c>
      <x:c r="F149" s="65" t="str">
        <x:v>p.3</x:v>
      </x:c>
      <x:c r="G149" s="92" t="n">
        <x:v>0.33333333</x:v>
      </x:c>
      <x:c r="H149" s="65" t="str">
        <x:v>Evidence-based policy improvements for Jakarta</x:v>
      </x:c>
      <x:c r="I149" s="65" t="str">
        <x:v>Dinas Lingkungan Hidup DKI Jakarta; World Health Organization</x:v>
      </x:c>
      <x:c r="J149"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49" s="65" t="str">
        <x:v>https://www.jakarta.go.id/siaran-pers/4802-SP-HMS-06-2024</x:v>
      </x:c>
      <x:c r="L149" s="65" t="n">
        <x:v>0</x:v>
      </x:c>
      <x:c r="M149" s="65" t="str">
        <x:v>Machine-suggested near-miss; human review required.</x:v>
      </x:c>
    </x:row>
    <x:row r="150" ht="42" customHeight="1">
      <x:c r="A150" s="65" t="str">
        <x:v>gold30-008</x:v>
      </x:c>
      <x:c r="B150" s="65" t="str">
        <x:v>bm25</x:v>
      </x:c>
      <x:c r="C150" s="88" t="n">
        <x:v>5</x:v>
      </x:c>
      <x:c r="D150" s="65" t="str">
        <x:v>who-guidance</x:v>
      </x:c>
      <x:c r="E150" s="65" t="str">
        <x:v>who-guidance:structure:0</x:v>
      </x:c>
      <x:c r="F150" s="65" t="str">
        <x:v>p.1</x:v>
      </x:c>
      <x:c r="G150" s="92" t="n">
        <x:v>0.33333333</x:v>
      </x:c>
      <x:c r="H150" s="65" t="str">
        <x:v>WHO air-quality guideline context</x:v>
      </x:c>
      <x:c r="I150" s="65" t="str">
        <x:v>World Health Organization</x:v>
      </x:c>
      <x:c r="J150"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50" s="65" t="str">
        <x:v>https://www.who.int/publications/i/item/9789240034228</x:v>
      </x:c>
      <x:c r="L150" s="65" t="n">
        <x:v>0</x:v>
      </x:c>
      <x:c r="M150" s="65" t="str">
        <x:v>Machine-suggested near-miss; human review required.</x:v>
      </x:c>
    </x:row>
    <x:row r="151" ht="42" customHeight="1">
      <x:c r="A151" s="65" t="str">
        <x:v>gold30-008</x:v>
      </x:c>
      <x:c r="B151" s="65" t="str">
        <x:v>dense</x:v>
      </x:c>
      <x:c r="C151" s="88" t="n">
        <x:v>1</x:v>
      </x:c>
      <x:c r="D151" s="65" t="str">
        <x:v>jakarta-historical-city-series</x:v>
      </x:c>
      <x:c r="E151" s="65" t="str">
        <x:v>jakarta-historical-city-series:structure:2</x:v>
      </x:c>
      <x:c r="F151" s="65" t="str">
        <x:v>p.3</x:v>
      </x:c>
      <x:c r="G151" s="92" t="n">
        <x:v>0.18831515</x:v>
      </x:c>
      <x:c r="H151" s="65" t="str">
        <x:v>Jakarta historical PM2.5 and PM10 series: provenance and quality</x:v>
      </x:c>
      <x:c r="I151" s="65" t="str">
        <x:v>Open-Meteo / CAMS Global; deposited dataset by Nitiraj Kulkarni and Jagadish Tawade</x:v>
      </x:c>
      <x:c r="J151"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51" s="65" t="str">
        <x:v>https://zenodo.org/records/18673885</x:v>
      </x:c>
      <x:c r="L151" s="65" t="n">
        <x:v>3</x:v>
      </x:c>
      <x:c r="M151" s="65" t="str">
        <x:v>Expected source for this question.</x:v>
      </x:c>
    </x:row>
    <x:row r="152" ht="42" customHeight="1">
      <x:c r="A152" s="65" t="str">
        <x:v>gold30-008</x:v>
      </x:c>
      <x:c r="B152" s="65" t="str">
        <x:v>dense</x:v>
      </x:c>
      <x:c r="C152" s="88" t="n">
        <x:v>2</x:v>
      </x:c>
      <x:c r="D152" s="65" t="str">
        <x:v>jakarta-causes</x:v>
      </x:c>
      <x:c r="E152" s="65" t="str">
        <x:v>jakarta-causes:structure:0</x:v>
      </x:c>
      <x:c r="F152" s="65" t="str">
        <x:v>p.1</x:v>
      </x:c>
      <x:c r="G152" s="92" t="n">
        <x:v>0.1050555</x:v>
      </x:c>
      <x:c r="H152" s="65" t="str">
        <x:v>What causes Jakarta air pollution</x:v>
      </x:c>
      <x:c r="I152" s="65" t="str">
        <x:v>Dinas Lingkungan Hidup DKI Jakarta / Vital Strategies / ITB</x:v>
      </x:c>
      <x:c r="J15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52" s="65" t="str">
        <x:v>https://rendahemisi.jakarta.go.id/learn</x:v>
      </x:c>
      <x:c r="L152" s="65" t="n">
        <x:v>0</x:v>
      </x:c>
      <x:c r="M152" s="65" t="str">
        <x:v>Machine-suggested near-miss; human review required.</x:v>
      </x:c>
    </x:row>
    <x:row r="153" ht="42" customHeight="1">
      <x:c r="A153" s="65" t="str">
        <x:v>gold30-008</x:v>
      </x:c>
      <x:c r="B153" s="65" t="str">
        <x:v>dense</x:v>
      </x:c>
      <x:c r="C153" s="88" t="n">
        <x:v>3</x:v>
      </x:c>
      <x:c r="D153" s="65" t="str">
        <x:v>who-guidance</x:v>
      </x:c>
      <x:c r="E153" s="65" t="str">
        <x:v>who-guidance:structure:0</x:v>
      </x:c>
      <x:c r="F153" s="65" t="str">
        <x:v>p.1</x:v>
      </x:c>
      <x:c r="G153" s="92" t="n">
        <x:v>0.10338515</x:v>
      </x:c>
      <x:c r="H153" s="65" t="str">
        <x:v>WHO air-quality guideline context</x:v>
      </x:c>
      <x:c r="I153" s="65" t="str">
        <x:v>World Health Organization</x:v>
      </x:c>
      <x:c r="J153"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53" s="65" t="str">
        <x:v>https://www.who.int/publications/i/item/9789240034228</x:v>
      </x:c>
      <x:c r="L153" s="65" t="n">
        <x:v>0</x:v>
      </x:c>
      <x:c r="M153" s="65" t="str">
        <x:v>Machine-suggested near-miss; human review required.</x:v>
      </x:c>
    </x:row>
    <x:row r="154" ht="42" customHeight="1">
      <x:c r="A154" s="65" t="str">
        <x:v>gold30-008</x:v>
      </x:c>
      <x:c r="B154" s="65" t="str">
        <x:v>dense</x:v>
      </x:c>
      <x:c r="C154" s="88" t="n">
        <x:v>4</x:v>
      </x:c>
      <x:c r="D154" s="65" t="str">
        <x:v>jakarta-sppu-official-status-2024</x:v>
      </x:c>
      <x:c r="E154" s="65" t="str">
        <x:v>jakarta-sppu-official-status-2024:structure:0</x:v>
      </x:c>
      <x:c r="F154" s="65" t="str">
        <x:v>p.1</x:v>
      </x:c>
      <x:c r="G154" s="92" t="n">
        <x:v>0.09823353</x:v>
      </x:c>
      <x:c r="H154" s="65" t="str">
        <x:v>Jakarta SPPU and air-quality implementation status (official statement, 2024)</x:v>
      </x:c>
      <x:c r="I154" s="65" t="str">
        <x:v>Pemerintah Provinsi DKI Jakarta / Dinas Lingkungan Hidup DKI Jakarta</x:v>
      </x:c>
      <x:c r="J154" s="65" t="str">
        <x:v>The 19 June 2024 DKI statement is implementation evidence about air-quality management and the SPPU context. It is not an enacted statute or an ambient standard. Its date must remain attached to claims about what the administration reported.</x:v>
      </x:c>
      <x:c r="K154" s="65" t="str">
        <x:v>https://www.jakarta.go.id/siaran-pers/4802-SP-HMS-06-2024</x:v>
      </x:c>
      <x:c r="L154" s="65" t="n">
        <x:v>0</x:v>
      </x:c>
      <x:c r="M154" s="65" t="str">
        <x:v>Machine-suggested near-miss; human review required.</x:v>
      </x:c>
    </x:row>
    <x:row r="155" ht="42" customHeight="1">
      <x:c r="A155" s="65" t="str">
        <x:v>gold30-008</x:v>
      </x:c>
      <x:c r="B155" s="65" t="str">
        <x:v>dense</x:v>
      </x:c>
      <x:c r="C155" s="88" t="n">
        <x:v>5</x:v>
      </x:c>
      <x:c r="D155" s="65" t="str">
        <x:v>pergub-66-2020-vehicle-testing</x:v>
      </x:c>
      <x:c r="E155" s="65" t="str">
        <x:v>pergub-66-2020-vehicle-testing:structure:0</x:v>
      </x:c>
      <x:c r="F155" s="65" t="str">
        <x:v>p.1</x:v>
      </x:c>
      <x:c r="G155" s="92" t="n">
        <x:v>0.0972709</x:v>
      </x:c>
      <x:c r="H155" s="65" t="str">
        <x:v>Pergub DKI Jakarta No. 66 Tahun 2020 — motor-vehicle emission testing</x:v>
      </x:c>
      <x:c r="I155" s="65" t="str">
        <x:v>Pemerintah Provinsi DKI Jakarta / Database Peraturan BPK</x:v>
      </x:c>
      <x:c r="J155" s="65" t="str">
        <x:v>Peraturan Gubernur Provinsi DKI Jakarta Nomor 66 Tahun 2020 is titled Uji Emisi Gas Buang Kendaraan Bermotor. The BPK record gives the adoption date as 22 July 2020, promulgation date as 24 July 2020, and effective date as 24 December 2020.</x:v>
      </x:c>
      <x:c r="K155" s="65" t="str">
        <x:v>https://peraturan.bpk.go.id/Details/153923/pergub-prov-dki-jakarta-no-66-tahun-2020</x:v>
      </x:c>
      <x:c r="L155" s="65" t="n">
        <x:v>0</x:v>
      </x:c>
      <x:c r="M155" s="65" t="str">
        <x:v>Machine-suggested near-miss; human review required.</x:v>
      </x:c>
    </x:row>
    <x:row r="156" ht="42" customHeight="1">
      <x:c r="A156" s="65" t="str">
        <x:v>gold30-008</x:v>
      </x:c>
      <x:c r="B156" s="65" t="str">
        <x:v>hybrid</x:v>
      </x:c>
      <x:c r="C156" s="88" t="n">
        <x:v>1</x:v>
      </x:c>
      <x:c r="D156" s="65" t="str">
        <x:v>jakarta-historical-city-series</x:v>
      </x:c>
      <x:c r="E156" s="65" t="str">
        <x:v>jakarta-historical-city-series:structure:2</x:v>
      </x:c>
      <x:c r="F156" s="65" t="str">
        <x:v>p.3</x:v>
      </x:c>
      <x:c r="G156" s="92" t="n">
        <x:v>0.03311475</x:v>
      </x:c>
      <x:c r="H156" s="65" t="str">
        <x:v>Jakarta historical PM2.5 and PM10 series: provenance and quality</x:v>
      </x:c>
      <x:c r="I156" s="65" t="str">
        <x:v>Open-Meteo / CAMS Global; deposited dataset by Nitiraj Kulkarni and Jagadish Tawade</x:v>
      </x:c>
      <x:c r="J156"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56" s="65" t="str">
        <x:v>https://zenodo.org/records/18673885</x:v>
      </x:c>
      <x:c r="L156" s="65" t="n">
        <x:v>3</x:v>
      </x:c>
      <x:c r="M156" s="65" t="str">
        <x:v>Expected source for this question.</x:v>
      </x:c>
    </x:row>
    <x:row r="157" ht="42" customHeight="1">
      <x:c r="A157" s="65" t="str">
        <x:v>gold30-008</x:v>
      </x:c>
      <x:c r="B157" s="65" t="str">
        <x:v>hybrid</x:v>
      </x:c>
      <x:c r="C157" s="88" t="n">
        <x:v>2</x:v>
      </x:c>
      <x:c r="D157" s="65" t="str">
        <x:v>jakarta-causes</x:v>
      </x:c>
      <x:c r="E157" s="65" t="str">
        <x:v>jakarta-causes:structure:0</x:v>
      </x:c>
      <x:c r="F157" s="65" t="str">
        <x:v>p.1</x:v>
      </x:c>
      <x:c r="G157" s="92" t="n">
        <x:v>0.03232463</x:v>
      </x:c>
      <x:c r="H157" s="65" t="str">
        <x:v>What causes Jakarta air pollution</x:v>
      </x:c>
      <x:c r="I157" s="65" t="str">
        <x:v>Dinas Lingkungan Hidup DKI Jakarta / Vital Strategies / ITB</x:v>
      </x:c>
      <x:c r="J157"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57" s="65" t="str">
        <x:v>https://rendahemisi.jakarta.go.id/learn</x:v>
      </x:c>
      <x:c r="L157" s="65" t="n">
        <x:v>0</x:v>
      </x:c>
      <x:c r="M157" s="65" t="str">
        <x:v>Machine-suggested near-miss; human review required.</x:v>
      </x:c>
    </x:row>
    <x:row r="158" ht="42" customHeight="1">
      <x:c r="A158" s="65" t="str">
        <x:v>gold30-008</x:v>
      </x:c>
      <x:c r="B158" s="65" t="str">
        <x:v>hybrid</x:v>
      </x:c>
      <x:c r="C158" s="88" t="n">
        <x:v>3</x:v>
      </x:c>
      <x:c r="D158" s="65" t="str">
        <x:v>who-guidance</x:v>
      </x:c>
      <x:c r="E158" s="65" t="str">
        <x:v>who-guidance:structure:0</x:v>
      </x:c>
      <x:c r="F158" s="65" t="str">
        <x:v>p.1</x:v>
      </x:c>
      <x:c r="G158" s="92" t="n">
        <x:v>0.03157509</x:v>
      </x:c>
      <x:c r="H158" s="65" t="str">
        <x:v>WHO air-quality guideline context</x:v>
      </x:c>
      <x:c r="I158" s="65" t="str">
        <x:v>World Health Organization</x:v>
      </x:c>
      <x:c r="J158"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58" s="65" t="str">
        <x:v>https://www.who.int/publications/i/item/9789240034228</x:v>
      </x:c>
      <x:c r="L158" s="65" t="n">
        <x:v>0</x:v>
      </x:c>
      <x:c r="M158" s="65" t="str">
        <x:v>Machine-suggested near-miss; human review required.</x:v>
      </x:c>
    </x:row>
    <x:row r="159" ht="42" customHeight="1">
      <x:c r="A159" s="65" t="str">
        <x:v>gold30-008</x:v>
      </x:c>
      <x:c r="B159" s="65" t="str">
        <x:v>hybrid</x:v>
      </x:c>
      <x:c r="C159" s="88" t="n">
        <x:v>4</x:v>
      </x:c>
      <x:c r="D159" s="65" t="str">
        <x:v>who-aqg-2021-extract</x:v>
      </x:c>
      <x:c r="E159" s="65" t="str">
        <x:v>who-aqg-2021-extract:structure:2</x:v>
      </x:c>
      <x:c r="F159" s="65" t="str">
        <x:v>p.3</x:v>
      </x:c>
      <x:c r="G159" s="92" t="n">
        <x:v>0.01612903</x:v>
      </x:c>
      <x:c r="H159" s="65" t="str">
        <x:v>WHO Global Air Quality Guidelines (2021) — particulate matter targets</x:v>
      </x:c>
      <x:c r="I159" s="65" t="str">
        <x:v>World Health Organization</x:v>
      </x:c>
      <x:c r="J159"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59" s="65" t="str">
        <x:v>https://www.who.int/publications/i/item/9789240034228</x:v>
      </x:c>
      <x:c r="L159" s="65" t="n">
        <x:v>0</x:v>
      </x:c>
      <x:c r="M159" s="65" t="str">
        <x:v>Machine-suggested near-miss; human review required.</x:v>
      </x:c>
    </x:row>
    <x:row r="160" ht="42" customHeight="1">
      <x:c r="A160" s="65" t="str">
        <x:v>gold30-008</x:v>
      </x:c>
      <x:c r="B160" s="65" t="str">
        <x:v>hybrid</x:v>
      </x:c>
      <x:c r="C160" s="88" t="n">
        <x:v>5</x:v>
      </x:c>
      <x:c r="D160" s="65" t="str">
        <x:v>jakarta-sppu-official-status-2024</x:v>
      </x:c>
      <x:c r="E160" s="65" t="str">
        <x:v>jakarta-sppu-official-status-2024:structure:0</x:v>
      </x:c>
      <x:c r="F160" s="65" t="str">
        <x:v>p.1</x:v>
      </x:c>
      <x:c r="G160" s="92" t="n">
        <x:v>0.0159375</x:v>
      </x:c>
      <x:c r="H160" s="65" t="str">
        <x:v>Jakarta SPPU and air-quality implementation status (official statement, 2024)</x:v>
      </x:c>
      <x:c r="I160" s="65" t="str">
        <x:v>Pemerintah Provinsi DKI Jakarta / Dinas Lingkungan Hidup DKI Jakarta</x:v>
      </x:c>
      <x:c r="J160" s="65" t="str">
        <x:v>The 19 June 2024 DKI statement is implementation evidence about air-quality management and the SPPU context. It is not an enacted statute or an ambient standard. Its date must remain attached to claims about what the administration reported.</x:v>
      </x:c>
      <x:c r="K160" s="65" t="str">
        <x:v>https://www.jakarta.go.id/siaran-pers/4802-SP-HMS-06-2024</x:v>
      </x:c>
      <x:c r="L160" s="65" t="n">
        <x:v>0</x:v>
      </x:c>
      <x:c r="M160" s="65" t="str">
        <x:v>Machine-suggested near-miss; human review required.</x:v>
      </x:c>
    </x:row>
    <x:row r="161" ht="42" customHeight="1">
      <x:c r="A161" s="65" t="str">
        <x:v>gold30-008</x:v>
      </x:c>
      <x:c r="B161" s="65" t="str">
        <x:v>hybrid_rerank</x:v>
      </x:c>
      <x:c r="C161" s="88" t="n">
        <x:v>1</x:v>
      </x:c>
      <x:c r="D161" s="65" t="str">
        <x:v>jakarta-historical-city-series</x:v>
      </x:c>
      <x:c r="E161" s="65" t="str">
        <x:v>jakarta-historical-city-series:structure:2</x:v>
      </x:c>
      <x:c r="F161" s="65" t="str">
        <x:v>p.3</x:v>
      </x:c>
      <x:c r="G161" s="92" t="n">
        <x:v>0.35993443</x:v>
      </x:c>
      <x:c r="H161" s="65" t="str">
        <x:v>Jakarta historical PM2.5 and PM10 series: provenance and quality</x:v>
      </x:c>
      <x:c r="I161" s="65" t="str">
        <x:v>Open-Meteo / CAMS Global; deposited dataset by Nitiraj Kulkarni and Jagadish Tawade</x:v>
      </x:c>
      <x:c r="J161"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61" s="65" t="str">
        <x:v>https://zenodo.org/records/18673885</x:v>
      </x:c>
      <x:c r="L161" s="65" t="n">
        <x:v>3</x:v>
      </x:c>
      <x:c r="M161" s="65" t="str">
        <x:v>Expected source for this question.</x:v>
      </x:c>
    </x:row>
    <x:row r="162" ht="42" customHeight="1">
      <x:c r="A162" s="65" t="str">
        <x:v>gold30-008</x:v>
      </x:c>
      <x:c r="B162" s="65" t="str">
        <x:v>hybrid_rerank</x:v>
      </x:c>
      <x:c r="C162" s="88" t="n">
        <x:v>2</x:v>
      </x:c>
      <x:c r="D162" s="65" t="str">
        <x:v>who-aqg-2021-extract</x:v>
      </x:c>
      <x:c r="E162" s="65" t="str">
        <x:v>who-aqg-2021-extract:structure:2</x:v>
      </x:c>
      <x:c r="F162" s="65" t="str">
        <x:v>p.3</x:v>
      </x:c>
      <x:c r="G162" s="92" t="n">
        <x:v>0.35483871</x:v>
      </x:c>
      <x:c r="H162" s="65" t="str">
        <x:v>WHO Global Air Quality Guidelines (2021) — particulate matter targets</x:v>
      </x:c>
      <x:c r="I162" s="65" t="str">
        <x:v>World Health Organization</x:v>
      </x:c>
      <x:c r="J162"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62" s="65" t="str">
        <x:v>https://www.who.int/publications/i/item/9789240034228</x:v>
      </x:c>
      <x:c r="L162" s="65" t="n">
        <x:v>0</x:v>
      </x:c>
      <x:c r="M162" s="65" t="str">
        <x:v>Machine-suggested near-miss; human review required.</x:v>
      </x:c>
    </x:row>
    <x:row r="163" ht="42" customHeight="1">
      <x:c r="A163" s="65" t="str">
        <x:v>gold30-008</x:v>
      </x:c>
      <x:c r="B163" s="65" t="str">
        <x:v>hybrid_rerank</x:v>
      </x:c>
      <x:c r="C163" s="88" t="n">
        <x:v>3</x:v>
      </x:c>
      <x:c r="D163" s="65" t="str">
        <x:v>jakarta-causes</x:v>
      </x:c>
      <x:c r="E163" s="65" t="str">
        <x:v>jakarta-causes:structure:0</x:v>
      </x:c>
      <x:c r="F163" s="65" t="str">
        <x:v>p.1</x:v>
      </x:c>
      <x:c r="G163" s="92" t="n">
        <x:v>0.24303072</x:v>
      </x:c>
      <x:c r="H163" s="65" t="str">
        <x:v>What causes Jakarta air pollution</x:v>
      </x:c>
      <x:c r="I163" s="65" t="str">
        <x:v>Dinas Lingkungan Hidup DKI Jakarta / Vital Strategies / ITB</x:v>
      </x:c>
      <x:c r="J163"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63" s="65" t="str">
        <x:v>https://rendahemisi.jakarta.go.id/learn</x:v>
      </x:c>
      <x:c r="L163" s="65" t="n">
        <x:v>0</x:v>
      </x:c>
      <x:c r="M163" s="65" t="str">
        <x:v>Machine-suggested near-miss; human review required.</x:v>
      </x:c>
    </x:row>
    <x:row r="164" ht="42" customHeight="1">
      <x:c r="A164" s="65" t="str">
        <x:v>gold30-008</x:v>
      </x:c>
      <x:c r="B164" s="65" t="str">
        <x:v>hybrid_rerank</x:v>
      </x:c>
      <x:c r="C164" s="88" t="n">
        <x:v>4</x:v>
      </x:c>
      <x:c r="D164" s="65" t="str">
        <x:v>who-guidance</x:v>
      </x:c>
      <x:c r="E164" s="65" t="str">
        <x:v>who-guidance:structure:0</x:v>
      </x:c>
      <x:c r="F164" s="65" t="str">
        <x:v>p.1</x:v>
      </x:c>
      <x:c r="G164" s="92" t="n">
        <x:v>0.24280586</x:v>
      </x:c>
      <x:c r="H164" s="65" t="str">
        <x:v>WHO air-quality guideline context</x:v>
      </x:c>
      <x:c r="I164" s="65" t="str">
        <x:v>World Health Organization</x:v>
      </x:c>
      <x:c r="J164"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64" s="65" t="str">
        <x:v>https://www.who.int/publications/i/item/9789240034228</x:v>
      </x:c>
      <x:c r="L164" s="65" t="n">
        <x:v>0</x:v>
      </x:c>
      <x:c r="M164" s="65" t="str">
        <x:v>Machine-suggested near-miss; human review required.</x:v>
      </x:c>
    </x:row>
    <x:row r="165" ht="42" customHeight="1">
      <x:c r="A165" s="65" t="str">
        <x:v>gold30-008</x:v>
      </x:c>
      <x:c r="B165" s="65" t="str">
        <x:v>hybrid_rerank</x:v>
      </x:c>
      <x:c r="C165" s="88" t="n">
        <x:v>5</x:v>
      </x:c>
      <x:c r="D165" s="65" t="str">
        <x:v>policy-improvements-evidence</x:v>
      </x:c>
      <x:c r="E165" s="65" t="str">
        <x:v>policy-improvements-evidence:structure:2</x:v>
      </x:c>
      <x:c r="F165" s="65" t="str">
        <x:v>p.3</x:v>
      </x:c>
      <x:c r="G165" s="92" t="n">
        <x:v>0.23802083</x:v>
      </x:c>
      <x:c r="H165" s="65" t="str">
        <x:v>Evidence-based policy improvements for Jakarta</x:v>
      </x:c>
      <x:c r="I165" s="65" t="str">
        <x:v>Dinas Lingkungan Hidup DKI Jakarta; World Health Organization</x:v>
      </x:c>
      <x:c r="J165"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65" s="65" t="str">
        <x:v>https://www.jakarta.go.id/siaran-pers/4802-SP-HMS-06-2024</x:v>
      </x:c>
      <x:c r="L165" s="65" t="n">
        <x:v>0</x:v>
      </x:c>
      <x:c r="M165" s="65" t="str">
        <x:v>Machine-suggested near-miss; human review required.</x:v>
      </x:c>
    </x:row>
    <x:row r="166" ht="42" customHeight="1">
      <x:c r="A166" s="65" t="str">
        <x:v>gold30-009</x:v>
      </x:c>
      <x:c r="B166" s="65" t="str">
        <x:v>bm25</x:v>
      </x:c>
      <x:c r="C166" s="88" t="n">
        <x:v>1</x:v>
      </x:c>
      <x:c r="D166" s="65" t="str">
        <x:v>jakarta-policy-implementation</x:v>
      </x:c>
      <x:c r="E166" s="65" t="str">
        <x:v>jakarta-policy-implementation:structure:1</x:v>
      </x:c>
      <x:c r="F166" s="65" t="str">
        <x:v>p.2</x:v>
      </x:c>
      <x:c r="G166" s="92" t="n">
        <x:v>0.33333333</x:v>
      </x:c>
      <x:c r="H166" s="65" t="str">
        <x:v>Why rules can coexist with poor air: implementation evidence</x:v>
      </x:c>
      <x:c r="I166" s="65" t="str">
        <x:v>Pemerintah Provinsi DKI Jakarta; Dinas Lingkungan Hidup DKI Jakarta; Mahkamah Agung</x:v>
      </x:c>
      <x:c r="J166"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166" s="65" t="str">
        <x:v>https://www.jakarta.go.id/siaran-pers/4802-SP-HMS-06-2024</x:v>
      </x:c>
      <x:c r="L166" s="65" t="n">
        <x:v>0</x:v>
      </x:c>
      <x:c r="M166" s="65" t="str">
        <x:v>Machine-suggested near-miss; human review required.</x:v>
      </x:c>
    </x:row>
    <x:row r="167" ht="42" customHeight="1">
      <x:c r="A167" s="65" t="str">
        <x:v>gold30-009</x:v>
      </x:c>
      <x:c r="B167" s="65" t="str">
        <x:v>bm25</x:v>
      </x:c>
      <x:c r="C167" s="88" t="n">
        <x:v>2</x:v>
      </x:c>
      <x:c r="D167" s="65" t="str">
        <x:v>pp-22-2021-air-quality</x:v>
      </x:c>
      <x:c r="E167" s="65" t="str">
        <x:v>pp-22-2021-air-quality:structure:3</x:v>
      </x:c>
      <x:c r="F167" s="65" t="str">
        <x:v>p.4</x:v>
      </x:c>
      <x:c r="G167" s="92" t="n">
        <x:v>0.33333333</x:v>
      </x:c>
      <x:c r="H167" s="65" t="str">
        <x:v>PP No. 22 Tahun 2021 — environmental protection and ambient air quality</x:v>
      </x:c>
      <x:c r="I167" s="65" t="str">
        <x:v>Pemerintah Republik Indonesia / Database Peraturan BPK</x:v>
      </x:c>
      <x:c r="J167" s="65" t="str">
        <x:v>The lampiran is the controlling locator for numeric ambient standards. A response must not substitute an ISPU category for an ambient concentration standard, and must identify the pollutant and averaging time before comparing a measurement.</x:v>
      </x:c>
      <x:c r="K167" s="65" t="str">
        <x:v>https://peraturan.bpk.go.id/Details/161852/pp-no-22tahun-2021</x:v>
      </x:c>
      <x:c r="L167" s="65" t="n">
        <x:v>0</x:v>
      </x:c>
      <x:c r="M167" s="65" t="str">
        <x:v>Machine-suggested near-miss; human review required.</x:v>
      </x:c>
    </x:row>
    <x:row r="168" ht="42" customHeight="1">
      <x:c r="A168" s="65" t="str">
        <x:v>gold30-009</x:v>
      </x:c>
      <x:c r="B168" s="65" t="str">
        <x:v>bm25</x:v>
      </x:c>
      <x:c r="C168" s="88" t="n">
        <x:v>3</x:v>
      </x:c>
      <x:c r="D168" s="65" t="str">
        <x:v>who-aqg-2021-extract</x:v>
      </x:c>
      <x:c r="E168" s="65" t="str">
        <x:v>who-aqg-2021-extract:structure:2</x:v>
      </x:c>
      <x:c r="F168" s="65" t="str">
        <x:v>p.3</x:v>
      </x:c>
      <x:c r="G168" s="92" t="n">
        <x:v>0.33333333</x:v>
      </x:c>
      <x:c r="H168" s="65" t="str">
        <x:v>WHO Global Air Quality Guidelines (2021) — particulate matter targets</x:v>
      </x:c>
      <x:c r="I168" s="65" t="str">
        <x:v>World Health Organization</x:v>
      </x:c>
      <x:c r="J168"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68" s="65" t="str">
        <x:v>https://www.who.int/publications/i/item/9789240034228</x:v>
      </x:c>
      <x:c r="L168" s="65" t="n">
        <x:v>3</x:v>
      </x:c>
      <x:c r="M168" s="65" t="str">
        <x:v>Expected source for this question.</x:v>
      </x:c>
    </x:row>
    <x:row r="169" ht="42" customHeight="1">
      <x:c r="A169" s="65" t="str">
        <x:v>gold30-009</x:v>
      </x:c>
      <x:c r="B169" s="65" t="str">
        <x:v>bm25</x:v>
      </x:c>
      <x:c r="C169" s="88" t="n">
        <x:v>4</x:v>
      </x:c>
      <x:c r="D169" s="65" t="str">
        <x:v>jakarta-regulations</x:v>
      </x:c>
      <x:c r="E169" s="65" t="str">
        <x:v>jakarta-regulations:structure:0</x:v>
      </x:c>
      <x:c r="F169" s="65" t="str">
        <x:v>p.1</x:v>
      </x:c>
      <x:c r="G169" s="92" t="n">
        <x:v>0.22222222</x:v>
      </x:c>
      <x:c r="H169" s="65" t="str">
        <x:v>Jakarta and Indonesian air-quality regulations</x:v>
      </x:c>
      <x:c r="I169" s="65" t="str">
        <x:v>JDIH DKI Jakarta / Government of Indonesia</x:v>
      </x:c>
      <x:c r="J169"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69" s="65" t="str">
        <x:v>https://udara.jakarta.go.id/regulasi</x:v>
      </x:c>
      <x:c r="L169" s="65" t="n">
        <x:v>0</x:v>
      </x:c>
      <x:c r="M169" s="65" t="str">
        <x:v>Machine-suggested near-miss; human review required.</x:v>
      </x:c>
    </x:row>
    <x:row r="170" ht="42" customHeight="1">
      <x:c r="A170" s="65" t="str">
        <x:v>gold30-009</x:v>
      </x:c>
      <x:c r="B170" s="65" t="str">
        <x:v>bm25</x:v>
      </x:c>
      <x:c r="C170" s="88" t="n">
        <x:v>5</x:v>
      </x:c>
      <x:c r="D170" s="65" t="str">
        <x:v>ma-jakarta-air-lawsuit-record</x:v>
      </x:c>
      <x:c r="E170" s="65" t="str">
        <x:v>ma-jakarta-air-lawsuit-record:structure:0</x:v>
      </x:c>
      <x:c r="F170" s="65" t="str">
        <x:v>p.1</x:v>
      </x:c>
      <x:c r="G170" s="92" t="n">
        <x:v>0.22222222</x:v>
      </x:c>
      <x:c r="H170" s="65" t="str">
        <x:v>Mahkamah Agung record — Jakarta air-pollution citizen lawsuit</x:v>
      </x:c>
      <x:c r="I170" s="65" t="str">
        <x:v>Mahkamah Agung Republik Indonesia</x:v>
      </x:c>
      <x:c r="J170"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170" s="65" t="str">
        <x:v>https://putusan3.mahkamahagung.go.id/pengadilan/profil/pengadilan/pn-jakarta-pusat.html</x:v>
      </x:c>
      <x:c r="L170" s="65" t="n">
        <x:v>0</x:v>
      </x:c>
      <x:c r="M170" s="65" t="str">
        <x:v>Machine-suggested near-miss; human review required.</x:v>
      </x:c>
    </x:row>
    <x:row r="171" ht="42" customHeight="1">
      <x:c r="A171" s="65" t="str">
        <x:v>gold30-009</x:v>
      </x:c>
      <x:c r="B171" s="65" t="str">
        <x:v>dense</x:v>
      </x:c>
      <x:c r="C171" s="88" t="n">
        <x:v>1</x:v>
      </x:c>
      <x:c r="D171" s="65" t="str">
        <x:v>who-aqg-2021-extract</x:v>
      </x:c>
      <x:c r="E171" s="65" t="str">
        <x:v>who-aqg-2021-extract:structure:2</x:v>
      </x:c>
      <x:c r="F171" s="65" t="str">
        <x:v>p.3</x:v>
      </x:c>
      <x:c r="G171" s="92" t="n">
        <x:v>0.28563727</x:v>
      </x:c>
      <x:c r="H171" s="65" t="str">
        <x:v>WHO Global Air Quality Guidelines (2021) — particulate matter targets</x:v>
      </x:c>
      <x:c r="I171" s="65" t="str">
        <x:v>World Health Organization</x:v>
      </x:c>
      <x:c r="J171"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71" s="65" t="str">
        <x:v>https://www.who.int/publications/i/item/9789240034228</x:v>
      </x:c>
      <x:c r="L171" s="65" t="n">
        <x:v>3</x:v>
      </x:c>
      <x:c r="M171" s="65" t="str">
        <x:v>Expected source for this question.</x:v>
      </x:c>
    </x:row>
    <x:row r="172" ht="42" customHeight="1">
      <x:c r="A172" s="65" t="str">
        <x:v>gold30-009</x:v>
      </x:c>
      <x:c r="B172" s="65" t="str">
        <x:v>dense</x:v>
      </x:c>
      <x:c r="C172" s="88" t="n">
        <x:v>2</x:v>
      </x:c>
      <x:c r="D172" s="65" t="str">
        <x:v>who-guidance</x:v>
      </x:c>
      <x:c r="E172" s="65" t="str">
        <x:v>who-guidance:structure:0</x:v>
      </x:c>
      <x:c r="F172" s="65" t="str">
        <x:v>p.1</x:v>
      </x:c>
      <x:c r="G172" s="92" t="n">
        <x:v>0.2132645</x:v>
      </x:c>
      <x:c r="H172" s="65" t="str">
        <x:v>WHO air-quality guideline context</x:v>
      </x:c>
      <x:c r="I172" s="65" t="str">
        <x:v>World Health Organization</x:v>
      </x:c>
      <x:c r="J172"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72" s="65" t="str">
        <x:v>https://www.who.int/publications/i/item/9789240034228</x:v>
      </x:c>
      <x:c r="L172" s="65" t="n">
        <x:v>0</x:v>
      </x:c>
      <x:c r="M172" s="65" t="str">
        <x:v>Machine-suggested near-miss; human review required.</x:v>
      </x:c>
    </x:row>
    <x:row r="173" ht="42" customHeight="1">
      <x:c r="A173" s="65" t="str">
        <x:v>gold30-009</x:v>
      </x:c>
      <x:c r="B173" s="65" t="str">
        <x:v>dense</x:v>
      </x:c>
      <x:c r="C173" s="88" t="n">
        <x:v>3</x:v>
      </x:c>
      <x:c r="D173" s="65" t="str">
        <x:v>ispu</x:v>
      </x:c>
      <x:c r="E173" s="65" t="str">
        <x:v>ispu:structure:0</x:v>
      </x:c>
      <x:c r="F173" s="65" t="str">
        <x:v>p.1</x:v>
      </x:c>
      <x:c r="G173" s="92" t="n">
        <x:v>0.18963794</x:v>
      </x:c>
      <x:c r="H173" s="65" t="str">
        <x:v>Indonesian ISPU categories</x:v>
      </x:c>
      <x:c r="I173" s="65" t="str">
        <x:v>Ministry of Environment and Forestry</x:v>
      </x:c>
      <x:c r="J173" s="65" t="str">
        <x:v>The Indonesian ISPU categories used in this demo are Baik (1-50), Sedang (51-100), Tidak Sehat (101-200), Sangat Tidak Sehat (201-300), and Berbahaya (301 or higher). ISPU is an index without a physical concentration unit.</x:v>
      </x:c>
      <x:c r="K173" s="65" t="str">
        <x:v>https://peraturan.bpk.go.id/Details/163466/permen-lhk-no-14-tahun-2020</x:v>
      </x:c>
      <x:c r="L173" s="65" t="n">
        <x:v>3</x:v>
      </x:c>
      <x:c r="M173" s="65" t="str">
        <x:v>Expected source for this question.</x:v>
      </x:c>
    </x:row>
    <x:row r="174" ht="42" customHeight="1">
      <x:c r="A174" s="65" t="str">
        <x:v>gold30-009</x:v>
      </x:c>
      <x:c r="B174" s="65" t="str">
        <x:v>dense</x:v>
      </x:c>
      <x:c r="C174" s="88" t="n">
        <x:v>4</x:v>
      </x:c>
      <x:c r="D174" s="65" t="str">
        <x:v>epa-air-cleaners-home-2026</x:v>
      </x:c>
      <x:c r="E174" s="65" t="str">
        <x:v>epa-air-cleaners-home-2026:structure:2</x:v>
      </x:c>
      <x:c r="F174" s="65" t="str">
        <x:v>p.3</x:v>
      </x:c>
      <x:c r="G174" s="92" t="n">
        <x:v>0.16906503</x:v>
      </x:c>
      <x:c r="H174" s="65" t="str">
        <x:v>US EPA Guide to Air Cleaners in the Home (2nd edition)</x:v>
      </x:c>
      <x:c r="I174" s="65" t="str">
        <x:v>United States Environmental Protection Agency</x:v>
      </x:c>
      <x:c r="J174" s="65" t="str">
        <x:v>The guide discusses higher-efficiency HVAC filters, including MERV 13 where the system can accommodate the pressure drop. Compatibility, fit, operating time and maintenance affect delivered filtration; a filter rating alone does not guarantee a measured indoor concentration.</x:v>
      </x:c>
      <x:c r="K174" s="65" t="str">
        <x:v>https://www.epa.gov/indoor-air-quality-iaq/guide-air-cleaners-home</x:v>
      </x:c>
      <x:c r="L174" s="65" t="n">
        <x:v>0</x:v>
      </x:c>
      <x:c r="M174" s="65" t="str">
        <x:v>Machine-suggested near-miss; human review required.</x:v>
      </x:c>
    </x:row>
    <x:row r="175" ht="42" customHeight="1">
      <x:c r="A175" s="65" t="str">
        <x:v>gold30-009</x:v>
      </x:c>
      <x:c r="B175" s="65" t="str">
        <x:v>dense</x:v>
      </x:c>
      <x:c r="C175" s="88" t="n">
        <x:v>5</x:v>
      </x:c>
      <x:c r="D175" s="65" t="str">
        <x:v>jakarta-historical-city-series</x:v>
      </x:c>
      <x:c r="E175" s="65" t="str">
        <x:v>jakarta-historical-city-series:structure:1</x:v>
      </x:c>
      <x:c r="F175" s="65" t="str">
        <x:v>p.2</x:v>
      </x:c>
      <x:c r="G175" s="92" t="n">
        <x:v>0.15113945</x:v>
      </x:c>
      <x:c r="H175" s="65" t="str">
        <x:v>Jakarta historical PM2.5 and PM10 series: provenance and quality</x:v>
      </x:c>
      <x:c r="I175" s="65" t="str">
        <x:v>Open-Meteo / CAMS Global; deposited dataset by Nitiraj Kulkarni and Jagadish Tawade</x:v>
      </x:c>
      <x:c r="J175"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175" s="65" t="str">
        <x:v>https://zenodo.org/records/18673885</x:v>
      </x:c>
      <x:c r="L175" s="65" t="n">
        <x:v>0</x:v>
      </x:c>
      <x:c r="M175" s="65" t="str">
        <x:v>Machine-suggested near-miss; human review required.</x:v>
      </x:c>
    </x:row>
    <x:row r="176" ht="42" customHeight="1">
      <x:c r="A176" s="65" t="str">
        <x:v>gold30-009</x:v>
      </x:c>
      <x:c r="B176" s="65" t="str">
        <x:v>hybrid</x:v>
      </x:c>
      <x:c r="C176" s="88" t="n">
        <x:v>1</x:v>
      </x:c>
      <x:c r="D176" s="65" t="str">
        <x:v>who-aqg-2021-extract</x:v>
      </x:c>
      <x:c r="E176" s="65" t="str">
        <x:v>who-aqg-2021-extract:structure:2</x:v>
      </x:c>
      <x:c r="F176" s="65" t="str">
        <x:v>p.3</x:v>
      </x:c>
      <x:c r="G176" s="92" t="n">
        <x:v>0.03259433</x:v>
      </x:c>
      <x:c r="H176" s="65" t="str">
        <x:v>WHO Global Air Quality Guidelines (2021) — particulate matter targets</x:v>
      </x:c>
      <x:c r="I176" s="65" t="str">
        <x:v>World Health Organization</x:v>
      </x:c>
      <x:c r="J176"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76" s="65" t="str">
        <x:v>https://www.who.int/publications/i/item/9789240034228</x:v>
      </x:c>
      <x:c r="L176" s="65" t="n">
        <x:v>3</x:v>
      </x:c>
      <x:c r="M176" s="65" t="str">
        <x:v>Expected source for this question.</x:v>
      </x:c>
    </x:row>
    <x:row r="177" ht="42" customHeight="1">
      <x:c r="A177" s="65" t="str">
        <x:v>gold30-009</x:v>
      </x:c>
      <x:c r="B177" s="65" t="str">
        <x:v>hybrid</x:v>
      </x:c>
      <x:c r="C177" s="88" t="n">
        <x:v>2</x:v>
      </x:c>
      <x:c r="D177" s="65" t="str">
        <x:v>jakarta-policy-implementation</x:v>
      </x:c>
      <x:c r="E177" s="65" t="str">
        <x:v>jakarta-policy-implementation:structure:1</x:v>
      </x:c>
      <x:c r="F177" s="65" t="str">
        <x:v>p.2</x:v>
      </x:c>
      <x:c r="G177" s="92" t="n">
        <x:v>0.03139344</x:v>
      </x:c>
      <x:c r="H177" s="65" t="str">
        <x:v>Why rules can coexist with poor air: implementation evidence</x:v>
      </x:c>
      <x:c r="I177" s="65" t="str">
        <x:v>Pemerintah Provinsi DKI Jakarta; Dinas Lingkungan Hidup DKI Jakarta; Mahkamah Agung</x:v>
      </x:c>
      <x:c r="J177"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177" s="65" t="str">
        <x:v>https://www.jakarta.go.id/siaran-pers/4802-SP-HMS-06-2024</x:v>
      </x:c>
      <x:c r="L177" s="65" t="n">
        <x:v>0</x:v>
      </x:c>
      <x:c r="M177" s="65" t="str">
        <x:v>Machine-suggested near-miss; human review required.</x:v>
      </x:c>
    </x:row>
    <x:row r="178" ht="42" customHeight="1">
      <x:c r="A178" s="65" t="str">
        <x:v>gold30-009</x:v>
      </x:c>
      <x:c r="B178" s="65" t="str">
        <x:v>hybrid</x:v>
      </x:c>
      <x:c r="C178" s="88" t="n">
        <x:v>3</x:v>
      </x:c>
      <x:c r="D178" s="65" t="str">
        <x:v>ispu</x:v>
      </x:c>
      <x:c r="E178" s="65" t="str">
        <x:v>ispu:structure:0</x:v>
      </x:c>
      <x:c r="F178" s="65" t="str">
        <x:v>p.1</x:v>
      </x:c>
      <x:c r="G178" s="92" t="n">
        <x:v>0.03089636</x:v>
      </x:c>
      <x:c r="H178" s="65" t="str">
        <x:v>Indonesian ISPU categories</x:v>
      </x:c>
      <x:c r="I178" s="65" t="str">
        <x:v>Ministry of Environment and Forestry</x:v>
      </x:c>
      <x:c r="J178" s="65" t="str">
        <x:v>The Indonesian ISPU categories used in this demo are Baik (1-50), Sedang (51-100), Tidak Sehat (101-200), Sangat Tidak Sehat (201-300), and Berbahaya (301 or higher). ISPU is an index without a physical concentration unit.</x:v>
      </x:c>
      <x:c r="K178" s="65" t="str">
        <x:v>https://peraturan.bpk.go.id/Details/163466/permen-lhk-no-14-tahun-2020</x:v>
      </x:c>
      <x:c r="L178" s="65" t="n">
        <x:v>3</x:v>
      </x:c>
      <x:c r="M178" s="65" t="str">
        <x:v>Expected source for this question.</x:v>
      </x:c>
    </x:row>
    <x:row r="179" ht="42" customHeight="1">
      <x:c r="A179" s="65" t="str">
        <x:v>gold30-009</x:v>
      </x:c>
      <x:c r="B179" s="65" t="str">
        <x:v>hybrid</x:v>
      </x:c>
      <x:c r="C179" s="88" t="n">
        <x:v>4</x:v>
      </x:c>
      <x:c r="D179" s="65" t="str">
        <x:v>epa-air-cleaners-home-2026</x:v>
      </x:c>
      <x:c r="E179" s="65" t="str">
        <x:v>epa-air-cleaners-home-2026:structure:2</x:v>
      </x:c>
      <x:c r="F179" s="65" t="str">
        <x:v>p.3</x:v>
      </x:c>
      <x:c r="G179" s="92" t="n">
        <x:v>0.03086287</x:v>
      </x:c>
      <x:c r="H179" s="65" t="str">
        <x:v>US EPA Guide to Air Cleaners in the Home (2nd edition)</x:v>
      </x:c>
      <x:c r="I179" s="65" t="str">
        <x:v>United States Environmental Protection Agency</x:v>
      </x:c>
      <x:c r="J179" s="65" t="str">
        <x:v>The guide discusses higher-efficiency HVAC filters, including MERV 13 where the system can accommodate the pressure drop. Compatibility, fit, operating time and maintenance affect delivered filtration; a filter rating alone does not guarantee a measured indoor concentration.</x:v>
      </x:c>
      <x:c r="K179" s="65" t="str">
        <x:v>https://www.epa.gov/indoor-air-quality-iaq/guide-air-cleaners-home</x:v>
      </x:c>
      <x:c r="L179" s="65" t="n">
        <x:v>0</x:v>
      </x:c>
      <x:c r="M179" s="65" t="str">
        <x:v>Machine-suggested near-miss; human review required.</x:v>
      </x:c>
    </x:row>
    <x:row r="180" ht="42" customHeight="1">
      <x:c r="A180" s="65" t="str">
        <x:v>gold30-009</x:v>
      </x:c>
      <x:c r="B180" s="65" t="str">
        <x:v>hybrid</x:v>
      </x:c>
      <x:c r="C180" s="88" t="n">
        <x:v>5</x:v>
      </x:c>
      <x:c r="D180" s="65" t="str">
        <x:v>jakarta-regulations</x:v>
      </x:c>
      <x:c r="E180" s="65" t="str">
        <x:v>jakarta-regulations:structure:0</x:v>
      </x:c>
      <x:c r="F180" s="65" t="str">
        <x:v>p.1</x:v>
      </x:c>
      <x:c r="G180" s="92" t="n">
        <x:v>0.03084888</x:v>
      </x:c>
      <x:c r="H180" s="65" t="str">
        <x:v>Jakarta and Indonesian air-quality regulations</x:v>
      </x:c>
      <x:c r="I180" s="65" t="str">
        <x:v>JDIH DKI Jakarta / Government of Indonesia</x:v>
      </x:c>
      <x:c r="J180"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80" s="65" t="str">
        <x:v>https://udara.jakarta.go.id/regulasi</x:v>
      </x:c>
      <x:c r="L180" s="65" t="n">
        <x:v>0</x:v>
      </x:c>
      <x:c r="M180" s="65" t="str">
        <x:v>Machine-suggested near-miss; human review required.</x:v>
      </x:c>
    </x:row>
    <x:row r="181" ht="42" customHeight="1">
      <x:c r="A181" s="65" t="str">
        <x:v>gold30-009</x:v>
      </x:c>
      <x:c r="B181" s="65" t="str">
        <x:v>hybrid_rerank</x:v>
      </x:c>
      <x:c r="C181" s="88" t="n">
        <x:v>1</x:v>
      </x:c>
      <x:c r="D181" s="65" t="str">
        <x:v>who-aqg-2021-extract</x:v>
      </x:c>
      <x:c r="E181" s="65" t="str">
        <x:v>who-aqg-2021-extract:structure:2</x:v>
      </x:c>
      <x:c r="F181" s="65" t="str">
        <x:v>p.3</x:v>
      </x:c>
      <x:c r="G181" s="92" t="n">
        <x:v>0.24311163</x:v>
      </x:c>
      <x:c r="H181" s="65" t="str">
        <x:v>WHO Global Air Quality Guidelines (2021) — particulate matter targets</x:v>
      </x:c>
      <x:c r="I181" s="65" t="str">
        <x:v>World Health Organization</x:v>
      </x:c>
      <x:c r="J181"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81" s="65" t="str">
        <x:v>https://www.who.int/publications/i/item/9789240034228</x:v>
      </x:c>
      <x:c r="L181" s="65" t="n">
        <x:v>3</x:v>
      </x:c>
      <x:c r="M181" s="65" t="str">
        <x:v>Expected source for this question.</x:v>
      </x:c>
    </x:row>
    <x:row r="182" ht="42" customHeight="1">
      <x:c r="A182" s="65" t="str">
        <x:v>gold30-009</x:v>
      </x:c>
      <x:c r="B182" s="65" t="str">
        <x:v>hybrid_rerank</x:v>
      </x:c>
      <x:c r="C182" s="88" t="n">
        <x:v>2</x:v>
      </x:c>
      <x:c r="D182" s="65" t="str">
        <x:v>jakarta-policy-implementation</x:v>
      </x:c>
      <x:c r="E182" s="65" t="str">
        <x:v>jakarta-policy-implementation:structure:1</x:v>
      </x:c>
      <x:c r="F182" s="65" t="str">
        <x:v>p.2</x:v>
      </x:c>
      <x:c r="G182" s="92" t="n">
        <x:v>0.24275137</x:v>
      </x:c>
      <x:c r="H182" s="65" t="str">
        <x:v>Why rules can coexist with poor air: implementation evidence</x:v>
      </x:c>
      <x:c r="I182" s="65" t="str">
        <x:v>Pemerintah Provinsi DKI Jakarta; Dinas Lingkungan Hidup DKI Jakarta; Mahkamah Agung</x:v>
      </x:c>
      <x:c r="J182"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182" s="65" t="str">
        <x:v>https://www.jakarta.go.id/siaran-pers/4802-SP-HMS-06-2024</x:v>
      </x:c>
      <x:c r="L182" s="65" t="n">
        <x:v>0</x:v>
      </x:c>
      <x:c r="M182" s="65" t="str">
        <x:v>Machine-suggested near-miss; human review required.</x:v>
      </x:c>
    </x:row>
    <x:row r="183" ht="42" customHeight="1">
      <x:c r="A183" s="65" t="str">
        <x:v>gold30-009</x:v>
      </x:c>
      <x:c r="B183" s="65" t="str">
        <x:v>hybrid_rerank</x:v>
      </x:c>
      <x:c r="C183" s="88" t="n">
        <x:v>3</x:v>
      </x:c>
      <x:c r="D183" s="65" t="str">
        <x:v>pp-22-2021-air-quality</x:v>
      </x:c>
      <x:c r="E183" s="65" t="str">
        <x:v>pp-22-2021-air-quality:structure:3</x:v>
      </x:c>
      <x:c r="F183" s="65" t="str">
        <x:v>p.4</x:v>
      </x:c>
      <x:c r="G183" s="92" t="n">
        <x:v>0.23817204</x:v>
      </x:c>
      <x:c r="H183" s="65" t="str">
        <x:v>PP No. 22 Tahun 2021 — environmental protection and ambient air quality</x:v>
      </x:c>
      <x:c r="I183" s="65" t="str">
        <x:v>Pemerintah Republik Indonesia / Database Peraturan BPK</x:v>
      </x:c>
      <x:c r="J183" s="65" t="str">
        <x:v>The lampiran is the controlling locator for numeric ambient standards. A response must not substitute an ISPU category for an ambient concentration standard, and must identify the pollutant and averaging time before comparing a measurement.</x:v>
      </x:c>
      <x:c r="K183" s="65" t="str">
        <x:v>https://peraturan.bpk.go.id/Details/161852/pp-no-22tahun-2021</x:v>
      </x:c>
      <x:c r="L183" s="65" t="n">
        <x:v>0</x:v>
      </x:c>
      <x:c r="M183" s="65" t="str">
        <x:v>Machine-suggested near-miss; human review required.</x:v>
      </x:c>
    </x:row>
    <x:row r="184" ht="42" customHeight="1">
      <x:c r="A184" s="65" t="str">
        <x:v>gold30-009</x:v>
      </x:c>
      <x:c r="B184" s="65" t="str">
        <x:v>hybrid_rerank</x:v>
      </x:c>
      <x:c r="C184" s="88" t="n">
        <x:v>4</x:v>
      </x:c>
      <x:c r="D184" s="65" t="str">
        <x:v>jakarta-regulations</x:v>
      </x:c>
      <x:c r="E184" s="65" t="str">
        <x:v>jakarta-regulations:structure:0</x:v>
      </x:c>
      <x:c r="F184" s="65" t="str">
        <x:v>p.1</x:v>
      </x:c>
      <x:c r="G184" s="92" t="n">
        <x:v>0.16481022</x:v>
      </x:c>
      <x:c r="H184" s="65" t="str">
        <x:v>Jakarta and Indonesian air-quality regulations</x:v>
      </x:c>
      <x:c r="I184" s="65" t="str">
        <x:v>JDIH DKI Jakarta / Government of Indonesia</x:v>
      </x:c>
      <x:c r="J184"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84" s="65" t="str">
        <x:v>https://udara.jakarta.go.id/regulasi</x:v>
      </x:c>
      <x:c r="L184" s="65" t="n">
        <x:v>0</x:v>
      </x:c>
      <x:c r="M184" s="65" t="str">
        <x:v>Machine-suggested near-miss; human review required.</x:v>
      </x:c>
    </x:row>
    <x:row r="185" ht="42" customHeight="1">
      <x:c r="A185" s="65" t="str">
        <x:v>gold30-009</x:v>
      </x:c>
      <x:c r="B185" s="65" t="str">
        <x:v>hybrid_rerank</x:v>
      </x:c>
      <x:c r="C185" s="88" t="n">
        <x:v>5</x:v>
      </x:c>
      <x:c r="D185" s="65" t="str">
        <x:v>ispu</x:v>
      </x:c>
      <x:c r="E185" s="65" t="str">
        <x:v>ispu:structure:0</x:v>
      </x:c>
      <x:c r="F185" s="65" t="str">
        <x:v>p.1</x:v>
      </x:c>
      <x:c r="G185" s="92" t="n">
        <x:v>0.08704669</x:v>
      </x:c>
      <x:c r="H185" s="65" t="str">
        <x:v>Indonesian ISPU categories</x:v>
      </x:c>
      <x:c r="I185" s="65" t="str">
        <x:v>Ministry of Environment and Forestry</x:v>
      </x:c>
      <x:c r="J185" s="65" t="str">
        <x:v>The Indonesian ISPU categories used in this demo are Baik (1-50), Sedang (51-100), Tidak Sehat (101-200), Sangat Tidak Sehat (201-300), and Berbahaya (301 or higher). ISPU is an index without a physical concentration unit.</x:v>
      </x:c>
      <x:c r="K185" s="65" t="str">
        <x:v>https://peraturan.bpk.go.id/Details/163466/permen-lhk-no-14-tahun-2020</x:v>
      </x:c>
      <x:c r="L185" s="65" t="n">
        <x:v>3</x:v>
      </x:c>
      <x:c r="M185" s="65" t="str">
        <x:v>Expected source for this question.</x:v>
      </x:c>
    </x:row>
    <x:row r="186" ht="42" customHeight="1">
      <x:c r="A186" s="65" t="str">
        <x:v>gold30-010</x:v>
      </x:c>
      <x:c r="B186" s="65" t="str">
        <x:v>bm25</x:v>
      </x:c>
      <x:c r="C186" s="88" t="n">
        <x:v>1</x:v>
      </x:c>
      <x:c r="D186" s="65" t="str">
        <x:v>bad-air-day-protection</x:v>
      </x:c>
      <x:c r="E186" s="65" t="str">
        <x:v>bad-air-day-protection:structure:1</x:v>
      </x:c>
      <x:c r="F186" s="65" t="str">
        <x:v>p.2</x:v>
      </x:c>
      <x:c r="G186" s="92" t="n">
        <x:v>0.14285714</x:v>
      </x:c>
      <x:c r="H186" s="65" t="str">
        <x:v>Bad-air-day protection playbook</x:v>
      </x:c>
      <x:c r="I186" s="65" t="str">
        <x:v>World Health Organization, Regional Office for Europe</x:v>
      </x:c>
      <x:c r="J186"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186" s="65" t="str">
        <x:v>https://www.who.int/news-room/questions-and-answers/item/air-pollution-personal-interventions-and-risk-communication</x:v>
      </x:c>
      <x:c r="L186" s="65" t="n">
        <x:v>0</x:v>
      </x:c>
      <x:c r="M186" s="65" t="str">
        <x:v>Machine-suggested near-miss; human review required.</x:v>
      </x:c>
    </x:row>
    <x:row r="187" ht="42" customHeight="1">
      <x:c r="A187" s="65" t="str">
        <x:v>gold30-010</x:v>
      </x:c>
      <x:c r="B187" s="65" t="str">
        <x:v>bm25</x:v>
      </x:c>
      <x:c r="C187" s="88" t="n">
        <x:v>2</x:v>
      </x:c>
      <x:c r="D187" s="65" t="str">
        <x:v>jakarta-causes</x:v>
      </x:c>
      <x:c r="E187" s="65" t="str">
        <x:v>jakarta-causes:structure:0</x:v>
      </x:c>
      <x:c r="F187" s="65" t="str">
        <x:v>p.1</x:v>
      </x:c>
      <x:c r="G187" s="92" t="n">
        <x:v>0.14285714</x:v>
      </x:c>
      <x:c r="H187" s="65" t="str">
        <x:v>What causes Jakarta air pollution</x:v>
      </x:c>
      <x:c r="I187" s="65" t="str">
        <x:v>Dinas Lingkungan Hidup DKI Jakarta / Vital Strategies / ITB</x:v>
      </x:c>
      <x:c r="J187"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87" s="65" t="str">
        <x:v>https://rendahemisi.jakarta.go.id/learn</x:v>
      </x:c>
      <x:c r="L187" s="65" t="n">
        <x:v>3</x:v>
      </x:c>
      <x:c r="M187" s="65" t="str">
        <x:v>Expected source for this question.</x:v>
      </x:c>
    </x:row>
    <x:row r="188" ht="42" customHeight="1">
      <x:c r="A188" s="65" t="str">
        <x:v>gold30-010</x:v>
      </x:c>
      <x:c r="B188" s="65" t="str">
        <x:v>bm25</x:v>
      </x:c>
      <x:c r="C188" s="88" t="n">
        <x:v>3</x:v>
      </x:c>
      <x:c r="D188" s="65" t="str">
        <x:v>jakarta-historical-city-series</x:v>
      </x:c>
      <x:c r="E188" s="65" t="str">
        <x:v>jakarta-historical-city-series:structure:2</x:v>
      </x:c>
      <x:c r="F188" s="65" t="str">
        <x:v>p.3</x:v>
      </x:c>
      <x:c r="G188" s="92" t="n">
        <x:v>0.14285714</x:v>
      </x:c>
      <x:c r="H188" s="65" t="str">
        <x:v>Jakarta historical PM2.5 and PM10 series: provenance and quality</x:v>
      </x:c>
      <x:c r="I188" s="65" t="str">
        <x:v>Open-Meteo / CAMS Global; deposited dataset by Nitiraj Kulkarni and Jagadish Tawade</x:v>
      </x:c>
      <x:c r="J188"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88" s="65" t="str">
        <x:v>https://zenodo.org/records/18673885</x:v>
      </x:c>
      <x:c r="L188" s="65" t="n">
        <x:v>0</x:v>
      </x:c>
      <x:c r="M188" s="65" t="str">
        <x:v>Machine-suggested near-miss; human review required.</x:v>
      </x:c>
    </x:row>
    <x:row r="189" ht="42" customHeight="1">
      <x:c r="A189" s="65" t="str">
        <x:v>gold30-010</x:v>
      </x:c>
      <x:c r="B189" s="65" t="str">
        <x:v>bm25</x:v>
      </x:c>
      <x:c r="C189" s="88" t="n">
        <x:v>4</x:v>
      </x:c>
      <x:c r="D189" s="65" t="str">
        <x:v>jakarta-seasonal-exposure</x:v>
      </x:c>
      <x:c r="E189" s="65" t="str">
        <x:v>jakarta-seasonal-exposure:structure:0</x:v>
      </x:c>
      <x:c r="F189" s="65" t="str">
        <x:v>p.1</x:v>
      </x:c>
      <x:c r="G189" s="92" t="n">
        <x:v>0.14285714</x:v>
      </x:c>
      <x:c r="H189" s="65" t="str">
        <x:v>Jakarta timing and local exposure context</x:v>
      </x:c>
      <x:c r="I189" s="65" t="str">
        <x:v>Dinas Lingkungan Hidup DKI Jakarta</x:v>
      </x:c>
      <x:c r="J189" s="65" t="str">
        <x:v>Published: 2024-04-06 Status as of: 2026-09-07 (official seasonal notice; not a current forecast) Document type: official_public_guidance Tags: topic=exposure-protection; audience=Jakarta-resident; action=protect-now; pollutant=PM2.5</x:v>
      </x:c>
      <x:c r="K189" s="65" t="str">
        <x:v>https://lingkunganhidup.jakarta.go.id/detail-artikel/masuki-musim-kemarau-pemprov-dki-minta-masyarakat-waspadai-penurunan-kualitas-udara</x:v>
      </x:c>
      <x:c r="L189" s="65" t="n">
        <x:v>0</x:v>
      </x:c>
      <x:c r="M189" s="65" t="str">
        <x:v>Machine-suggested near-miss; human review required.</x:v>
      </x:c>
    </x:row>
    <x:row r="190" ht="42" customHeight="1">
      <x:c r="A190" s="65" t="str">
        <x:v>gold30-010</x:v>
      </x:c>
      <x:c r="B190" s="65" t="str">
        <x:v>bm25</x:v>
      </x:c>
      <x:c r="C190" s="88" t="n">
        <x:v>5</x:v>
      </x:c>
      <x:c r="D190" s="65" t="str">
        <x:v>policy-improvements-evidence</x:v>
      </x:c>
      <x:c r="E190" s="65" t="str">
        <x:v>policy-improvements-evidence:structure:2</x:v>
      </x:c>
      <x:c r="F190" s="65" t="str">
        <x:v>p.3</x:v>
      </x:c>
      <x:c r="G190" s="92" t="n">
        <x:v>0.14285714</x:v>
      </x:c>
      <x:c r="H190" s="65" t="str">
        <x:v>Evidence-based policy improvements for Jakarta</x:v>
      </x:c>
      <x:c r="I190" s="65" t="str">
        <x:v>Dinas Lingkungan Hidup DKI Jakarta; World Health Organization</x:v>
      </x:c>
      <x:c r="J19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90" s="65" t="str">
        <x:v>https://www.jakarta.go.id/siaran-pers/4802-SP-HMS-06-2024</x:v>
      </x:c>
      <x:c r="L190" s="65" t="n">
        <x:v>0</x:v>
      </x:c>
      <x:c r="M190" s="65" t="str">
        <x:v>Machine-suggested near-miss; human review required.</x:v>
      </x:c>
    </x:row>
    <x:row r="191" ht="42" customHeight="1">
      <x:c r="A191" s="65" t="str">
        <x:v>gold30-010</x:v>
      </x:c>
      <x:c r="B191" s="65" t="str">
        <x:v>dense</x:v>
      </x:c>
      <x:c r="C191" s="88" t="n">
        <x:v>1</x:v>
      </x:c>
      <x:c r="D191" s="65" t="str">
        <x:v>jakarta-seasonal-exposure</x:v>
      </x:c>
      <x:c r="E191" s="65" t="str">
        <x:v>jakarta-seasonal-exposure:structure:0</x:v>
      </x:c>
      <x:c r="F191" s="65" t="str">
        <x:v>p.1</x:v>
      </x:c>
      <x:c r="G191" s="92" t="n">
        <x:v>0.21043117</x:v>
      </x:c>
      <x:c r="H191" s="65" t="str">
        <x:v>Jakarta timing and local exposure context</x:v>
      </x:c>
      <x:c r="I191" s="65" t="str">
        <x:v>Dinas Lingkungan Hidup DKI Jakarta</x:v>
      </x:c>
      <x:c r="J191" s="65" t="str">
        <x:v>Published: 2024-04-06 Status as of: 2026-09-07 (official seasonal notice; not a current forecast) Document type: official_public_guidance Tags: topic=exposure-protection; audience=Jakarta-resident; action=protect-now; pollutant=PM2.5</x:v>
      </x:c>
      <x:c r="K191" s="65" t="str">
        <x:v>https://lingkunganhidup.jakarta.go.id/detail-artikel/masuki-musim-kemarau-pemprov-dki-minta-masyarakat-waspadai-penurunan-kualitas-udara</x:v>
      </x:c>
      <x:c r="L191" s="65" t="n">
        <x:v>0</x:v>
      </x:c>
      <x:c r="M191" s="65" t="str">
        <x:v>Machine-suggested near-miss; human review required.</x:v>
      </x:c>
    </x:row>
    <x:row r="192" ht="42" customHeight="1">
      <x:c r="A192" s="65" t="str">
        <x:v>gold30-010</x:v>
      </x:c>
      <x:c r="B192" s="65" t="str">
        <x:v>dense</x:v>
      </x:c>
      <x:c r="C192" s="88" t="n">
        <x:v>2</x:v>
      </x:c>
      <x:c r="D192" s="65" t="str">
        <x:v>jakarta-court-air-quality</x:v>
      </x:c>
      <x:c r="E192" s="65" t="str">
        <x:v>jakarta-court-air-quality:structure:1</x:v>
      </x:c>
      <x:c r="F192" s="65" t="str">
        <x:v>p.2</x:v>
      </x:c>
      <x:c r="G192" s="92" t="n">
        <x:v>0.19616271</x:v>
      </x:c>
      <x:c r="H192" s="65" t="str">
        <x:v>Jakarta air-pollution citizen lawsuit: what the court record establishes</x:v>
      </x:c>
      <x:c r="I192" s="65" t="str">
        <x:v>Mahkamah Agung Republik Indonesia</x:v>
      </x:c>
      <x:c r="J19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192" s="65" t="str">
        <x:v>https://putusan3.mahkamahagung.go.id/pengadilan/profil/pengadilan/pn-jakarta-pusat.html</x:v>
      </x:c>
      <x:c r="L192" s="65" t="n">
        <x:v>0</x:v>
      </x:c>
      <x:c r="M192" s="65" t="str">
        <x:v>Machine-suggested near-miss; human review required.</x:v>
      </x:c>
    </x:row>
    <x:row r="193" ht="42" customHeight="1">
      <x:c r="A193" s="65" t="str">
        <x:v>gold30-010</x:v>
      </x:c>
      <x:c r="B193" s="65" t="str">
        <x:v>dense</x:v>
      </x:c>
      <x:c r="C193" s="88" t="n">
        <x:v>3</x:v>
      </x:c>
      <x:c r="D193" s="65" t="str">
        <x:v>jakarta-policy-status</x:v>
      </x:c>
      <x:c r="E193" s="65" t="str">
        <x:v>jakarta-policy-status:structure:0</x:v>
      </x:c>
      <x:c r="F193" s="65" t="str">
        <x:v>p.1</x:v>
      </x:c>
      <x:c r="G193" s="92" t="n">
        <x:v>0.18949091</x:v>
      </x:c>
      <x:c r="H193" s="65" t="str">
        <x:v>Policy proposals and implementation gaps</x:v>
      </x:c>
      <x:c r="I193" s="65" t="str">
        <x:v>Pemerintah Provinsi DKI Jakarta / JDIH</x:v>
      </x:c>
      <x:c r="J193"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193" s="65" t="str">
        <x:v>https://www.jakarta.go.id/siaran-pers/3850-SP-HMS-01-2023</x:v>
      </x:c>
      <x:c r="L193" s="65" t="n">
        <x:v>0</x:v>
      </x:c>
      <x:c r="M193" s="65" t="str">
        <x:v>Machine-suggested near-miss; human review required.</x:v>
      </x:c>
    </x:row>
    <x:row r="194" ht="42" customHeight="1">
      <x:c r="A194" s="65" t="str">
        <x:v>gold30-010</x:v>
      </x:c>
      <x:c r="B194" s="65" t="str">
        <x:v>dense</x:v>
      </x:c>
      <x:c r="C194" s="88" t="n">
        <x:v>4</x:v>
      </x:c>
      <x:c r="D194" s="65" t="str">
        <x:v>jakarta-monitoring</x:v>
      </x:c>
      <x:c r="E194" s="65" t="str">
        <x:v>jakarta-monitoring:structure:0</x:v>
      </x:c>
      <x:c r="F194" s="65" t="str">
        <x:v>p.1</x:v>
      </x:c>
      <x:c r="G194" s="92" t="n">
        <x:v>0.18360845</x:v>
      </x:c>
      <x:c r="H194" s="65" t="str">
        <x:v>Jakarta monitoring stations</x:v>
      </x:c>
      <x:c r="I194" s="65" t="str">
        <x:v>Dinas Lingkungan Hidup Provinsi DKI Jakarta</x:v>
      </x:c>
      <x:c r="J194" s="65" t="str">
        <x:v>Jakarta's official monitoring portal publishes station locations, pollutant parameters, current readings, and timestamps. A station observation describes that station and observation time; it should not automatically be generalized to all of Jakarta.</x:v>
      </x:c>
      <x:c r="K194" s="65" t="str">
        <x:v>https://udara.jakarta.go.id/lokasi-spku</x:v>
      </x:c>
      <x:c r="L194" s="65" t="n">
        <x:v>0</x:v>
      </x:c>
      <x:c r="M194" s="65" t="str">
        <x:v>Machine-suggested near-miss; human review required.</x:v>
      </x:c>
    </x:row>
    <x:row r="195" ht="42" customHeight="1">
      <x:c r="A195" s="65" t="str">
        <x:v>gold30-010</x:v>
      </x:c>
      <x:c r="B195" s="65" t="str">
        <x:v>dense</x:v>
      </x:c>
      <x:c r="C195" s="88" t="n">
        <x:v>5</x:v>
      </x:c>
      <x:c r="D195" s="65" t="str">
        <x:v>jakarta-sppu-official-status-2024</x:v>
      </x:c>
      <x:c r="E195" s="65" t="str">
        <x:v>jakarta-sppu-official-status-2024:structure:1</x:v>
      </x:c>
      <x:c r="F195" s="65" t="str">
        <x:v>p.2</x:v>
      </x:c>
      <x:c r="G195" s="92" t="n">
        <x:v>0.18295433</x:v>
      </x:c>
      <x:c r="H195" s="65" t="str">
        <x:v>Jakarta SPPU and air-quality implementation status (official statement, 2024)</x:v>
      </x:c>
      <x:c r="I195" s="65" t="str">
        <x:v>Pemerintah Provinsi DKI Jakarta / Dinas Lingkungan Hidup DKI Jakarta</x:v>
      </x:c>
      <x:c r="J195"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195" s="65" t="str">
        <x:v>https://www.jakarta.go.id/siaran-pers/4802-SP-HMS-06-2024</x:v>
      </x:c>
      <x:c r="L195" s="65" t="n">
        <x:v>0</x:v>
      </x:c>
      <x:c r="M195" s="65" t="str">
        <x:v>Machine-suggested near-miss; human review required.</x:v>
      </x:c>
    </x:row>
    <x:row r="196" ht="42" customHeight="1">
      <x:c r="A196" s="65" t="str">
        <x:v>gold30-010</x:v>
      </x:c>
      <x:c r="B196" s="65" t="str">
        <x:v>hybrid</x:v>
      </x:c>
      <x:c r="C196" s="88" t="n">
        <x:v>1</x:v>
      </x:c>
      <x:c r="D196" s="65" t="str">
        <x:v>jakarta-seasonal-exposure</x:v>
      </x:c>
      <x:c r="E196" s="65" t="str">
        <x:v>jakarta-seasonal-exposure:structure:0</x:v>
      </x:c>
      <x:c r="F196" s="65" t="str">
        <x:v>p.1</x:v>
      </x:c>
      <x:c r="G196" s="92" t="n">
        <x:v>0.03234631</x:v>
      </x:c>
      <x:c r="H196" s="65" t="str">
        <x:v>Jakarta timing and local exposure context</x:v>
      </x:c>
      <x:c r="I196" s="65" t="str">
        <x:v>Dinas Lingkungan Hidup DKI Jakarta</x:v>
      </x:c>
      <x:c r="J196" s="65" t="str">
        <x:v>Published: 2024-04-06 Status as of: 2026-09-07 (official seasonal notice; not a current forecast) Document type: official_public_guidance Tags: topic=exposure-protection; audience=Jakarta-resident; action=protect-now; pollutant=PM2.5</x:v>
      </x:c>
      <x:c r="K196" s="65" t="str">
        <x:v>https://lingkunganhidup.jakarta.go.id/detail-artikel/masuki-musim-kemarau-pemprov-dki-minta-masyarakat-waspadai-penurunan-kualitas-udara</x:v>
      </x:c>
      <x:c r="L196" s="65" t="n">
        <x:v>0</x:v>
      </x:c>
      <x:c r="M196" s="65" t="str">
        <x:v>Machine-suggested near-miss; human review required.</x:v>
      </x:c>
    </x:row>
    <x:row r="197" ht="42" customHeight="1">
      <x:c r="A197" s="65" t="str">
        <x:v>gold30-010</x:v>
      </x:c>
      <x:c r="B197" s="65" t="str">
        <x:v>hybrid</x:v>
      </x:c>
      <x:c r="C197" s="88" t="n">
        <x:v>2</x:v>
      </x:c>
      <x:c r="D197" s="65" t="str">
        <x:v>jakarta-causes</x:v>
      </x:c>
      <x:c r="E197" s="65" t="str">
        <x:v>jakarta-causes:structure:0</x:v>
      </x:c>
      <x:c r="F197" s="65" t="str">
        <x:v>p.1</x:v>
      </x:c>
      <x:c r="G197" s="92" t="n">
        <x:v>0.03091164</x:v>
      </x:c>
      <x:c r="H197" s="65" t="str">
        <x:v>What causes Jakarta air pollution</x:v>
      </x:c>
      <x:c r="I197" s="65" t="str">
        <x:v>Dinas Lingkungan Hidup DKI Jakarta / Vital Strategies / ITB</x:v>
      </x:c>
      <x:c r="J197"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97" s="65" t="str">
        <x:v>https://rendahemisi.jakarta.go.id/learn</x:v>
      </x:c>
      <x:c r="L197" s="65" t="n">
        <x:v>3</x:v>
      </x:c>
      <x:c r="M197" s="65" t="str">
        <x:v>Expected source for this question.</x:v>
      </x:c>
    </x:row>
    <x:row r="198" ht="42" customHeight="1">
      <x:c r="A198" s="65" t="str">
        <x:v>gold30-010</x:v>
      </x:c>
      <x:c r="B198" s="65" t="str">
        <x:v>hybrid</x:v>
      </x:c>
      <x:c r="C198" s="88" t="n">
        <x:v>3</x:v>
      </x:c>
      <x:c r="D198" s="65" t="str">
        <x:v>jakarta-court-air-quality</x:v>
      </x:c>
      <x:c r="E198" s="65" t="str">
        <x:v>jakarta-court-air-quality:structure:1</x:v>
      </x:c>
      <x:c r="F198" s="65" t="str">
        <x:v>p.2</x:v>
      </x:c>
      <x:c r="G198" s="92" t="n">
        <x:v>0.01645161</x:v>
      </x:c>
      <x:c r="H198" s="65" t="str">
        <x:v>Jakarta air-pollution citizen lawsuit: what the court record establishes</x:v>
      </x:c>
      <x:c r="I198" s="65" t="str">
        <x:v>Mahkamah Agung Republik Indonesia</x:v>
      </x:c>
      <x:c r="J198"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198" s="65" t="str">
        <x:v>https://putusan3.mahkamahagung.go.id/pengadilan/profil/pengadilan/pn-jakarta-pusat.html</x:v>
      </x:c>
      <x:c r="L198" s="65" t="n">
        <x:v>0</x:v>
      </x:c>
      <x:c r="M198" s="65" t="str">
        <x:v>Machine-suggested near-miss; human review required.</x:v>
      </x:c>
    </x:row>
    <x:row r="199" ht="42" customHeight="1">
      <x:c r="A199" s="65" t="str">
        <x:v>gold30-010</x:v>
      </x:c>
      <x:c r="B199" s="65" t="str">
        <x:v>hybrid</x:v>
      </x:c>
      <x:c r="C199" s="88" t="n">
        <x:v>4</x:v>
      </x:c>
      <x:c r="D199" s="65" t="str">
        <x:v>bad-air-day-protection</x:v>
      </x:c>
      <x:c r="E199" s="65" t="str">
        <x:v>bad-air-day-protection:structure:1</x:v>
      </x:c>
      <x:c r="F199" s="65" t="str">
        <x:v>p.2</x:v>
      </x:c>
      <x:c r="G199" s="92" t="n">
        <x:v>0.01639344</x:v>
      </x:c>
      <x:c r="H199" s="65" t="str">
        <x:v>Bad-air-day protection playbook</x:v>
      </x:c>
      <x:c r="I199" s="65" t="str">
        <x:v>World Health Organization, Regional Office for Europe</x:v>
      </x:c>
      <x:c r="J199"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199" s="65" t="str">
        <x:v>https://www.who.int/news-room/questions-and-answers/item/air-pollution-personal-interventions-and-risk-communication</x:v>
      </x:c>
      <x:c r="L199" s="65" t="n">
        <x:v>0</x:v>
      </x:c>
      <x:c r="M199" s="65" t="str">
        <x:v>Machine-suggested near-miss; human review required.</x:v>
      </x:c>
    </x:row>
    <x:row r="200" ht="42" customHeight="1">
      <x:c r="A200" s="65" t="str">
        <x:v>gold30-010</x:v>
      </x:c>
      <x:c r="B200" s="65" t="str">
        <x:v>hybrid</x:v>
      </x:c>
      <x:c r="C200" s="88" t="n">
        <x:v>5</x:v>
      </x:c>
      <x:c r="D200" s="65" t="str">
        <x:v>jakarta-policy-status</x:v>
      </x:c>
      <x:c r="E200" s="65" t="str">
        <x:v>jakarta-policy-status:structure:0</x:v>
      </x:c>
      <x:c r="F200" s="65" t="str">
        <x:v>p.1</x:v>
      </x:c>
      <x:c r="G200" s="92" t="n">
        <x:v>0.01619048</x:v>
      </x:c>
      <x:c r="H200" s="65" t="str">
        <x:v>Policy proposals and implementation gaps</x:v>
      </x:c>
      <x:c r="I200" s="65" t="str">
        <x:v>Pemerintah Provinsi DKI Jakarta / JDIH</x:v>
      </x:c>
      <x:c r="J200"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200" s="65" t="str">
        <x:v>https://www.jakarta.go.id/siaran-pers/3850-SP-HMS-01-2023</x:v>
      </x:c>
      <x:c r="L200" s="65" t="n">
        <x:v>0</x:v>
      </x:c>
      <x:c r="M200" s="65" t="str">
        <x:v>Machine-suggested near-miss; human review required.</x:v>
      </x:c>
    </x:row>
    <x:row r="201" ht="42" customHeight="1">
      <x:c r="A201" s="65" t="str">
        <x:v>gold30-010</x:v>
      </x:c>
      <x:c r="B201" s="65" t="str">
        <x:v>hybrid_rerank</x:v>
      </x:c>
      <x:c r="C201" s="88" t="n">
        <x:v>1</x:v>
      </x:c>
      <x:c r="D201" s="65" t="str">
        <x:v>jakarta-seasonal-exposure</x:v>
      </x:c>
      <x:c r="E201" s="65" t="str">
        <x:v>jakarta-seasonal-exposure:structure:0</x:v>
      </x:c>
      <x:c r="F201" s="65" t="str">
        <x:v>p.1</x:v>
      </x:c>
      <x:c r="G201" s="92" t="n">
        <x:v>0.10970389</x:v>
      </x:c>
      <x:c r="H201" s="65" t="str">
        <x:v>Jakarta timing and local exposure context</x:v>
      </x:c>
      <x:c r="I201" s="65" t="str">
        <x:v>Dinas Lingkungan Hidup DKI Jakarta</x:v>
      </x:c>
      <x:c r="J201" s="65" t="str">
        <x:v>Published: 2024-04-06 Status as of: 2026-09-07 (official seasonal notice; not a current forecast) Document type: official_public_guidance Tags: topic=exposure-protection; audience=Jakarta-resident; action=protect-now; pollutant=PM2.5</x:v>
      </x:c>
      <x:c r="K201" s="65" t="str">
        <x:v>https://lingkunganhidup.jakarta.go.id/detail-artikel/masuki-musim-kemarau-pemprov-dki-minta-masyarakat-waspadai-penurunan-kualitas-udara</x:v>
      </x:c>
      <x:c r="L201" s="65" t="n">
        <x:v>0</x:v>
      </x:c>
      <x:c r="M201" s="65" t="str">
        <x:v>Machine-suggested near-miss; human review required.</x:v>
      </x:c>
    </x:row>
    <x:row r="202" ht="42" customHeight="1">
      <x:c r="A202" s="65" t="str">
        <x:v>gold30-010</x:v>
      </x:c>
      <x:c r="B202" s="65" t="str">
        <x:v>hybrid_rerank</x:v>
      </x:c>
      <x:c r="C202" s="88" t="n">
        <x:v>2</x:v>
      </x:c>
      <x:c r="D202" s="65" t="str">
        <x:v>jakarta-causes</x:v>
      </x:c>
      <x:c r="E202" s="65" t="str">
        <x:v>jakarta-causes:structure:0</x:v>
      </x:c>
      <x:c r="F202" s="65" t="str">
        <x:v>p.1</x:v>
      </x:c>
      <x:c r="G202" s="92" t="n">
        <x:v>0.10927349</x:v>
      </x:c>
      <x:c r="H202" s="65" t="str">
        <x:v>What causes Jakarta air pollution</x:v>
      </x:c>
      <x:c r="I202" s="65" t="str">
        <x:v>Dinas Lingkungan Hidup DKI Jakarta / Vital Strategies / ITB</x:v>
      </x:c>
      <x:c r="J20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202" s="65" t="str">
        <x:v>https://rendahemisi.jakarta.go.id/learn</x:v>
      </x:c>
      <x:c r="L202" s="65" t="n">
        <x:v>3</x:v>
      </x:c>
      <x:c r="M202" s="65" t="str">
        <x:v>Expected source for this question.</x:v>
      </x:c>
    </x:row>
    <x:row r="203" ht="42" customHeight="1">
      <x:c r="A203" s="65" t="str">
        <x:v>gold30-010</x:v>
      </x:c>
      <x:c r="B203" s="65" t="str">
        <x:v>hybrid_rerank</x:v>
      </x:c>
      <x:c r="C203" s="88" t="n">
        <x:v>3</x:v>
      </x:c>
      <x:c r="D203" s="65" t="str">
        <x:v>bad-air-day-protection</x:v>
      </x:c>
      <x:c r="E203" s="65" t="str">
        <x:v>bad-air-day-protection:structure:1</x:v>
      </x:c>
      <x:c r="F203" s="65" t="str">
        <x:v>p.2</x:v>
      </x:c>
      <x:c r="G203" s="92" t="n">
        <x:v>0.10491803</x:v>
      </x:c>
      <x:c r="H203" s="65" t="str">
        <x:v>Bad-air-day protection playbook</x:v>
      </x:c>
      <x:c r="I203" s="65" t="str">
        <x:v>World Health Organization, Regional Office for Europe</x:v>
      </x:c>
      <x:c r="J203"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203" s="65" t="str">
        <x:v>https://www.who.int/news-room/questions-and-answers/item/air-pollution-personal-interventions-and-risk-communication</x:v>
      </x:c>
      <x:c r="L203" s="65" t="n">
        <x:v>0</x:v>
      </x:c>
      <x:c r="M203" s="65" t="str">
        <x:v>Machine-suggested near-miss; human review required.</x:v>
      </x:c>
    </x:row>
    <x:row r="204" ht="42" customHeight="1">
      <x:c r="A204" s="65" t="str">
        <x:v>gold30-010</x:v>
      </x:c>
      <x:c r="B204" s="65" t="str">
        <x:v>hybrid_rerank</x:v>
      </x:c>
      <x:c r="C204" s="88" t="n">
        <x:v>4</x:v>
      </x:c>
      <x:c r="D204" s="65" t="str">
        <x:v>jakarta-historical-city-series</x:v>
      </x:c>
      <x:c r="E204" s="65" t="str">
        <x:v>jakarta-historical-city-series:structure:2</x:v>
      </x:c>
      <x:c r="F204" s="65" t="str">
        <x:v>p.3</x:v>
      </x:c>
      <x:c r="G204" s="92" t="n">
        <x:v>0.1047619</x:v>
      </x:c>
      <x:c r="H204" s="65" t="str">
        <x:v>Jakarta historical PM2.5 and PM10 series: provenance and quality</x:v>
      </x:c>
      <x:c r="I204" s="65" t="str">
        <x:v>Open-Meteo / CAMS Global; deposited dataset by Nitiraj Kulkarni and Jagadish Tawade</x:v>
      </x:c>
      <x:c r="J204"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204" s="65" t="str">
        <x:v>https://zenodo.org/records/18673885</x:v>
      </x:c>
      <x:c r="L204" s="65" t="n">
        <x:v>0</x:v>
      </x:c>
      <x:c r="M204" s="65" t="str">
        <x:v>Machine-suggested near-miss; human review required.</x:v>
      </x:c>
    </x:row>
    <x:row r="205" ht="42" customHeight="1">
      <x:c r="A205" s="65" t="str">
        <x:v>gold30-010</x:v>
      </x:c>
      <x:c r="B205" s="65" t="str">
        <x:v>hybrid_rerank</x:v>
      </x:c>
      <x:c r="C205" s="88" t="n">
        <x:v>5</x:v>
      </x:c>
      <x:c r="D205" s="65" t="str">
        <x:v>policy-improvements-evidence</x:v>
      </x:c>
      <x:c r="E205" s="65" t="str">
        <x:v>policy-improvements-evidence:structure:2</x:v>
      </x:c>
      <x:c r="F205" s="65" t="str">
        <x:v>p.3</x:v>
      </x:c>
      <x:c r="G205" s="92" t="n">
        <x:v>0.10461538</x:v>
      </x:c>
      <x:c r="H205" s="65" t="str">
        <x:v>Evidence-based policy improvements for Jakarta</x:v>
      </x:c>
      <x:c r="I205" s="65" t="str">
        <x:v>Dinas Lingkungan Hidup DKI Jakarta; World Health Organization</x:v>
      </x:c>
      <x:c r="J205"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05" s="65" t="str">
        <x:v>https://www.jakarta.go.id/siaran-pers/4802-SP-HMS-06-2024</x:v>
      </x:c>
      <x:c r="L205" s="65" t="n">
        <x:v>0</x:v>
      </x:c>
      <x:c r="M205" s="65" t="str">
        <x:v>Machine-suggested near-miss; human review required.</x:v>
      </x:c>
    </x:row>
    <x:row r="206" ht="42" customHeight="1">
      <x:c r="A206" s="65" t="str">
        <x:v>gold30-011</x:v>
      </x:c>
      <x:c r="B206" s="65" t="str">
        <x:v>bm25</x:v>
      </x:c>
      <x:c r="C206" s="88" t="n">
        <x:v>1</x:v>
      </x:c>
      <x:c r="D206" s="65" t="str">
        <x:v>jakarta-causes</x:v>
      </x:c>
      <x:c r="E206" s="65" t="str">
        <x:v>jakarta-causes:structure:1</x:v>
      </x:c>
      <x:c r="F206" s="65" t="str">
        <x:v>p.2</x:v>
      </x:c>
      <x:c r="G206" s="92" t="n">
        <x:v>0.66666667</x:v>
      </x:c>
      <x:c r="H206" s="65" t="str">
        <x:v>What causes Jakarta air pollution</x:v>
      </x:c>
      <x:c r="I206" s="65" t="str">
        <x:v>Dinas Lingkungan Hidup DKI Jakarta / Vital Strategies / ITB</x:v>
      </x:c>
      <x:c r="J206"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206" s="65" t="str">
        <x:v>https://rendahemisi.jakarta.go.id/learn</x:v>
      </x:c>
      <x:c r="L206" s="65" t="n">
        <x:v>3</x:v>
      </x:c>
      <x:c r="M206" s="65" t="str">
        <x:v>Expected source for this question.</x:v>
      </x:c>
    </x:row>
    <x:row r="207" ht="42" customHeight="1">
      <x:c r="A207" s="65" t="str">
        <x:v>gold30-011</x:v>
      </x:c>
      <x:c r="B207" s="65" t="str">
        <x:v>bm25</x:v>
      </x:c>
      <x:c r="C207" s="88" t="n">
        <x:v>2</x:v>
      </x:c>
      <x:c r="D207" s="65" t="str">
        <x:v>jakarta-sppu-official-status-2024</x:v>
      </x:c>
      <x:c r="E207" s="65" t="str">
        <x:v>jakarta-sppu-official-status-2024:structure:3</x:v>
      </x:c>
      <x:c r="F207" s="65" t="str">
        <x:v>p.4</x:v>
      </x:c>
      <x:c r="G207" s="92" t="n">
        <x:v>0.66666667</x:v>
      </x:c>
      <x:c r="H207" s="65" t="str">
        <x:v>Jakarta SPPU and air-quality implementation status (official statement, 2024)</x:v>
      </x:c>
      <x:c r="I207" s="65" t="str">
        <x:v>Pemerintah Provinsi DKI Jakarta / Dinas Lingkungan Hidup DKI Jakarta</x:v>
      </x:c>
      <x:c r="J207" s="65" t="str">
        <x:v>The statement supports a cautious distinction between a policy activity and a measured air-quality outcome. Transported pollution, multiple authorities and incomplete public denominators are plausible constraints to investigate; they do not prove that one policy or source caused…</x:v>
      </x:c>
      <x:c r="K207" s="65" t="str">
        <x:v>https://www.jakarta.go.id/siaran-pers/4802-SP-HMS-06-2024</x:v>
      </x:c>
      <x:c r="L207" s="65" t="n">
        <x:v>0</x:v>
      </x:c>
      <x:c r="M207" s="65" t="str">
        <x:v>Machine-suggested near-miss; human review required.</x:v>
      </x:c>
    </x:row>
    <x:row r="208" ht="42" customHeight="1">
      <x:c r="A208" s="65" t="str">
        <x:v>gold30-011</x:v>
      </x:c>
      <x:c r="B208" s="65" t="str">
        <x:v>bm25</x:v>
      </x:c>
      <x:c r="C208" s="88" t="n">
        <x:v>3</x:v>
      </x:c>
      <x:c r="D208" s="65" t="str">
        <x:v>policy-improvements-evidence</x:v>
      </x:c>
      <x:c r="E208" s="65" t="str">
        <x:v>policy-improvements-evidence:structure:2</x:v>
      </x:c>
      <x:c r="F208" s="65" t="str">
        <x:v>p.3</x:v>
      </x:c>
      <x:c r="G208" s="92" t="n">
        <x:v>0.66666667</x:v>
      </x:c>
      <x:c r="H208" s="65" t="str">
        <x:v>Evidence-based policy improvements for Jakarta</x:v>
      </x:c>
      <x:c r="I208" s="65" t="str">
        <x:v>Dinas Lingkungan Hidup DKI Jakarta; World Health Organization</x:v>
      </x:c>
      <x:c r="J208"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08" s="65" t="str">
        <x:v>https://www.jakarta.go.id/siaran-pers/4802-SP-HMS-06-2024</x:v>
      </x:c>
      <x:c r="L208" s="65" t="n">
        <x:v>0</x:v>
      </x:c>
      <x:c r="M208" s="65" t="str">
        <x:v>Machine-suggested near-miss; human review required.</x:v>
      </x:c>
    </x:row>
    <x:row r="209" ht="42" customHeight="1">
      <x:c r="A209" s="65" t="str">
        <x:v>gold30-011</x:v>
      </x:c>
      <x:c r="B209" s="65" t="str">
        <x:v>bm25</x:v>
      </x:c>
      <x:c r="C209" s="88" t="n">
        <x:v>4</x:v>
      </x:c>
      <x:c r="D209" s="65" t="str">
        <x:v>jakarta-historical-city-series</x:v>
      </x:c>
      <x:c r="E209" s="65" t="str">
        <x:v>jakarta-historical-city-series:structure:6</x:v>
      </x:c>
      <x:c r="F209" s="65" t="str">
        <x:v>p.7</x:v>
      </x:c>
      <x:c r="G209" s="92" t="n">
        <x:v>0.5</x:v>
      </x:c>
      <x:c r="H209" s="65" t="str">
        <x:v>Jakarta historical PM2.5 and PM10 series: provenance and quality</x:v>
      </x:c>
      <x:c r="I209" s="65" t="str">
        <x:v>Open-Meteo / CAMS Global; deposited dataset by Nitiraj Kulkarni and Jagadish Tawade</x:v>
      </x:c>
      <x:c r="J209" s="65" t="str">
        <x:v>The visual near-overlap is concentrated in the 92-row recent refresh: its Pearson correlation is 0.997, median gap 1.89 µg/m³, and median ratio 1.022. The 1,295 Zenodo rows have correlation 0.895, median gap 19.66 µg/m³, and median ratio 1.436. The repository code does not alias…</x:v>
      </x:c>
      <x:c r="K209" s="65" t="str">
        <x:v>https://zenodo.org/records/18673885</x:v>
      </x:c>
      <x:c r="L209" s="65" t="n">
        <x:v>0</x:v>
      </x:c>
      <x:c r="M209" s="65" t="str">
        <x:v>Machine-suggested near-miss; human review required.</x:v>
      </x:c>
    </x:row>
    <x:row r="210" ht="42" customHeight="1">
      <x:c r="A210" s="65" t="str">
        <x:v>gold30-011</x:v>
      </x:c>
      <x:c r="B210" s="65" t="str">
        <x:v>bm25</x:v>
      </x:c>
      <x:c r="C210" s="88" t="n">
        <x:v>5</x:v>
      </x:c>
      <x:c r="D210" s="65" t="str">
        <x:v>jakarta-policy-implementation</x:v>
      </x:c>
      <x:c r="E210" s="65" t="str">
        <x:v>jakarta-policy-implementation:structure:2</x:v>
      </x:c>
      <x:c r="F210" s="65" t="str">
        <x:v>p.3</x:v>
      </x:c>
      <x:c r="G210" s="92" t="n">
        <x:v>0.5</x:v>
      </x:c>
      <x:c r="H210" s="65" t="str">
        <x:v>Why rules can coexist with poor air: implementation evidence</x:v>
      </x:c>
      <x:c r="I210" s="65" t="str">
        <x:v>Pemerintah Provinsi DKI Jakarta; Dinas Lingkungan Hidup DKI Jakarta; Mahkamah Agung</x:v>
      </x:c>
      <x:c r="J210"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10" s="65" t="str">
        <x:v>https://www.jakarta.go.id/siaran-pers/4802-SP-HMS-06-2024</x:v>
      </x:c>
      <x:c r="L210" s="65" t="n">
        <x:v>0</x:v>
      </x:c>
      <x:c r="M210" s="65" t="str">
        <x:v>Machine-suggested near-miss; human review required.</x:v>
      </x:c>
    </x:row>
    <x:row r="211" ht="42" customHeight="1">
      <x:c r="A211" s="65" t="str">
        <x:v>gold30-011</x:v>
      </x:c>
      <x:c r="B211" s="65" t="str">
        <x:v>dense</x:v>
      </x:c>
      <x:c r="C211" s="88" t="n">
        <x:v>1</x:v>
      </x:c>
      <x:c r="D211" s="65" t="str">
        <x:v>jakarta-causes</x:v>
      </x:c>
      <x:c r="E211" s="65" t="str">
        <x:v>jakarta-causes:structure:1</x:v>
      </x:c>
      <x:c r="F211" s="65" t="str">
        <x:v>p.2</x:v>
      </x:c>
      <x:c r="G211" s="92" t="n">
        <x:v>0.51662266</x:v>
      </x:c>
      <x:c r="H211" s="65" t="str">
        <x:v>What causes Jakarta air pollution</x:v>
      </x:c>
      <x:c r="I211" s="65" t="str">
        <x:v>Dinas Lingkungan Hidup DKI Jakarta / Vital Strategies / ITB</x:v>
      </x:c>
      <x:c r="J211"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211" s="65" t="str">
        <x:v>https://rendahemisi.jakarta.go.id/learn</x:v>
      </x:c>
      <x:c r="L211" s="65" t="n">
        <x:v>3</x:v>
      </x:c>
      <x:c r="M211" s="65" t="str">
        <x:v>Expected source for this question.</x:v>
      </x:c>
    </x:row>
    <x:row r="212" ht="42" customHeight="1">
      <x:c r="A212" s="65" t="str">
        <x:v>gold30-011</x:v>
      </x:c>
      <x:c r="B212" s="65" t="str">
        <x:v>dense</x:v>
      </x:c>
      <x:c r="C212" s="88" t="n">
        <x:v>2</x:v>
      </x:c>
      <x:c r="D212" s="65" t="str">
        <x:v>policy-improvements-evidence</x:v>
      </x:c>
      <x:c r="E212" s="65" t="str">
        <x:v>policy-improvements-evidence:structure:2</x:v>
      </x:c>
      <x:c r="F212" s="65" t="str">
        <x:v>p.3</x:v>
      </x:c>
      <x:c r="G212" s="92" t="n">
        <x:v>0.42974387</x:v>
      </x:c>
      <x:c r="H212" s="65" t="str">
        <x:v>Evidence-based policy improvements for Jakarta</x:v>
      </x:c>
      <x:c r="I212" s="65" t="str">
        <x:v>Dinas Lingkungan Hidup DKI Jakarta; World Health Organization</x:v>
      </x:c>
      <x:c r="J212"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12" s="65" t="str">
        <x:v>https://www.jakarta.go.id/siaran-pers/4802-SP-HMS-06-2024</x:v>
      </x:c>
      <x:c r="L212" s="65" t="n">
        <x:v>0</x:v>
      </x:c>
      <x:c r="M212" s="65" t="str">
        <x:v>Machine-suggested near-miss; human review required.</x:v>
      </x:c>
    </x:row>
    <x:row r="213" ht="42" customHeight="1">
      <x:c r="A213" s="65" t="str">
        <x:v>gold30-011</x:v>
      </x:c>
      <x:c r="B213" s="65" t="str">
        <x:v>dense</x:v>
      </x:c>
      <x:c r="C213" s="88" t="n">
        <x:v>3</x:v>
      </x:c>
      <x:c r="D213" s="65" t="str">
        <x:v>individual-emission-actions</x:v>
      </x:c>
      <x:c r="E213" s="65" t="str">
        <x:v>individual-emission-actions:structure:0</x:v>
      </x:c>
      <x:c r="F213" s="65" t="str">
        <x:v>p.1</x:v>
      </x:c>
      <x:c r="G213" s="92" t="n">
        <x:v>0.41490276</x:v>
      </x:c>
      <x:c r="H213" s="65" t="str">
        <x:v>What an individual can do to reduce emissions and improve accountability</x:v>
      </x:c>
      <x:c r="I213" s="65" t="str">
        <x:v>World Health Organization; Pemerintah Provinsi DKI Jakarta</x:v>
      </x:c>
      <x:c r="J213" s="65" t="str">
        <x:v>Published: 2024-11-15 (WHO practical briefs); DKI programme guidance accessed 2026-09-07 Status as of: 2026-09-07 (recommendations and programmes; not a substitute for enforcement) Document type: civic_and_emissions_guidance Tags: topic=individual-contribution; audience=Jakarta-…</x:v>
      </x:c>
      <x:c r="K213" s="65" t="str">
        <x:v>https://www.who.int/europe/publications/m/item/personal-level-actions-to-reduce-air-pollution-exposure</x:v>
      </x:c>
      <x:c r="L213" s="65" t="n">
        <x:v>0</x:v>
      </x:c>
      <x:c r="M213" s="65" t="str">
        <x:v>Machine-suggested near-miss; human review required.</x:v>
      </x:c>
    </x:row>
    <x:row r="214" ht="42" customHeight="1">
      <x:c r="A214" s="65" t="str">
        <x:v>gold30-011</x:v>
      </x:c>
      <x:c r="B214" s="65" t="str">
        <x:v>dense</x:v>
      </x:c>
      <x:c r="C214" s="88" t="n">
        <x:v>4</x:v>
      </x:c>
      <x:c r="D214" s="65" t="str">
        <x:v>jakarta-policy-implementation</x:v>
      </x:c>
      <x:c r="E214" s="65" t="str">
        <x:v>jakarta-policy-implementation:structure:2</x:v>
      </x:c>
      <x:c r="F214" s="65" t="str">
        <x:v>p.3</x:v>
      </x:c>
      <x:c r="G214" s="92" t="n">
        <x:v>0.38068739</x:v>
      </x:c>
      <x:c r="H214" s="65" t="str">
        <x:v>Why rules can coexist with poor air: implementation evidence</x:v>
      </x:c>
      <x:c r="I214" s="65" t="str">
        <x:v>Pemerintah Provinsi DKI Jakarta; Dinas Lingkungan Hidup DKI Jakarta; Mahkamah Agung</x:v>
      </x:c>
      <x:c r="J214"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14" s="65" t="str">
        <x:v>https://www.jakarta.go.id/siaran-pers/4802-SP-HMS-06-2024</x:v>
      </x:c>
      <x:c r="L214" s="65" t="n">
        <x:v>0</x:v>
      </x:c>
      <x:c r="M214" s="65" t="str">
        <x:v>Machine-suggested near-miss; human review required.</x:v>
      </x:c>
    </x:row>
    <x:row r="215" ht="42" customHeight="1">
      <x:c r="A215" s="65" t="str">
        <x:v>gold30-011</x:v>
      </x:c>
      <x:c r="B215" s="65" t="str">
        <x:v>dense</x:v>
      </x:c>
      <x:c r="C215" s="88" t="n">
        <x:v>5</x:v>
      </x:c>
      <x:c r="D215" s="65" t="str">
        <x:v>jakarta-improvements</x:v>
      </x:c>
      <x:c r="E215" s="65" t="str">
        <x:v>jakarta-improvements:structure:0</x:v>
      </x:c>
      <x:c r="F215" s="65" t="str">
        <x:v>p.1</x:v>
      </x:c>
      <x:c r="G215" s="92" t="n">
        <x:v>0.35673776</x:v>
      </x:c>
      <x:c r="H215" s="65" t="str">
        <x:v>Ways to improve Jakarta air quality</x:v>
      </x:c>
      <x:c r="I215" s="65" t="str">
        <x:v>Pemerintah Provinsi DKI Jakarta / Dinas Lingkungan Hidup</x:v>
      </x:c>
      <x:c r="J215"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15" s="65" t="str">
        <x:v>https://www.jakarta.go.id/page/upaya-bersama-jaga-kualitas-udara-jakarta</x:v>
      </x:c>
      <x:c r="L215" s="65" t="n">
        <x:v>0</x:v>
      </x:c>
      <x:c r="M215" s="65" t="str">
        <x:v>Machine-suggested near-miss; human review required.</x:v>
      </x:c>
    </x:row>
    <x:row r="216" ht="42" customHeight="1">
      <x:c r="A216" s="65" t="str">
        <x:v>gold30-011</x:v>
      </x:c>
      <x:c r="B216" s="65" t="str">
        <x:v>hybrid</x:v>
      </x:c>
      <x:c r="C216" s="88" t="n">
        <x:v>1</x:v>
      </x:c>
      <x:c r="D216" s="65" t="str">
        <x:v>jakarta-causes</x:v>
      </x:c>
      <x:c r="E216" s="65" t="str">
        <x:v>jakarta-causes:structure:1</x:v>
      </x:c>
      <x:c r="F216" s="65" t="str">
        <x:v>p.2</x:v>
      </x:c>
      <x:c r="G216" s="92" t="n">
        <x:v>0.03311475</x:v>
      </x:c>
      <x:c r="H216" s="65" t="str">
        <x:v>What causes Jakarta air pollution</x:v>
      </x:c>
      <x:c r="I216" s="65" t="str">
        <x:v>Dinas Lingkungan Hidup DKI Jakarta / Vital Strategies / ITB</x:v>
      </x:c>
      <x:c r="J216"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216" s="65" t="str">
        <x:v>https://rendahemisi.jakarta.go.id/learn</x:v>
      </x:c>
      <x:c r="L216" s="65" t="n">
        <x:v>3</x:v>
      </x:c>
      <x:c r="M216" s="65" t="str">
        <x:v>Expected source for this question.</x:v>
      </x:c>
    </x:row>
    <x:row r="217" ht="42" customHeight="1">
      <x:c r="A217" s="65" t="str">
        <x:v>gold30-011</x:v>
      </x:c>
      <x:c r="B217" s="65" t="str">
        <x:v>hybrid</x:v>
      </x:c>
      <x:c r="C217" s="88" t="n">
        <x:v>2</x:v>
      </x:c>
      <x:c r="D217" s="65" t="str">
        <x:v>policy-improvements-evidence</x:v>
      </x:c>
      <x:c r="E217" s="65" t="str">
        <x:v>policy-improvements-evidence:structure:2</x:v>
      </x:c>
      <x:c r="F217" s="65" t="str">
        <x:v>p.3</x:v>
      </x:c>
      <x:c r="G217" s="92" t="n">
        <x:v>0.03232463</x:v>
      </x:c>
      <x:c r="H217" s="65" t="str">
        <x:v>Evidence-based policy improvements for Jakarta</x:v>
      </x:c>
      <x:c r="I217" s="65" t="str">
        <x:v>Dinas Lingkungan Hidup DKI Jakarta; World Health Organization</x:v>
      </x:c>
      <x:c r="J217"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17" s="65" t="str">
        <x:v>https://www.jakarta.go.id/siaran-pers/4802-SP-HMS-06-2024</x:v>
      </x:c>
      <x:c r="L217" s="65" t="n">
        <x:v>0</x:v>
      </x:c>
      <x:c r="M217" s="65" t="str">
        <x:v>Machine-suggested near-miss; human review required.</x:v>
      </x:c>
    </x:row>
    <x:row r="218" ht="42" customHeight="1">
      <x:c r="A218" s="65" t="str">
        <x:v>gold30-011</x:v>
      </x:c>
      <x:c r="B218" s="65" t="str">
        <x:v>hybrid</x:v>
      </x:c>
      <x:c r="C218" s="88" t="n">
        <x:v>3</x:v>
      </x:c>
      <x:c r="D218" s="65" t="str">
        <x:v>jakarta-policy-implementation</x:v>
      </x:c>
      <x:c r="E218" s="65" t="str">
        <x:v>jakarta-policy-implementation:structure:2</x:v>
      </x:c>
      <x:c r="F218" s="65" t="str">
        <x:v>p.3</x:v>
      </x:c>
      <x:c r="G218" s="92" t="n">
        <x:v>0.03132212</x:v>
      </x:c>
      <x:c r="H218" s="65" t="str">
        <x:v>Why rules can coexist with poor air: implementation evidence</x:v>
      </x:c>
      <x:c r="I218" s="65" t="str">
        <x:v>Pemerintah Provinsi DKI Jakarta; Dinas Lingkungan Hidup DKI Jakarta; Mahkamah Agung</x:v>
      </x:c>
      <x:c r="J218"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18" s="65" t="str">
        <x:v>https://www.jakarta.go.id/siaran-pers/4802-SP-HMS-06-2024</x:v>
      </x:c>
      <x:c r="L218" s="65" t="n">
        <x:v>0</x:v>
      </x:c>
      <x:c r="M218" s="65" t="str">
        <x:v>Machine-suggested near-miss; human review required.</x:v>
      </x:c>
    </x:row>
    <x:row r="219" ht="42" customHeight="1">
      <x:c r="A219" s="65" t="str">
        <x:v>gold30-011</x:v>
      </x:c>
      <x:c r="B219" s="65" t="str">
        <x:v>hybrid</x:v>
      </x:c>
      <x:c r="C219" s="88" t="n">
        <x:v>4</x:v>
      </x:c>
      <x:c r="D219" s="65" t="str">
        <x:v>individual-emission-actions</x:v>
      </x:c>
      <x:c r="E219" s="65" t="str">
        <x:v>individual-emission-actions:structure:0</x:v>
      </x:c>
      <x:c r="F219" s="65" t="str">
        <x:v>p.1</x:v>
      </x:c>
      <x:c r="G219" s="92" t="n">
        <x:v>0.03111585</x:v>
      </x:c>
      <x:c r="H219" s="65" t="str">
        <x:v>What an individual can do to reduce emissions and improve accountability</x:v>
      </x:c>
      <x:c r="I219" s="65" t="str">
        <x:v>World Health Organization; Pemerintah Provinsi DKI Jakarta</x:v>
      </x:c>
      <x:c r="J219" s="65" t="str">
        <x:v>Published: 2024-11-15 (WHO practical briefs); DKI programme guidance accessed 2026-09-07 Status as of: 2026-09-07 (recommendations and programmes; not a substitute for enforcement) Document type: civic_and_emissions_guidance Tags: topic=individual-contribution; audience=Jakarta-…</x:v>
      </x:c>
      <x:c r="K219" s="65" t="str">
        <x:v>https://www.who.int/europe/publications/m/item/personal-level-actions-to-reduce-air-pollution-exposure</x:v>
      </x:c>
      <x:c r="L219" s="65" t="n">
        <x:v>0</x:v>
      </x:c>
      <x:c r="M219" s="65" t="str">
        <x:v>Machine-suggested near-miss; human review required.</x:v>
      </x:c>
    </x:row>
    <x:row r="220" ht="42" customHeight="1">
      <x:c r="A220" s="65" t="str">
        <x:v>gold30-011</x:v>
      </x:c>
      <x:c r="B220" s="65" t="str">
        <x:v>hybrid</x:v>
      </x:c>
      <x:c r="C220" s="88" t="n">
        <x:v>5</x:v>
      </x:c>
      <x:c r="D220" s="65" t="str">
        <x:v>jakarta-improvements</x:v>
      </x:c>
      <x:c r="E220" s="65" t="str">
        <x:v>jakarta-improvements:structure:0</x:v>
      </x:c>
      <x:c r="F220" s="65" t="str">
        <x:v>p.1</x:v>
      </x:c>
      <x:c r="G220" s="92" t="n">
        <x:v>0.02997802</x:v>
      </x:c>
      <x:c r="H220" s="65" t="str">
        <x:v>Ways to improve Jakarta air quality</x:v>
      </x:c>
      <x:c r="I220" s="65" t="str">
        <x:v>Pemerintah Provinsi DKI Jakarta / Dinas Lingkungan Hidup</x:v>
      </x:c>
      <x:c r="J220"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20" s="65" t="str">
        <x:v>https://www.jakarta.go.id/page/upaya-bersama-jaga-kualitas-udara-jakarta</x:v>
      </x:c>
      <x:c r="L220" s="65" t="n">
        <x:v>0</x:v>
      </x:c>
      <x:c r="M220" s="65" t="str">
        <x:v>Machine-suggested near-miss; human review required.</x:v>
      </x:c>
    </x:row>
    <x:row r="221" ht="42" customHeight="1">
      <x:c r="A221" s="65" t="str">
        <x:v>gold30-011</x:v>
      </x:c>
      <x:c r="B221" s="65" t="str">
        <x:v>hybrid_rerank</x:v>
      </x:c>
      <x:c r="C221" s="88" t="n">
        <x:v>1</x:v>
      </x:c>
      <x:c r="D221" s="65" t="str">
        <x:v>jakarta-causes</x:v>
      </x:c>
      <x:c r="E221" s="65" t="str">
        <x:v>jakarta-causes:structure:1</x:v>
      </x:c>
      <x:c r="F221" s="65" t="str">
        <x:v>p.2</x:v>
      </x:c>
      <x:c r="G221" s="92" t="n">
        <x:v>0.47660109</x:v>
      </x:c>
      <x:c r="H221" s="65" t="str">
        <x:v>What causes Jakarta air pollution</x:v>
      </x:c>
      <x:c r="I221" s="65" t="str">
        <x:v>Dinas Lingkungan Hidup DKI Jakarta / Vital Strategies / ITB</x:v>
      </x:c>
      <x:c r="J221"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221" s="65" t="str">
        <x:v>https://rendahemisi.jakarta.go.id/learn</x:v>
      </x:c>
      <x:c r="L221" s="65" t="n">
        <x:v>3</x:v>
      </x:c>
      <x:c r="M221" s="65" t="str">
        <x:v>Expected source for this question.</x:v>
      </x:c>
    </x:row>
    <x:row r="222" ht="42" customHeight="1">
      <x:c r="A222" s="65" t="str">
        <x:v>gold30-011</x:v>
      </x:c>
      <x:c r="B222" s="65" t="str">
        <x:v>hybrid_rerank</x:v>
      </x:c>
      <x:c r="C222" s="88" t="n">
        <x:v>2</x:v>
      </x:c>
      <x:c r="D222" s="65" t="str">
        <x:v>policy-improvements-evidence</x:v>
      </x:c>
      <x:c r="E222" s="65" t="str">
        <x:v>policy-improvements-evidence:structure:2</x:v>
      </x:c>
      <x:c r="F222" s="65" t="str">
        <x:v>p.3</x:v>
      </x:c>
      <x:c r="G222" s="92" t="n">
        <x:v>0.47636406</x:v>
      </x:c>
      <x:c r="H222" s="65" t="str">
        <x:v>Evidence-based policy improvements for Jakarta</x:v>
      </x:c>
      <x:c r="I222" s="65" t="str">
        <x:v>Dinas Lingkungan Hidup DKI Jakarta; World Health Organization</x:v>
      </x:c>
      <x:c r="J222"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22" s="65" t="str">
        <x:v>https://www.jakarta.go.id/siaran-pers/4802-SP-HMS-06-2024</x:v>
      </x:c>
      <x:c r="L222" s="65" t="n">
        <x:v>0</x:v>
      </x:c>
      <x:c r="M222" s="65" t="str">
        <x:v>Machine-suggested near-miss; human review required.</x:v>
      </x:c>
    </x:row>
    <x:row r="223" ht="42" customHeight="1">
      <x:c r="A223" s="65" t="str">
        <x:v>gold30-011</x:v>
      </x:c>
      <x:c r="B223" s="65" t="str">
        <x:v>hybrid_rerank</x:v>
      </x:c>
      <x:c r="C223" s="88" t="n">
        <x:v>3</x:v>
      </x:c>
      <x:c r="D223" s="65" t="str">
        <x:v>jakarta-sppu-official-status-2024</x:v>
      </x:c>
      <x:c r="E223" s="65" t="str">
        <x:v>jakarta-sppu-official-status-2024:structure:3</x:v>
      </x:c>
      <x:c r="F223" s="65" t="str">
        <x:v>p.4</x:v>
      </x:c>
      <x:c r="G223" s="92" t="n">
        <x:v>0.47150538</x:v>
      </x:c>
      <x:c r="H223" s="65" t="str">
        <x:v>Jakarta SPPU and air-quality implementation status (official statement, 2024)</x:v>
      </x:c>
      <x:c r="I223" s="65" t="str">
        <x:v>Pemerintah Provinsi DKI Jakarta / Dinas Lingkungan Hidup DKI Jakarta</x:v>
      </x:c>
      <x:c r="J223" s="65" t="str">
        <x:v>The statement supports a cautious distinction between a policy activity and a measured air-quality outcome. Transported pollution, multiple authorities and incomplete public denominators are plausible constraints to investigate; they do not prove that one policy or source caused…</x:v>
      </x:c>
      <x:c r="K223" s="65" t="str">
        <x:v>https://www.jakarta.go.id/siaran-pers/4802-SP-HMS-06-2024</x:v>
      </x:c>
      <x:c r="L223" s="65" t="n">
        <x:v>0</x:v>
      </x:c>
      <x:c r="M223" s="65" t="str">
        <x:v>Machine-suggested near-miss; human review required.</x:v>
      </x:c>
    </x:row>
    <x:row r="224" ht="42" customHeight="1">
      <x:c r="A224" s="65" t="str">
        <x:v>gold30-011</x:v>
      </x:c>
      <x:c r="B224" s="65" t="str">
        <x:v>hybrid_rerank</x:v>
      </x:c>
      <x:c r="C224" s="88" t="n">
        <x:v>4</x:v>
      </x:c>
      <x:c r="D224" s="65" t="str">
        <x:v>jakarta-policy-implementation</x:v>
      </x:c>
      <x:c r="E224" s="65" t="str">
        <x:v>jakarta-policy-implementation:structure:2</x:v>
      </x:c>
      <x:c r="F224" s="65" t="str">
        <x:v>p.3</x:v>
      </x:c>
      <x:c r="G224" s="92" t="n">
        <x:v>0.35939663</x:v>
      </x:c>
      <x:c r="H224" s="65" t="str">
        <x:v>Why rules can coexist with poor air: implementation evidence</x:v>
      </x:c>
      <x:c r="I224" s="65" t="str">
        <x:v>Pemerintah Provinsi DKI Jakarta; Dinas Lingkungan Hidup DKI Jakarta; Mahkamah Agung</x:v>
      </x:c>
      <x:c r="J224"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24" s="65" t="str">
        <x:v>https://www.jakarta.go.id/siaran-pers/4802-SP-HMS-06-2024</x:v>
      </x:c>
      <x:c r="L224" s="65" t="n">
        <x:v>0</x:v>
      </x:c>
      <x:c r="M224" s="65" t="str">
        <x:v>Machine-suggested near-miss; human review required.</x:v>
      </x:c>
    </x:row>
    <x:row r="225" ht="42" customHeight="1">
      <x:c r="A225" s="65" t="str">
        <x:v>gold30-011</x:v>
      </x:c>
      <x:c r="B225" s="65" t="str">
        <x:v>hybrid_rerank</x:v>
      </x:c>
      <x:c r="C225" s="88" t="n">
        <x:v>5</x:v>
      </x:c>
      <x:c r="D225" s="65" t="str">
        <x:v>jakarta-historical-city-series</x:v>
      </x:c>
      <x:c r="E225" s="65" t="str">
        <x:v>jakarta-historical-city-series:structure:6</x:v>
      </x:c>
      <x:c r="F225" s="65" t="str">
        <x:v>p.7</x:v>
      </x:c>
      <x:c r="G225" s="92" t="n">
        <x:v>0.3546875</x:v>
      </x:c>
      <x:c r="H225" s="65" t="str">
        <x:v>Jakarta historical PM2.5 and PM10 series: provenance and quality</x:v>
      </x:c>
      <x:c r="I225" s="65" t="str">
        <x:v>Open-Meteo / CAMS Global; deposited dataset by Nitiraj Kulkarni and Jagadish Tawade</x:v>
      </x:c>
      <x:c r="J225" s="65" t="str">
        <x:v>The visual near-overlap is concentrated in the 92-row recent refresh: its Pearson correlation is 0.997, median gap 1.89 µg/m³, and median ratio 1.022. The 1,295 Zenodo rows have correlation 0.895, median gap 19.66 µg/m³, and median ratio 1.436. The repository code does not alias…</x:v>
      </x:c>
      <x:c r="K225" s="65" t="str">
        <x:v>https://zenodo.org/records/18673885</x:v>
      </x:c>
      <x:c r="L225" s="65" t="n">
        <x:v>0</x:v>
      </x:c>
      <x:c r="M225" s="65" t="str">
        <x:v>Machine-suggested near-miss; human review required.</x:v>
      </x:c>
    </x:row>
    <x:row r="226" ht="42" customHeight="1">
      <x:c r="A226" s="65" t="str">
        <x:v>gold30-012</x:v>
      </x:c>
      <x:c r="B226" s="65" t="str">
        <x:v>bm25</x:v>
      </x:c>
      <x:c r="C226" s="88" t="n">
        <x:v>1</x:v>
      </x:c>
      <x:c r="D226" s="65" t="str">
        <x:v>bad-air-day-protection</x:v>
      </x:c>
      <x:c r="E226" s="65" t="str">
        <x:v>bad-air-day-protection:structure:0</x:v>
      </x:c>
      <x:c r="F226" s="65" t="str">
        <x:v>p.1</x:v>
      </x:c>
      <x:c r="G226" s="92" t="n">
        <x:v>0</x:v>
      </x:c>
      <x:c r="H226" s="65" t="str">
        <x:v>Bad-air-day protection playbook</x:v>
      </x:c>
      <x:c r="I226" s="65" t="str">
        <x:v>World Health Organization, Regional Office for Europe</x:v>
      </x:c>
      <x:c r="J226" s="65" t="str">
        <x:v>Published: 2024-10-04 Status as of: 2026-09-07 (health guidance; not Indonesian law) Document type: health_guidance Tags: topic=exposure-protection; audience=Jakarta-resident; action=protect-now; pollutant=ambient-particles</x:v>
      </x:c>
      <x:c r="K226" s="65" t="str">
        <x:v>https://www.who.int/news-room/questions-and-answers/item/air-pollution-personal-interventions-and-risk-communication</x:v>
      </x:c>
      <x:c r="L226" s="65" t="n">
        <x:v>0</x:v>
      </x:c>
      <x:c r="M226" s="65" t="str">
        <x:v>Machine-suggested near-miss; human review required.</x:v>
      </x:c>
    </x:row>
    <x:row r="227" ht="42" customHeight="1">
      <x:c r="A227" s="65" t="str">
        <x:v>gold30-012</x:v>
      </x:c>
      <x:c r="B227" s="65" t="str">
        <x:v>bm25</x:v>
      </x:c>
      <x:c r="C227" s="88" t="n">
        <x:v>2</x:v>
      </x:c>
      <x:c r="D227" s="65" t="str">
        <x:v>clean-air-room</x:v>
      </x:c>
      <x:c r="E227" s="65" t="str">
        <x:v>clean-air-room:structure:0</x:v>
      </x:c>
      <x:c r="F227" s="65" t="str">
        <x:v>p.1</x:v>
      </x:c>
      <x:c r="G227" s="92" t="n">
        <x:v>0</x:v>
      </x:c>
      <x:c r="H227" s="65" t="str">
        <x:v>Indoor filtration and a clean-air room</x:v>
      </x:c>
      <x:c r="I227" s="65" t="str">
        <x:v>United States Environmental Protection Agency</x:v>
      </x:c>
      <x:c r="J227" s="65" t="str">
        <x:v>Published: not stated; page last updated 2026-02-17 (accessed 2026-09-07) Status as of: 2026-09-07 (technical guidance; not Indonesian law) Document type: indoor_air_guidance Tags: topic=indoor-filtration; audience=household; action=protect-now; pollutant=particles</x:v>
      </x:c>
      <x:c r="K227" s="65" t="str">
        <x:v>https://www.epa.gov/indoor-air-quality-iaq/guide-air-cleaners-home</x:v>
      </x:c>
      <x:c r="L227" s="65" t="n">
        <x:v>0</x:v>
      </x:c>
      <x:c r="M227" s="65" t="str">
        <x:v>Machine-suggested near-miss; human review required.</x:v>
      </x:c>
    </x:row>
    <x:row r="228" ht="42" customHeight="1">
      <x:c r="A228" s="65" t="str">
        <x:v>gold30-012</x:v>
      </x:c>
      <x:c r="B228" s="65" t="str">
        <x:v>bm25</x:v>
      </x:c>
      <x:c r="C228" s="88" t="n">
        <x:v>3</x:v>
      </x:c>
      <x:c r="D228" s="65" t="str">
        <x:v>epa-air-cleaners-home-2026</x:v>
      </x:c>
      <x:c r="E228" s="65" t="str">
        <x:v>epa-air-cleaners-home-2026:structure:0</x:v>
      </x:c>
      <x:c r="F228" s="65" t="str">
        <x:v>p.1</x:v>
      </x:c>
      <x:c r="G228" s="92" t="n">
        <x:v>0</x:v>
      </x:c>
      <x:c r="H228" s="65" t="str">
        <x:v>US EPA Guide to Air Cleaners in the Home (2nd edition)</x:v>
      </x:c>
      <x:c r="I228" s="65" t="str">
        <x:v>United States Environmental Protection Agency</x:v>
      </x:c>
      <x:c r="J228" s="65" t="str">
        <x:v>The EPA guide discusses portable air cleaners, heating/ventilation and air-conditioning filters, indoor pollutant sources and practical limits. It is technical household guidance and should not be presented as a Jakarta regulation.</x:v>
      </x:c>
      <x:c r="K228" s="65" t="str">
        <x:v>https://www.epa.gov/indoor-air-quality-iaq/guide-air-cleaners-home</x:v>
      </x:c>
      <x:c r="L228" s="65" t="n">
        <x:v>0</x:v>
      </x:c>
      <x:c r="M228" s="65" t="str">
        <x:v>Machine-suggested near-miss; human review required.</x:v>
      </x:c>
    </x:row>
    <x:row r="229" ht="42" customHeight="1">
      <x:c r="A229" s="65" t="str">
        <x:v>gold30-012</x:v>
      </x:c>
      <x:c r="B229" s="65" t="str">
        <x:v>bm25</x:v>
      </x:c>
      <x:c r="C229" s="88" t="n">
        <x:v>4</x:v>
      </x:c>
      <x:c r="D229" s="65" t="str">
        <x:v>exposure-protection</x:v>
      </x:c>
      <x:c r="E229" s="65" t="str">
        <x:v>exposure-protection:structure:0</x:v>
      </x:c>
      <x:c r="F229" s="65" t="str">
        <x:v>p.1</x:v>
      </x:c>
      <x:c r="G229" s="92" t="n">
        <x:v>0</x:v>
      </x:c>
      <x:c r="H229" s="65" t="str">
        <x:v>Reducing personal exposure to air pollution</x:v>
      </x:c>
      <x:c r="I229" s="65" t="str">
        <x:v>World Health Organization</x:v>
      </x:c>
      <x:c r="J229"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229" s="65" t="str">
        <x:v>https://www.who.int/publications/i/item/9789240000278</x:v>
      </x:c>
      <x:c r="L229" s="65" t="n">
        <x:v>0</x:v>
      </x:c>
      <x:c r="M229" s="65" t="str">
        <x:v>Machine-suggested near-miss; human review required.</x:v>
      </x:c>
    </x:row>
    <x:row r="230" ht="42" customHeight="1">
      <x:c r="A230" s="65" t="str">
        <x:v>gold30-012</x:v>
      </x:c>
      <x:c r="B230" s="65" t="str">
        <x:v>bm25</x:v>
      </x:c>
      <x:c r="C230" s="88" t="n">
        <x:v>5</x:v>
      </x:c>
      <x:c r="D230" s="65" t="str">
        <x:v>health-disclaimer</x:v>
      </x:c>
      <x:c r="E230" s="65" t="str">
        <x:v>health-disclaimer:structure:0</x:v>
      </x:c>
      <x:c r="F230" s="65" t="str">
        <x:v>p.1</x:v>
      </x:c>
      <x:c r="G230" s="92" t="n">
        <x:v>0</x:v>
      </x:c>
      <x:c r="H230" s="65" t="str">
        <x:v>Health communication boundary</x:v>
      </x:c>
      <x:c r="I230" s="65" t="str">
        <x:v>World Health Organization</x:v>
      </x:c>
      <x:c r="J230"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230" s="65" t="str">
        <x:v>https://www.who.int/publications/i/item/9789240000278</x:v>
      </x:c>
      <x:c r="L230" s="65" t="n">
        <x:v>0</x:v>
      </x:c>
      <x:c r="M230" s="65" t="str">
        <x:v>Machine-suggested near-miss; human review required.</x:v>
      </x:c>
    </x:row>
    <x:row r="231" ht="42" customHeight="1">
      <x:c r="A231" s="65" t="str">
        <x:v>gold30-012</x:v>
      </x:c>
      <x:c r="B231" s="65" t="str">
        <x:v>dense</x:v>
      </x:c>
      <x:c r="C231" s="88" t="n">
        <x:v>1</x:v>
      </x:c>
      <x:c r="D231" s="65" t="str">
        <x:v>jakarta-historical-city-series</x:v>
      </x:c>
      <x:c r="E231" s="65" t="str">
        <x:v>jakarta-historical-city-series:structure:0</x:v>
      </x:c>
      <x:c r="F231" s="65" t="str">
        <x:v>p.1</x:v>
      </x:c>
      <x:c r="G231" s="92" t="n">
        <x:v>0.13736962</x:v>
      </x:c>
      <x:c r="H231" s="65" t="str">
        <x:v>Jakarta historical PM2.5 and PM10 series: provenance and quality</x:v>
      </x:c>
      <x:c r="I231" s="65" t="str">
        <x:v>Open-Meteo / CAMS Global; deposited dataset by Nitiraj Kulkarni and Jagadish Tawade</x:v>
      </x:c>
      <x:c r="J231" s="65" t="str">
        <x:v>API source: https://air-quality-api.open-meteo.com/v1/air-quality Retrieved: 2026-09-07</x:v>
      </x:c>
      <x:c r="K231" s="65" t="str">
        <x:v>https://zenodo.org/records/18673885</x:v>
      </x:c>
      <x:c r="L231" s="65" t="n">
        <x:v>0</x:v>
      </x:c>
      <x:c r="M231" s="65" t="str">
        <x:v>Machine-suggested near-miss; human review required.</x:v>
      </x:c>
    </x:row>
    <x:row r="232" ht="42" customHeight="1">
      <x:c r="A232" s="65" t="str">
        <x:v>gold30-012</x:v>
      </x:c>
      <x:c r="B232" s="65" t="str">
        <x:v>dense</x:v>
      </x:c>
      <x:c r="C232" s="88" t="n">
        <x:v>2</x:v>
      </x:c>
      <x:c r="D232" s="65" t="str">
        <x:v>permen-lhk-8-2023-vehicle-emissions</x:v>
      </x:c>
      <x:c r="E232" s="65" t="str">
        <x:v>permen-lhk-8-2023-vehicle-emissions:structure:0</x:v>
      </x:c>
      <x:c r="F232" s="65" t="str">
        <x:v>p.1</x:v>
      </x:c>
      <x:c r="G232" s="92" t="n">
        <x:v>0.10938051</x:v>
      </x:c>
      <x:c r="H232" s="65" t="str">
        <x:v>Permen LHK No. 8 Tahun 2023 — vehicle emission standards and testing</x:v>
      </x:c>
      <x:c r="I232" s="65" t="str">
        <x:v>Kementerian Lingkungan Hidup dan Kehutanan / Database Peraturan BPK</x:v>
      </x:c>
      <x:c r="J232"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32" s="65" t="str">
        <x:v>https://peraturan.bpk.go.id/Details/262504/permen-lhk-no-8-tahun-2023</x:v>
      </x:c>
      <x:c r="L232" s="65" t="n">
        <x:v>0</x:v>
      </x:c>
      <x:c r="M232" s="65" t="str">
        <x:v>Machine-suggested near-miss; human review required.</x:v>
      </x:c>
    </x:row>
    <x:row r="233" ht="42" customHeight="1">
      <x:c r="A233" s="65" t="str">
        <x:v>gold30-012</x:v>
      </x:c>
      <x:c r="B233" s="65" t="str">
        <x:v>dense</x:v>
      </x:c>
      <x:c r="C233" s="88" t="n">
        <x:v>3</x:v>
      </x:c>
      <x:c r="D233" s="65" t="str">
        <x:v>pp-22-2021-air-quality</x:v>
      </x:c>
      <x:c r="E233" s="65" t="str">
        <x:v>pp-22-2021-air-quality:structure:0</x:v>
      </x:c>
      <x:c r="F233" s="65" t="str">
        <x:v>p.1</x:v>
      </x:c>
      <x:c r="G233" s="92" t="n">
        <x:v>0.10490365</x:v>
      </x:c>
      <x:c r="H233" s="65" t="str">
        <x:v>PP No. 22 Tahun 2021 — environmental protection and ambient air quality</x:v>
      </x:c>
      <x:c r="I233" s="65" t="str">
        <x:v>Pemerintah Republik Indonesia / Database Peraturan BPK</x:v>
      </x:c>
      <x:c r="J233"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233" s="65" t="str">
        <x:v>https://peraturan.bpk.go.id/Details/161852/pp-no-22tahun-2021</x:v>
      </x:c>
      <x:c r="L233" s="65" t="n">
        <x:v>0</x:v>
      </x:c>
      <x:c r="M233" s="65" t="str">
        <x:v>Machine-suggested near-miss; human review required.</x:v>
      </x:c>
    </x:row>
    <x:row r="234" ht="42" customHeight="1">
      <x:c r="A234" s="65" t="str">
        <x:v>gold30-012</x:v>
      </x:c>
      <x:c r="B234" s="65" t="str">
        <x:v>dense</x:v>
      </x:c>
      <x:c r="C234" s="88" t="n">
        <x:v>4</x:v>
      </x:c>
      <x:c r="D234" s="65" t="str">
        <x:v>pergub-66-2020-vehicle-testing</x:v>
      </x:c>
      <x:c r="E234" s="65" t="str">
        <x:v>pergub-66-2020-vehicle-testing:structure:0</x:v>
      </x:c>
      <x:c r="F234" s="65" t="str">
        <x:v>p.1</x:v>
      </x:c>
      <x:c r="G234" s="92" t="n">
        <x:v>0.10146969</x:v>
      </x:c>
      <x:c r="H234" s="65" t="str">
        <x:v>Pergub DKI Jakarta No. 66 Tahun 2020 — motor-vehicle emission testing</x:v>
      </x:c>
      <x:c r="I234" s="65" t="str">
        <x:v>Pemerintah Provinsi DKI Jakarta / Database Peraturan BPK</x:v>
      </x:c>
      <x:c r="J234" s="65" t="str">
        <x:v>Peraturan Gubernur Provinsi DKI Jakarta Nomor 66 Tahun 2020 is titled Uji Emisi Gas Buang Kendaraan Bermotor. The BPK record gives the adoption date as 22 July 2020, promulgation date as 24 July 2020, and effective date as 24 December 2020.</x:v>
      </x:c>
      <x:c r="K234" s="65" t="str">
        <x:v>https://peraturan.bpk.go.id/Details/153923/pergub-prov-dki-jakarta-no-66-tahun-2020</x:v>
      </x:c>
      <x:c r="L234" s="65" t="n">
        <x:v>0</x:v>
      </x:c>
      <x:c r="M234" s="65" t="str">
        <x:v>Machine-suggested near-miss; human review required.</x:v>
      </x:c>
    </x:row>
    <x:row r="235" ht="42" customHeight="1">
      <x:c r="A235" s="65" t="str">
        <x:v>gold30-012</x:v>
      </x:c>
      <x:c r="B235" s="65" t="str">
        <x:v>dense</x:v>
      </x:c>
      <x:c r="C235" s="88" t="n">
        <x:v>5</x:v>
      </x:c>
      <x:c r="D235" s="65" t="str">
        <x:v>jakarta-court-air-quality</x:v>
      </x:c>
      <x:c r="E235" s="65" t="str">
        <x:v>jakarta-court-air-quality:structure:0</x:v>
      </x:c>
      <x:c r="F235" s="65" t="str">
        <x:v>p.1</x:v>
      </x:c>
      <x:c r="G235" s="92" t="n">
        <x:v>0.09583171</x:v>
      </x:c>
      <x:c r="H235" s="65" t="str">
        <x:v>Jakarta air-pollution citizen lawsuit: what the court record establishes</x:v>
      </x:c>
      <x:c r="I235" s="65" t="str">
        <x:v>Mahkamah Agung Republik Indonesia</x:v>
      </x:c>
      <x:c r="J235" s="65" t="str">
        <x:v>Published: decision dated 2021-09-16; directory accessed 2026-09-07 Status as of: 2026-09-07 (court-record scope; execution status must be checked separately) Document type: court_record Tags: topic=regulation-implementation; audience=public-accountability; action=participation</x:v>
      </x:c>
      <x:c r="K235" s="65" t="str">
        <x:v>https://putusan3.mahkamahagung.go.id/pengadilan/profil/pengadilan/pn-jakarta-pusat.html</x:v>
      </x:c>
      <x:c r="L235" s="65" t="n">
        <x:v>0</x:v>
      </x:c>
      <x:c r="M235" s="65" t="str">
        <x:v>Machine-suggested near-miss; human review required.</x:v>
      </x:c>
    </x:row>
    <x:row r="236" ht="42" customHeight="1">
      <x:c r="A236" s="65" t="str">
        <x:v>gold30-012</x:v>
      </x:c>
      <x:c r="B236" s="65" t="str">
        <x:v>hybrid</x:v>
      </x:c>
      <x:c r="C236" s="88" t="n">
        <x:v>1</x:v>
      </x:c>
      <x:c r="D236" s="65" t="str">
        <x:v>clean-air-room</x:v>
      </x:c>
      <x:c r="E236" s="65" t="str">
        <x:v>clean-air-room:structure:0</x:v>
      </x:c>
      <x:c r="F236" s="65" t="str">
        <x:v>p.1</x:v>
      </x:c>
      <x:c r="G236" s="92" t="n">
        <x:v>0.03135291</x:v>
      </x:c>
      <x:c r="H236" s="65" t="str">
        <x:v>Indoor filtration and a clean-air room</x:v>
      </x:c>
      <x:c r="I236" s="65" t="str">
        <x:v>United States Environmental Protection Agency</x:v>
      </x:c>
      <x:c r="J236" s="65" t="str">
        <x:v>Published: not stated; page last updated 2026-02-17 (accessed 2026-09-07) Status as of: 2026-09-07 (technical guidance; not Indonesian law) Document type: indoor_air_guidance Tags: topic=indoor-filtration; audience=household; action=protect-now; pollutant=particles</x:v>
      </x:c>
      <x:c r="K236" s="65" t="str">
        <x:v>https://www.epa.gov/indoor-air-quality-iaq/guide-air-cleaners-home</x:v>
      </x:c>
      <x:c r="L236" s="65" t="n">
        <x:v>0</x:v>
      </x:c>
      <x:c r="M236" s="65" t="str">
        <x:v>Machine-suggested near-miss; human review required.</x:v>
      </x:c>
    </x:row>
    <x:row r="237" ht="42" customHeight="1">
      <x:c r="A237" s="65" t="str">
        <x:v>gold30-012</x:v>
      </x:c>
      <x:c r="B237" s="65" t="str">
        <x:v>hybrid</x:v>
      </x:c>
      <x:c r="C237" s="88" t="n">
        <x:v>2</x:v>
      </x:c>
      <x:c r="D237" s="65" t="str">
        <x:v>jakarta-court-air-quality</x:v>
      </x:c>
      <x:c r="E237" s="65" t="str">
        <x:v>jakarta-court-air-quality:structure:0</x:v>
      </x:c>
      <x:c r="F237" s="65" t="str">
        <x:v>p.1</x:v>
      </x:c>
      <x:c r="G237" s="92" t="n">
        <x:v>0.02997802</x:v>
      </x:c>
      <x:c r="H237" s="65" t="str">
        <x:v>Jakarta air-pollution citizen lawsuit: what the court record establishes</x:v>
      </x:c>
      <x:c r="I237" s="65" t="str">
        <x:v>Mahkamah Agung Republik Indonesia</x:v>
      </x:c>
      <x:c r="J237" s="65" t="str">
        <x:v>Published: decision dated 2021-09-16; directory accessed 2026-09-07 Status as of: 2026-09-07 (court-record scope; execution status must be checked separately) Document type: court_record Tags: topic=regulation-implementation; audience=public-accountability; action=participation</x:v>
      </x:c>
      <x:c r="K237" s="65" t="str">
        <x:v>https://putusan3.mahkamahagung.go.id/pengadilan/profil/pengadilan/pn-jakarta-pusat.html</x:v>
      </x:c>
      <x:c r="L237" s="65" t="n">
        <x:v>0</x:v>
      </x:c>
      <x:c r="M237" s="65" t="str">
        <x:v>Machine-suggested near-miss; human review required.</x:v>
      </x:c>
    </x:row>
    <x:row r="238" ht="42" customHeight="1">
      <x:c r="A238" s="65" t="str">
        <x:v>gold30-012</x:v>
      </x:c>
      <x:c r="B238" s="65" t="str">
        <x:v>hybrid</x:v>
      </x:c>
      <x:c r="C238" s="88" t="n">
        <x:v>3</x:v>
      </x:c>
      <x:c r="D238" s="65" t="str">
        <x:v>jakarta-historical-city-series</x:v>
      </x:c>
      <x:c r="E238" s="65" t="str">
        <x:v>jakarta-historical-city-series:structure:0</x:v>
      </x:c>
      <x:c r="F238" s="65" t="str">
        <x:v>p.1</x:v>
      </x:c>
      <x:c r="G238" s="92" t="n">
        <x:v>0.01672131</x:v>
      </x:c>
      <x:c r="H238" s="65" t="str">
        <x:v>Jakarta historical PM2.5 and PM10 series: provenance and quality</x:v>
      </x:c>
      <x:c r="I238" s="65" t="str">
        <x:v>Open-Meteo / CAMS Global; deposited dataset by Nitiraj Kulkarni and Jagadish Tawade</x:v>
      </x:c>
      <x:c r="J238" s="65" t="str">
        <x:v>API source: https://air-quality-api.open-meteo.com/v1/air-quality Retrieved: 2026-09-07</x:v>
      </x:c>
      <x:c r="K238" s="65" t="str">
        <x:v>https://zenodo.org/records/18673885</x:v>
      </x:c>
      <x:c r="L238" s="65" t="n">
        <x:v>0</x:v>
      </x:c>
      <x:c r="M238" s="65" t="str">
        <x:v>Machine-suggested near-miss; human review required.</x:v>
      </x:c>
    </x:row>
    <x:row r="239" ht="42" customHeight="1">
      <x:c r="A239" s="65" t="str">
        <x:v>gold30-012</x:v>
      </x:c>
      <x:c r="B239" s="65" t="str">
        <x:v>hybrid</x:v>
      </x:c>
      <x:c r="C239" s="88" t="n">
        <x:v>4</x:v>
      </x:c>
      <x:c r="D239" s="65" t="str">
        <x:v>permen-lhk-8-2023-vehicle-emissions</x:v>
      </x:c>
      <x:c r="E239" s="65" t="str">
        <x:v>permen-lhk-8-2023-vehicle-emissions:structure:0</x:v>
      </x:c>
      <x:c r="F239" s="65" t="str">
        <x:v>p.1</x:v>
      </x:c>
      <x:c r="G239" s="92" t="n">
        <x:v>0.01645161</x:v>
      </x:c>
      <x:c r="H239" s="65" t="str">
        <x:v>Permen LHK No. 8 Tahun 2023 — vehicle emission standards and testing</x:v>
      </x:c>
      <x:c r="I239" s="65" t="str">
        <x:v>Kementerian Lingkungan Hidup dan Kehutanan / Database Peraturan BPK</x:v>
      </x:c>
      <x:c r="J239"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39" s="65" t="str">
        <x:v>https://peraturan.bpk.go.id/Details/262504/permen-lhk-no-8-tahun-2023</x:v>
      </x:c>
      <x:c r="L239" s="65" t="n">
        <x:v>0</x:v>
      </x:c>
      <x:c r="M239" s="65" t="str">
        <x:v>Machine-suggested near-miss; human review required.</x:v>
      </x:c>
    </x:row>
    <x:row r="240" ht="42" customHeight="1">
      <x:c r="A240" s="65" t="str">
        <x:v>gold30-012</x:v>
      </x:c>
      <x:c r="B240" s="65" t="str">
        <x:v>hybrid</x:v>
      </x:c>
      <x:c r="C240" s="88" t="n">
        <x:v>5</x:v>
      </x:c>
      <x:c r="D240" s="65" t="str">
        <x:v>bad-air-day-protection</x:v>
      </x:c>
      <x:c r="E240" s="65" t="str">
        <x:v>bad-air-day-protection:structure:0</x:v>
      </x:c>
      <x:c r="F240" s="65" t="str">
        <x:v>p.1</x:v>
      </x:c>
      <x:c r="G240" s="92" t="n">
        <x:v>0.01639344</x:v>
      </x:c>
      <x:c r="H240" s="65" t="str">
        <x:v>Bad-air-day protection playbook</x:v>
      </x:c>
      <x:c r="I240" s="65" t="str">
        <x:v>World Health Organization, Regional Office for Europe</x:v>
      </x:c>
      <x:c r="J240" s="65" t="str">
        <x:v>Published: 2024-10-04 Status as of: 2026-09-07 (health guidance; not Indonesian law) Document type: health_guidance Tags: topic=exposure-protection; audience=Jakarta-resident; action=protect-now; pollutant=ambient-particles</x:v>
      </x:c>
      <x:c r="K240" s="65" t="str">
        <x:v>https://www.who.int/news-room/questions-and-answers/item/air-pollution-personal-interventions-and-risk-communication</x:v>
      </x:c>
      <x:c r="L240" s="65" t="n">
        <x:v>0</x:v>
      </x:c>
      <x:c r="M240" s="65" t="str">
        <x:v>Machine-suggested near-miss; human review required.</x:v>
      </x:c>
    </x:row>
    <x:row r="241" ht="42" customHeight="1">
      <x:c r="A241" s="65" t="str">
        <x:v>gold30-012</x:v>
      </x:c>
      <x:c r="B241" s="65" t="str">
        <x:v>hybrid_rerank</x:v>
      </x:c>
      <x:c r="C241" s="88" t="n">
        <x:v>1</x:v>
      </x:c>
      <x:c r="D241" s="65" t="str">
        <x:v>clean-air-room</x:v>
      </x:c>
      <x:c r="E241" s="65" t="str">
        <x:v>clean-air-room:structure:0</x:v>
      </x:c>
      <x:c r="F241" s="65" t="str">
        <x:v>p.1</x:v>
      </x:c>
      <x:c r="G241" s="92" t="n">
        <x:v>0.00940587</x:v>
      </x:c>
      <x:c r="H241" s="65" t="str">
        <x:v>Indoor filtration and a clean-air room</x:v>
      </x:c>
      <x:c r="I241" s="65" t="str">
        <x:v>United States Environmental Protection Agency</x:v>
      </x:c>
      <x:c r="J241" s="65" t="str">
        <x:v>Published: not stated; page last updated 2026-02-17 (accessed 2026-09-07) Status as of: 2026-09-07 (technical guidance; not Indonesian law) Document type: indoor_air_guidance Tags: topic=indoor-filtration; audience=household; action=protect-now; pollutant=particles</x:v>
      </x:c>
      <x:c r="K241" s="65" t="str">
        <x:v>https://www.epa.gov/indoor-air-quality-iaq/guide-air-cleaners-home</x:v>
      </x:c>
      <x:c r="L241" s="65" t="n">
        <x:v>0</x:v>
      </x:c>
      <x:c r="M241" s="65" t="str">
        <x:v>Machine-suggested near-miss; human review required.</x:v>
      </x:c>
    </x:row>
    <x:row r="242" ht="42" customHeight="1">
      <x:c r="A242" s="65" t="str">
        <x:v>gold30-012</x:v>
      </x:c>
      <x:c r="B242" s="65" t="str">
        <x:v>hybrid_rerank</x:v>
      </x:c>
      <x:c r="C242" s="88" t="n">
        <x:v>2</x:v>
      </x:c>
      <x:c r="D242" s="65" t="str">
        <x:v>jakarta-court-air-quality</x:v>
      </x:c>
      <x:c r="E242" s="65" t="str">
        <x:v>jakarta-court-air-quality:structure:0</x:v>
      </x:c>
      <x:c r="F242" s="65" t="str">
        <x:v>p.1</x:v>
      </x:c>
      <x:c r="G242" s="92" t="n">
        <x:v>0.00899341</x:v>
      </x:c>
      <x:c r="H242" s="65" t="str">
        <x:v>Jakarta air-pollution citizen lawsuit: what the court record establishes</x:v>
      </x:c>
      <x:c r="I242" s="65" t="str">
        <x:v>Mahkamah Agung Republik Indonesia</x:v>
      </x:c>
      <x:c r="J242" s="65" t="str">
        <x:v>Published: decision dated 2021-09-16; directory accessed 2026-09-07 Status as of: 2026-09-07 (court-record scope; execution status must be checked separately) Document type: court_record Tags: topic=regulation-implementation; audience=public-accountability; action=participation</x:v>
      </x:c>
      <x:c r="K242" s="65" t="str">
        <x:v>https://putusan3.mahkamahagung.go.id/pengadilan/profil/pengadilan/pn-jakarta-pusat.html</x:v>
      </x:c>
      <x:c r="L242" s="65" t="n">
        <x:v>0</x:v>
      </x:c>
      <x:c r="M242" s="65" t="str">
        <x:v>Machine-suggested near-miss; human review required.</x:v>
      </x:c>
    </x:row>
    <x:row r="243" ht="42" customHeight="1">
      <x:c r="A243" s="65" t="str">
        <x:v>gold30-012</x:v>
      </x:c>
      <x:c r="B243" s="65" t="str">
        <x:v>hybrid_rerank</x:v>
      </x:c>
      <x:c r="C243" s="88" t="n">
        <x:v>3</x:v>
      </x:c>
      <x:c r="D243" s="65" t="str">
        <x:v>jakarta-historical-city-series</x:v>
      </x:c>
      <x:c r="E243" s="65" t="str">
        <x:v>jakarta-historical-city-series:structure:0</x:v>
      </x:c>
      <x:c r="F243" s="65" t="str">
        <x:v>p.1</x:v>
      </x:c>
      <x:c r="G243" s="92" t="n">
        <x:v>0.00501639</x:v>
      </x:c>
      <x:c r="H243" s="65" t="str">
        <x:v>Jakarta historical PM2.5 and PM10 series: provenance and quality</x:v>
      </x:c>
      <x:c r="I243" s="65" t="str">
        <x:v>Open-Meteo / CAMS Global; deposited dataset by Nitiraj Kulkarni and Jagadish Tawade</x:v>
      </x:c>
      <x:c r="J243" s="65" t="str">
        <x:v>API source: https://air-quality-api.open-meteo.com/v1/air-quality Retrieved: 2026-09-07</x:v>
      </x:c>
      <x:c r="K243" s="65" t="str">
        <x:v>https://zenodo.org/records/18673885</x:v>
      </x:c>
      <x:c r="L243" s="65" t="n">
        <x:v>0</x:v>
      </x:c>
      <x:c r="M243" s="65" t="str">
        <x:v>Machine-suggested near-miss; human review required.</x:v>
      </x:c>
    </x:row>
    <x:row r="244" ht="42" customHeight="1">
      <x:c r="A244" s="65" t="str">
        <x:v>gold30-012</x:v>
      </x:c>
      <x:c r="B244" s="65" t="str">
        <x:v>hybrid_rerank</x:v>
      </x:c>
      <x:c r="C244" s="88" t="n">
        <x:v>4</x:v>
      </x:c>
      <x:c r="D244" s="65" t="str">
        <x:v>permen-lhk-8-2023-vehicle-emissions</x:v>
      </x:c>
      <x:c r="E244" s="65" t="str">
        <x:v>permen-lhk-8-2023-vehicle-emissions:structure:0</x:v>
      </x:c>
      <x:c r="F244" s="65" t="str">
        <x:v>p.1</x:v>
      </x:c>
      <x:c r="G244" s="92" t="n">
        <x:v>0.00493548</x:v>
      </x:c>
      <x:c r="H244" s="65" t="str">
        <x:v>Permen LHK No. 8 Tahun 2023 — vehicle emission standards and testing</x:v>
      </x:c>
      <x:c r="I244" s="65" t="str">
        <x:v>Kementerian Lingkungan Hidup dan Kehutanan / Database Peraturan BPK</x:v>
      </x:c>
      <x:c r="J244"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44" s="65" t="str">
        <x:v>https://peraturan.bpk.go.id/Details/262504/permen-lhk-no-8-tahun-2023</x:v>
      </x:c>
      <x:c r="L244" s="65" t="n">
        <x:v>0</x:v>
      </x:c>
      <x:c r="M244" s="65" t="str">
        <x:v>Machine-suggested near-miss; human review required.</x:v>
      </x:c>
    </x:row>
    <x:row r="245" ht="42" customHeight="1">
      <x:c r="A245" s="65" t="str">
        <x:v>gold30-012</x:v>
      </x:c>
      <x:c r="B245" s="65" t="str">
        <x:v>hybrid_rerank</x:v>
      </x:c>
      <x:c r="C245" s="88" t="n">
        <x:v>5</x:v>
      </x:c>
      <x:c r="D245" s="65" t="str">
        <x:v>bad-air-day-protection</x:v>
      </x:c>
      <x:c r="E245" s="65" t="str">
        <x:v>bad-air-day-protection:structure:0</x:v>
      </x:c>
      <x:c r="F245" s="65" t="str">
        <x:v>p.1</x:v>
      </x:c>
      <x:c r="G245" s="92" t="n">
        <x:v>0.00491803</x:v>
      </x:c>
      <x:c r="H245" s="65" t="str">
        <x:v>Bad-air-day protection playbook</x:v>
      </x:c>
      <x:c r="I245" s="65" t="str">
        <x:v>World Health Organization, Regional Office for Europe</x:v>
      </x:c>
      <x:c r="J245" s="65" t="str">
        <x:v>Published: 2024-10-04 Status as of: 2026-09-07 (health guidance; not Indonesian law) Document type: health_guidance Tags: topic=exposure-protection; audience=Jakarta-resident; action=protect-now; pollutant=ambient-particles</x:v>
      </x:c>
      <x:c r="K245" s="65" t="str">
        <x:v>https://www.who.int/news-room/questions-and-answers/item/air-pollution-personal-interventions-and-risk-communication</x:v>
      </x:c>
      <x:c r="L245" s="65" t="n">
        <x:v>0</x:v>
      </x:c>
      <x:c r="M245" s="65" t="str">
        <x:v>Machine-suggested near-miss; human review required.</x:v>
      </x:c>
    </x:row>
    <x:row r="246" ht="42" customHeight="1">
      <x:c r="A246" s="65" t="str">
        <x:v>gold30-013</x:v>
      </x:c>
      <x:c r="B246" s="65" t="str">
        <x:v>bm25</x:v>
      </x:c>
      <x:c r="C246" s="88" t="n">
        <x:v>1</x:v>
      </x:c>
      <x:c r="D246" s="65" t="str">
        <x:v>jakarta-policy-implementation</x:v>
      </x:c>
      <x:c r="E246" s="65" t="str">
        <x:v>jakarta-policy-implementation:structure:2</x:v>
      </x:c>
      <x:c r="F246" s="65" t="str">
        <x:v>p.3</x:v>
      </x:c>
      <x:c r="G246" s="92" t="n">
        <x:v>0.75</x:v>
      </x:c>
      <x:c r="H246" s="65" t="str">
        <x:v>Why rules can coexist with poor air: implementation evidence</x:v>
      </x:c>
      <x:c r="I246" s="65" t="str">
        <x:v>Pemerintah Provinsi DKI Jakarta; Dinas Lingkungan Hidup DKI Jakarta; Mahkamah Agung</x:v>
      </x:c>
      <x:c r="J246"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46" s="65" t="str">
        <x:v>https://www.jakarta.go.id/siaran-pers/4802-SP-HMS-06-2024</x:v>
      </x:c>
      <x:c r="L246" s="65" t="n">
        <x:v>3</x:v>
      </x:c>
      <x:c r="M246" s="65" t="str">
        <x:v>Expected source for this question.</x:v>
      </x:c>
    </x:row>
    <x:row r="247" ht="42" customHeight="1">
      <x:c r="A247" s="65" t="str">
        <x:v>gold30-013</x:v>
      </x:c>
      <x:c r="B247" s="65" t="str">
        <x:v>bm25</x:v>
      </x:c>
      <x:c r="C247" s="88" t="n">
        <x:v>2</x:v>
      </x:c>
      <x:c r="D247" s="65" t="str">
        <x:v>bad-air-day-protection</x:v>
      </x:c>
      <x:c r="E247" s="65" t="str">
        <x:v>bad-air-day-protection:structure:1</x:v>
      </x:c>
      <x:c r="F247" s="65" t="str">
        <x:v>p.2</x:v>
      </x:c>
      <x:c r="G247" s="92" t="n">
        <x:v>0.625</x:v>
      </x:c>
      <x:c r="H247" s="65" t="str">
        <x:v>Bad-air-day protection playbook</x:v>
      </x:c>
      <x:c r="I247" s="65" t="str">
        <x:v>World Health Organization, Regional Office for Europe</x:v>
      </x:c>
      <x:c r="J247"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247" s="65" t="str">
        <x:v>https://www.who.int/news-room/questions-and-answers/item/air-pollution-personal-interventions-and-risk-communication</x:v>
      </x:c>
      <x:c r="L247" s="65" t="n">
        <x:v>0</x:v>
      </x:c>
      <x:c r="M247" s="65" t="str">
        <x:v>Machine-suggested near-miss; human review required.</x:v>
      </x:c>
    </x:row>
    <x:row r="248" ht="42" customHeight="1">
      <x:c r="A248" s="65" t="str">
        <x:v>gold30-013</x:v>
      </x:c>
      <x:c r="B248" s="65" t="str">
        <x:v>bm25</x:v>
      </x:c>
      <x:c r="C248" s="88" t="n">
        <x:v>3</x:v>
      </x:c>
      <x:c r="D248" s="65" t="str">
        <x:v>individual-emission-actions</x:v>
      </x:c>
      <x:c r="E248" s="65" t="str">
        <x:v>individual-emission-actions:structure:1</x:v>
      </x:c>
      <x:c r="F248" s="65" t="str">
        <x:v>p.2</x:v>
      </x:c>
      <x:c r="G248" s="92" t="n">
        <x:v>0.625</x:v>
      </x:c>
      <x:c r="H248" s="65" t="str">
        <x:v>What an individual can do to reduce emissions and improve accountability</x:v>
      </x:c>
      <x:c r="I248" s="65" t="str">
        <x:v>World Health Organization; Pemerintah Provinsi DKI Jakarta</x:v>
      </x:c>
      <x:c r="J248"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248" s="65" t="str">
        <x:v>https://www.who.int/europe/publications/m/item/personal-level-actions-to-reduce-air-pollution-exposure</x:v>
      </x:c>
      <x:c r="L248" s="65" t="n">
        <x:v>0</x:v>
      </x:c>
      <x:c r="M248" s="65" t="str">
        <x:v>Machine-suggested near-miss; human review required.</x:v>
      </x:c>
    </x:row>
    <x:row r="249" ht="42" customHeight="1">
      <x:c r="A249" s="65" t="str">
        <x:v>gold30-013</x:v>
      </x:c>
      <x:c r="B249" s="65" t="str">
        <x:v>bm25</x:v>
      </x:c>
      <x:c r="C249" s="88" t="n">
        <x:v>4</x:v>
      </x:c>
      <x:c r="D249" s="65" t="str">
        <x:v>jakarta-improvements</x:v>
      </x:c>
      <x:c r="E249" s="65" t="str">
        <x:v>jakarta-improvements:structure:0</x:v>
      </x:c>
      <x:c r="F249" s="65" t="str">
        <x:v>p.1</x:v>
      </x:c>
      <x:c r="G249" s="92" t="n">
        <x:v>0.625</x:v>
      </x:c>
      <x:c r="H249" s="65" t="str">
        <x:v>Ways to improve Jakarta air quality</x:v>
      </x:c>
      <x:c r="I249" s="65" t="str">
        <x:v>Pemerintah Provinsi DKI Jakarta / Dinas Lingkungan Hidup</x:v>
      </x:c>
      <x:c r="J249"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49" s="65" t="str">
        <x:v>https://www.jakarta.go.id/page/upaya-bersama-jaga-kualitas-udara-jakarta</x:v>
      </x:c>
      <x:c r="L249" s="65" t="n">
        <x:v>0</x:v>
      </x:c>
      <x:c r="M249" s="65" t="str">
        <x:v>Machine-suggested near-miss; human review required.</x:v>
      </x:c>
    </x:row>
    <x:row r="250" ht="42" customHeight="1">
      <x:c r="A250" s="65" t="str">
        <x:v>gold30-013</x:v>
      </x:c>
      <x:c r="B250" s="65" t="str">
        <x:v>bm25</x:v>
      </x:c>
      <x:c r="C250" s="88" t="n">
        <x:v>5</x:v>
      </x:c>
      <x:c r="D250" s="65" t="str">
        <x:v>clean-air-room</x:v>
      </x:c>
      <x:c r="E250" s="65" t="str">
        <x:v>clean-air-room:structure:1</x:v>
      </x:c>
      <x:c r="F250" s="65" t="str">
        <x:v>p.2</x:v>
      </x:c>
      <x:c r="G250" s="92" t="n">
        <x:v>0.5</x:v>
      </x:c>
      <x:c r="H250" s="65" t="str">
        <x:v>Indoor filtration and a clean-air room</x:v>
      </x:c>
      <x:c r="I250" s="65" t="str">
        <x:v>United States Environmental Protection Agency</x:v>
      </x:c>
      <x:c r="J250"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250" s="65" t="str">
        <x:v>https://www.epa.gov/indoor-air-quality-iaq/guide-air-cleaners-home</x:v>
      </x:c>
      <x:c r="L250" s="65" t="n">
        <x:v>0</x:v>
      </x:c>
      <x:c r="M250" s="65" t="str">
        <x:v>Machine-suggested near-miss; human review required.</x:v>
      </x:c>
    </x:row>
    <x:row r="251" ht="42" customHeight="1">
      <x:c r="A251" s="65" t="str">
        <x:v>gold30-013</x:v>
      </x:c>
      <x:c r="B251" s="65" t="str">
        <x:v>dense</x:v>
      </x:c>
      <x:c r="C251" s="88" t="n">
        <x:v>1</x:v>
      </x:c>
      <x:c r="D251" s="65" t="str">
        <x:v>jakarta-court-air-quality</x:v>
      </x:c>
      <x:c r="E251" s="65" t="str">
        <x:v>jakarta-court-air-quality:structure:1</x:v>
      </x:c>
      <x:c r="F251" s="65" t="str">
        <x:v>p.2</x:v>
      </x:c>
      <x:c r="G251" s="92" t="n">
        <x:v>0.35179674</x:v>
      </x:c>
      <x:c r="H251" s="65" t="str">
        <x:v>Jakarta air-pollution citizen lawsuit: what the court record establishes</x:v>
      </x:c>
      <x:c r="I251" s="65" t="str">
        <x:v>Mahkamah Agung Republik Indonesia</x:v>
      </x:c>
      <x:c r="J251"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251" s="65" t="str">
        <x:v>https://putusan3.mahkamahagung.go.id/pengadilan/profil/pengadilan/pn-jakarta-pusat.html</x:v>
      </x:c>
      <x:c r="L251" s="65" t="n">
        <x:v>0</x:v>
      </x:c>
      <x:c r="M251" s="65" t="str">
        <x:v>Machine-suggested near-miss; human review required.</x:v>
      </x:c>
    </x:row>
    <x:row r="252" ht="42" customHeight="1">
      <x:c r="A252" s="65" t="str">
        <x:v>gold30-013</x:v>
      </x:c>
      <x:c r="B252" s="65" t="str">
        <x:v>dense</x:v>
      </x:c>
      <x:c r="C252" s="88" t="n">
        <x:v>2</x:v>
      </x:c>
      <x:c r="D252" s="65" t="str">
        <x:v>jakarta-policy-implementation</x:v>
      </x:c>
      <x:c r="E252" s="65" t="str">
        <x:v>jakarta-policy-implementation:structure:2</x:v>
      </x:c>
      <x:c r="F252" s="65" t="str">
        <x:v>p.3</x:v>
      </x:c>
      <x:c r="G252" s="92" t="n">
        <x:v>0.34413549</x:v>
      </x:c>
      <x:c r="H252" s="65" t="str">
        <x:v>Why rules can coexist with poor air: implementation evidence</x:v>
      </x:c>
      <x:c r="I252" s="65" t="str">
        <x:v>Pemerintah Provinsi DKI Jakarta; Dinas Lingkungan Hidup DKI Jakarta; Mahkamah Agung</x:v>
      </x:c>
      <x:c r="J252"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52" s="65" t="str">
        <x:v>https://www.jakarta.go.id/siaran-pers/4802-SP-HMS-06-2024</x:v>
      </x:c>
      <x:c r="L252" s="65" t="n">
        <x:v>3</x:v>
      </x:c>
      <x:c r="M252" s="65" t="str">
        <x:v>Expected source for this question.</x:v>
      </x:c>
    </x:row>
    <x:row r="253" ht="42" customHeight="1">
      <x:c r="A253" s="65" t="str">
        <x:v>gold30-013</x:v>
      </x:c>
      <x:c r="B253" s="65" t="str">
        <x:v>dense</x:v>
      </x:c>
      <x:c r="C253" s="88" t="n">
        <x:v>3</x:v>
      </x:c>
      <x:c r="D253" s="65" t="str">
        <x:v>jakarta-improvements</x:v>
      </x:c>
      <x:c r="E253" s="65" t="str">
        <x:v>jakarta-improvements:structure:0</x:v>
      </x:c>
      <x:c r="F253" s="65" t="str">
        <x:v>p.1</x:v>
      </x:c>
      <x:c r="G253" s="92" t="n">
        <x:v>0.3405766</x:v>
      </x:c>
      <x:c r="H253" s="65" t="str">
        <x:v>Ways to improve Jakarta air quality</x:v>
      </x:c>
      <x:c r="I253" s="65" t="str">
        <x:v>Pemerintah Provinsi DKI Jakarta / Dinas Lingkungan Hidup</x:v>
      </x:c>
      <x:c r="J253"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53" s="65" t="str">
        <x:v>https://www.jakarta.go.id/page/upaya-bersama-jaga-kualitas-udara-jakarta</x:v>
      </x:c>
      <x:c r="L253" s="65" t="n">
        <x:v>0</x:v>
      </x:c>
      <x:c r="M253" s="65" t="str">
        <x:v>Machine-suggested near-miss; human review required.</x:v>
      </x:c>
    </x:row>
    <x:row r="254" ht="42" customHeight="1">
      <x:c r="A254" s="65" t="str">
        <x:v>gold30-013</x:v>
      </x:c>
      <x:c r="B254" s="65" t="str">
        <x:v>dense</x:v>
      </x:c>
      <x:c r="C254" s="88" t="n">
        <x:v>4</x:v>
      </x:c>
      <x:c r="D254" s="65" t="str">
        <x:v>ma-jakarta-air-lawsuit-record</x:v>
      </x:c>
      <x:c r="E254" s="65" t="str">
        <x:v>ma-jakarta-air-lawsuit-record:structure:0</x:v>
      </x:c>
      <x:c r="F254" s="65" t="str">
        <x:v>p.1</x:v>
      </x:c>
      <x:c r="G254" s="92" t="n">
        <x:v>0.33833128</x:v>
      </x:c>
      <x:c r="H254" s="65" t="str">
        <x:v>Mahkamah Agung record — Jakarta air-pollution citizen lawsuit</x:v>
      </x:c>
      <x:c r="I254" s="65" t="str">
        <x:v>Mahkamah Agung Republik Indonesia</x:v>
      </x:c>
      <x:c r="J254"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254" s="65" t="str">
        <x:v>https://putusan3.mahkamahagung.go.id/pengadilan/profil/pengadilan/pn-jakarta-pusat.html</x:v>
      </x:c>
      <x:c r="L254" s="65" t="n">
        <x:v>0</x:v>
      </x:c>
      <x:c r="M254" s="65" t="str">
        <x:v>Machine-suggested near-miss; human review required.</x:v>
      </x:c>
    </x:row>
    <x:row r="255" ht="42" customHeight="1">
      <x:c r="A255" s="65" t="str">
        <x:v>gold30-013</x:v>
      </x:c>
      <x:c r="B255" s="65" t="str">
        <x:v>dense</x:v>
      </x:c>
      <x:c r="C255" s="88" t="n">
        <x:v>5</x:v>
      </x:c>
      <x:c r="D255" s="65" t="str">
        <x:v>jakarta-monitoring</x:v>
      </x:c>
      <x:c r="E255" s="65" t="str">
        <x:v>jakarta-monitoring:structure:0</x:v>
      </x:c>
      <x:c r="F255" s="65" t="str">
        <x:v>p.1</x:v>
      </x:c>
      <x:c r="G255" s="92" t="n">
        <x:v>0.33501821</x:v>
      </x:c>
      <x:c r="H255" s="65" t="str">
        <x:v>Jakarta monitoring stations</x:v>
      </x:c>
      <x:c r="I255" s="65" t="str">
        <x:v>Dinas Lingkungan Hidup Provinsi DKI Jakarta</x:v>
      </x:c>
      <x:c r="J255" s="65" t="str">
        <x:v>Jakarta's official monitoring portal publishes station locations, pollutant parameters, current readings, and timestamps. A station observation describes that station and observation time; it should not automatically be generalized to all of Jakarta.</x:v>
      </x:c>
      <x:c r="K255" s="65" t="str">
        <x:v>https://udara.jakarta.go.id/lokasi-spku</x:v>
      </x:c>
      <x:c r="L255" s="65" t="n">
        <x:v>0</x:v>
      </x:c>
      <x:c r="M255" s="65" t="str">
        <x:v>Machine-suggested near-miss; human review required.</x:v>
      </x:c>
    </x:row>
    <x:row r="256" ht="42" customHeight="1">
      <x:c r="A256" s="65" t="str">
        <x:v>gold30-013</x:v>
      </x:c>
      <x:c r="B256" s="65" t="str">
        <x:v>hybrid</x:v>
      </x:c>
      <x:c r="C256" s="88" t="n">
        <x:v>1</x:v>
      </x:c>
      <x:c r="D256" s="65" t="str">
        <x:v>jakarta-policy-implementation</x:v>
      </x:c>
      <x:c r="E256" s="65" t="str">
        <x:v>jakarta-policy-implementation:structure:2</x:v>
      </x:c>
      <x:c r="F256" s="65" t="str">
        <x:v>p.3</x:v>
      </x:c>
      <x:c r="G256" s="92" t="n">
        <x:v>0.03284506</x:v>
      </x:c>
      <x:c r="H256" s="65" t="str">
        <x:v>Why rules can coexist with poor air: implementation evidence</x:v>
      </x:c>
      <x:c r="I256" s="65" t="str">
        <x:v>Pemerintah Provinsi DKI Jakarta; Dinas Lingkungan Hidup DKI Jakarta; Mahkamah Agung</x:v>
      </x:c>
      <x:c r="J256"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56" s="65" t="str">
        <x:v>https://www.jakarta.go.id/siaran-pers/4802-SP-HMS-06-2024</x:v>
      </x:c>
      <x:c r="L256" s="65" t="n">
        <x:v>3</x:v>
      </x:c>
      <x:c r="M256" s="65" t="str">
        <x:v>Expected source for this question.</x:v>
      </x:c>
    </x:row>
    <x:row r="257" ht="42" customHeight="1">
      <x:c r="A257" s="65" t="str">
        <x:v>gold30-013</x:v>
      </x:c>
      <x:c r="B257" s="65" t="str">
        <x:v>hybrid</x:v>
      </x:c>
      <x:c r="C257" s="88" t="n">
        <x:v>2</x:v>
      </x:c>
      <x:c r="D257" s="65" t="str">
        <x:v>jakarta-improvements</x:v>
      </x:c>
      <x:c r="E257" s="65" t="str">
        <x:v>jakarta-improvements:structure:0</x:v>
      </x:c>
      <x:c r="F257" s="65" t="str">
        <x:v>p.1</x:v>
      </x:c>
      <x:c r="G257" s="92" t="n">
        <x:v>0.03181548</x:v>
      </x:c>
      <x:c r="H257" s="65" t="str">
        <x:v>Ways to improve Jakarta air quality</x:v>
      </x:c>
      <x:c r="I257" s="65" t="str">
        <x:v>Pemerintah Provinsi DKI Jakarta / Dinas Lingkungan Hidup</x:v>
      </x:c>
      <x:c r="J257"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57" s="65" t="str">
        <x:v>https://www.jakarta.go.id/page/upaya-bersama-jaga-kualitas-udara-jakarta</x:v>
      </x:c>
      <x:c r="L257" s="65" t="n">
        <x:v>0</x:v>
      </x:c>
      <x:c r="M257" s="65" t="str">
        <x:v>Machine-suggested near-miss; human review required.</x:v>
      </x:c>
    </x:row>
    <x:row r="258" ht="42" customHeight="1">
      <x:c r="A258" s="65" t="str">
        <x:v>gold30-013</x:v>
      </x:c>
      <x:c r="B258" s="65" t="str">
        <x:v>hybrid</x:v>
      </x:c>
      <x:c r="C258" s="88" t="n">
        <x:v>3</x:v>
      </x:c>
      <x:c r="D258" s="65" t="str">
        <x:v>epa-air-cleaners-home-2026</x:v>
      </x:c>
      <x:c r="E258" s="65" t="str">
        <x:v>epa-air-cleaners-home-2026:structure:1</x:v>
      </x:c>
      <x:c r="F258" s="65" t="str">
        <x:v>p.2</x:v>
      </x:c>
      <x:c r="G258" s="92" t="n">
        <x:v>0.03060606</x:v>
      </x:c>
      <x:c r="H258" s="65" t="str">
        <x:v>US EPA Guide to Air Cleaners in the Home (2nd edition)</x:v>
      </x:c>
      <x:c r="I258" s="65" t="str">
        <x:v>United States Environmental Protection Agency</x:v>
      </x:c>
      <x:c r="J258" s="65" t="str">
        <x:v>The guide explains that a portable cleaner's clean air delivery rate (CADR) and the room size determine how much filtered air is delivered. A product recommendation therefore needs room dimensions and a stated particle CADR, rather than only a marketing label.</x:v>
      </x:c>
      <x:c r="K258" s="65" t="str">
        <x:v>https://www.epa.gov/indoor-air-quality-iaq/guide-air-cleaners-home</x:v>
      </x:c>
      <x:c r="L258" s="65" t="n">
        <x:v>0</x:v>
      </x:c>
      <x:c r="M258" s="65" t="str">
        <x:v>Machine-suggested near-miss; human review required.</x:v>
      </x:c>
    </x:row>
    <x:row r="259" ht="42" customHeight="1">
      <x:c r="A259" s="65" t="str">
        <x:v>gold30-013</x:v>
      </x:c>
      <x:c r="B259" s="65" t="str">
        <x:v>hybrid</x:v>
      </x:c>
      <x:c r="C259" s="88" t="n">
        <x:v>4</x:v>
      </x:c>
      <x:c r="D259" s="65" t="str">
        <x:v>ma-jakarta-air-lawsuit-record</x:v>
      </x:c>
      <x:c r="E259" s="65" t="str">
        <x:v>ma-jakarta-air-lawsuit-record:structure:0</x:v>
      </x:c>
      <x:c r="F259" s="65" t="str">
        <x:v>p.1</x:v>
      </x:c>
      <x:c r="G259" s="92" t="n">
        <x:v>0.03022321</x:v>
      </x:c>
      <x:c r="H259" s="65" t="str">
        <x:v>Mahkamah Agung record — Jakarta air-pollution citizen lawsuit</x:v>
      </x:c>
      <x:c r="I259" s="65" t="str">
        <x:v>Mahkamah Agung Republik Indonesia</x:v>
      </x:c>
      <x:c r="J259"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259" s="65" t="str">
        <x:v>https://putusan3.mahkamahagung.go.id/pengadilan/profil/pengadilan/pn-jakarta-pusat.html</x:v>
      </x:c>
      <x:c r="L259" s="65" t="n">
        <x:v>0</x:v>
      </x:c>
      <x:c r="M259" s="65" t="str">
        <x:v>Machine-suggested near-miss; human review required.</x:v>
      </x:c>
    </x:row>
    <x:row r="260" ht="42" customHeight="1">
      <x:c r="A260" s="65" t="str">
        <x:v>gold30-013</x:v>
      </x:c>
      <x:c r="B260" s="65" t="str">
        <x:v>hybrid</x:v>
      </x:c>
      <x:c r="C260" s="88" t="n">
        <x:v>5</x:v>
      </x:c>
      <x:c r="D260" s="65" t="str">
        <x:v>jakarta-causes</x:v>
      </x:c>
      <x:c r="E260" s="65" t="str">
        <x:v>jakarta-causes:structure:0</x:v>
      </x:c>
      <x:c r="F260" s="65" t="str">
        <x:v>p.1</x:v>
      </x:c>
      <x:c r="G260" s="92" t="n">
        <x:v>0.02970798</x:v>
      </x:c>
      <x:c r="H260" s="65" t="str">
        <x:v>What causes Jakarta air pollution</x:v>
      </x:c>
      <x:c r="I260" s="65" t="str">
        <x:v>Dinas Lingkungan Hidup DKI Jakarta / Vital Strategies / ITB</x:v>
      </x:c>
      <x:c r="J260"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260" s="65" t="str">
        <x:v>https://rendahemisi.jakarta.go.id/learn</x:v>
      </x:c>
      <x:c r="L260" s="65" t="n">
        <x:v>3</x:v>
      </x:c>
      <x:c r="M260" s="65" t="str">
        <x:v>Expected source for this question.</x:v>
      </x:c>
    </x:row>
    <x:row r="261" ht="42" customHeight="1">
      <x:c r="A261" s="65" t="str">
        <x:v>gold30-013</x:v>
      </x:c>
      <x:c r="B261" s="65" t="str">
        <x:v>hybrid_rerank</x:v>
      </x:c>
      <x:c r="C261" s="88" t="n">
        <x:v>1</x:v>
      </x:c>
      <x:c r="D261" s="65" t="str">
        <x:v>jakarta-policy-implementation</x:v>
      </x:c>
      <x:c r="E261" s="65" t="str">
        <x:v>jakarta-policy-implementation:structure:2</x:v>
      </x:c>
      <x:c r="F261" s="65" t="str">
        <x:v>p.3</x:v>
      </x:c>
      <x:c r="G261" s="92" t="n">
        <x:v>0.53485352</x:v>
      </x:c>
      <x:c r="H261" s="65" t="str">
        <x:v>Why rules can coexist with poor air: implementation evidence</x:v>
      </x:c>
      <x:c r="I261" s="65" t="str">
        <x:v>Pemerintah Provinsi DKI Jakarta; Dinas Lingkungan Hidup DKI Jakarta; Mahkamah Agung</x:v>
      </x:c>
      <x:c r="J261"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61" s="65" t="str">
        <x:v>https://www.jakarta.go.id/siaran-pers/4802-SP-HMS-06-2024</x:v>
      </x:c>
      <x:c r="L261" s="65" t="n">
        <x:v>3</x:v>
      </x:c>
      <x:c r="M261" s="65" t="str">
        <x:v>Expected source for this question.</x:v>
      </x:c>
    </x:row>
    <x:row r="262" ht="42" customHeight="1">
      <x:c r="A262" s="65" t="str">
        <x:v>gold30-013</x:v>
      </x:c>
      <x:c r="B262" s="65" t="str">
        <x:v>hybrid_rerank</x:v>
      </x:c>
      <x:c r="C262" s="88" t="n">
        <x:v>2</x:v>
      </x:c>
      <x:c r="D262" s="65" t="str">
        <x:v>jakarta-improvements</x:v>
      </x:c>
      <x:c r="E262" s="65" t="str">
        <x:v>jakarta-improvements:structure:0</x:v>
      </x:c>
      <x:c r="F262" s="65" t="str">
        <x:v>p.1</x:v>
      </x:c>
      <x:c r="G262" s="92" t="n">
        <x:v>0.44704464</x:v>
      </x:c>
      <x:c r="H262" s="65" t="str">
        <x:v>Ways to improve Jakarta air quality</x:v>
      </x:c>
      <x:c r="I262" s="65" t="str">
        <x:v>Pemerintah Provinsi DKI Jakarta / Dinas Lingkungan Hidup</x:v>
      </x:c>
      <x:c r="J262"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62" s="65" t="str">
        <x:v>https://www.jakarta.go.id/page/upaya-bersama-jaga-kualitas-udara-jakarta</x:v>
      </x:c>
      <x:c r="L262" s="65" t="n">
        <x:v>0</x:v>
      </x:c>
      <x:c r="M262" s="65" t="str">
        <x:v>Machine-suggested near-miss; human review required.</x:v>
      </x:c>
    </x:row>
    <x:row r="263" ht="42" customHeight="1">
      <x:c r="A263" s="65" t="str">
        <x:v>gold30-013</x:v>
      </x:c>
      <x:c r="B263" s="65" t="str">
        <x:v>hybrid_rerank</x:v>
      </x:c>
      <x:c r="C263" s="88" t="n">
        <x:v>3</x:v>
      </x:c>
      <x:c r="D263" s="65" t="str">
        <x:v>bad-air-day-protection</x:v>
      </x:c>
      <x:c r="E263" s="65" t="str">
        <x:v>bad-air-day-protection:structure:1</x:v>
      </x:c>
      <x:c r="F263" s="65" t="str">
        <x:v>p.2</x:v>
      </x:c>
      <x:c r="G263" s="92" t="n">
        <x:v>0.44233871</x:v>
      </x:c>
      <x:c r="H263" s="65" t="str">
        <x:v>Bad-air-day protection playbook</x:v>
      </x:c>
      <x:c r="I263" s="65" t="str">
        <x:v>World Health Organization, Regional Office for Europe</x:v>
      </x:c>
      <x:c r="J263"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263" s="65" t="str">
        <x:v>https://www.who.int/news-room/questions-and-answers/item/air-pollution-personal-interventions-and-risk-communication</x:v>
      </x:c>
      <x:c r="L263" s="65" t="n">
        <x:v>0</x:v>
      </x:c>
      <x:c r="M263" s="65" t="str">
        <x:v>Machine-suggested near-miss; human review required.</x:v>
      </x:c>
    </x:row>
    <x:row r="264" ht="42" customHeight="1">
      <x:c r="A264" s="65" t="str">
        <x:v>gold30-013</x:v>
      </x:c>
      <x:c r="B264" s="65" t="str">
        <x:v>hybrid_rerank</x:v>
      </x:c>
      <x:c r="C264" s="88" t="n">
        <x:v>4</x:v>
      </x:c>
      <x:c r="D264" s="65" t="str">
        <x:v>individual-emission-actions</x:v>
      </x:c>
      <x:c r="E264" s="65" t="str">
        <x:v>individual-emission-actions:structure:1</x:v>
      </x:c>
      <x:c r="F264" s="65" t="str">
        <x:v>p.2</x:v>
      </x:c>
      <x:c r="G264" s="92" t="n">
        <x:v>0.4422619</x:v>
      </x:c>
      <x:c r="H264" s="65" t="str">
        <x:v>What an individual can do to reduce emissions and improve accountability</x:v>
      </x:c>
      <x:c r="I264" s="65" t="str">
        <x:v>World Health Organization; Pemerintah Provinsi DKI Jakarta</x:v>
      </x:c>
      <x:c r="J264"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264" s="65" t="str">
        <x:v>https://www.who.int/europe/publications/m/item/personal-level-actions-to-reduce-air-pollution-exposure</x:v>
      </x:c>
      <x:c r="L264" s="65" t="n">
        <x:v>0</x:v>
      </x:c>
      <x:c r="M264" s="65" t="str">
        <x:v>Machine-suggested near-miss; human review required.</x:v>
      </x:c>
    </x:row>
    <x:row r="265" ht="42" customHeight="1">
      <x:c r="A265" s="65" t="str">
        <x:v>gold30-013</x:v>
      </x:c>
      <x:c r="B265" s="65" t="str">
        <x:v>hybrid_rerank</x:v>
      </x:c>
      <x:c r="C265" s="88" t="n">
        <x:v>5</x:v>
      </x:c>
      <x:c r="D265" s="65" t="str">
        <x:v>epa-air-cleaners-home-2026</x:v>
      </x:c>
      <x:c r="E265" s="65" t="str">
        <x:v>epa-air-cleaners-home-2026:structure:1</x:v>
      </x:c>
      <x:c r="F265" s="65" t="str">
        <x:v>p.2</x:v>
      </x:c>
      <x:c r="G265" s="92" t="n">
        <x:v>0.35918182</x:v>
      </x:c>
      <x:c r="H265" s="65" t="str">
        <x:v>US EPA Guide to Air Cleaners in the Home (2nd edition)</x:v>
      </x:c>
      <x:c r="I265" s="65" t="str">
        <x:v>United States Environmental Protection Agency</x:v>
      </x:c>
      <x:c r="J265" s="65" t="str">
        <x:v>The guide explains that a portable cleaner's clean air delivery rate (CADR) and the room size determine how much filtered air is delivered. A product recommendation therefore needs room dimensions and a stated particle CADR, rather than only a marketing label.</x:v>
      </x:c>
      <x:c r="K265" s="65" t="str">
        <x:v>https://www.epa.gov/indoor-air-quality-iaq/guide-air-cleaners-home</x:v>
      </x:c>
      <x:c r="L265" s="65" t="n">
        <x:v>0</x:v>
      </x:c>
      <x:c r="M265" s="65" t="str">
        <x:v>Machine-suggested near-miss; human review required.</x:v>
      </x:c>
    </x:row>
    <x:row r="266" ht="42" customHeight="1">
      <x:c r="A266" s="65" t="str">
        <x:v>gold30-014</x:v>
      </x:c>
      <x:c r="B266" s="65" t="str">
        <x:v>bm25</x:v>
      </x:c>
      <x:c r="C266" s="88" t="n">
        <x:v>1</x:v>
      </x:c>
      <x:c r="D266" s="65" t="str">
        <x:v>jakarta-emission-testing</x:v>
      </x:c>
      <x:c r="E266" s="65" t="str">
        <x:v>jakarta-emission-testing:structure:0</x:v>
      </x:c>
      <x:c r="F266" s="65" t="str">
        <x:v>p.1</x:v>
      </x:c>
      <x:c r="G266" s="92" t="n">
        <x:v>0.44444444</x:v>
      </x:c>
      <x:c r="H266" s="65" t="str">
        <x:v>Jakarta vehicle-emissions testing obligation</x:v>
      </x:c>
      <x:c r="I266" s="65" t="str">
        <x:v>Dinas Lingkungan Hidup DKI Jakarta</x:v>
      </x:c>
      <x:c r="J266" s="65" t="str">
        <x:v>Published: page accessed 2026-09-07 (FAQ date not stated) Status as of: 2026-09-07; Pergub 66/2020 is listed as berlaku Document type: official_faq Tags: topic=regulation-implementation; audience=vehicle-owner; action=compliance</x:v>
      </x:c>
      <x:c r="K266" s="65" t="str">
        <x:v>https://lingkunganhidup.jakarta.go.id/faq/ujiemisi</x:v>
      </x:c>
      <x:c r="L266" s="65" t="n">
        <x:v>3</x:v>
      </x:c>
      <x:c r="M266" s="65" t="str">
        <x:v>Expected source for this question.</x:v>
      </x:c>
    </x:row>
    <x:row r="267" ht="42" customHeight="1">
      <x:c r="A267" s="65" t="str">
        <x:v>gold30-014</x:v>
      </x:c>
      <x:c r="B267" s="65" t="str">
        <x:v>bm25</x:v>
      </x:c>
      <x:c r="C267" s="88" t="n">
        <x:v>2</x:v>
      </x:c>
      <x:c r="D267" s="65" t="str">
        <x:v>jakarta-policy-implementation</x:v>
      </x:c>
      <x:c r="E267" s="65" t="str">
        <x:v>jakarta-policy-implementation:structure:1</x:v>
      </x:c>
      <x:c r="F267" s="65" t="str">
        <x:v>p.2</x:v>
      </x:c>
      <x:c r="G267" s="92" t="n">
        <x:v>0.44444444</x:v>
      </x:c>
      <x:c r="H267" s="65" t="str">
        <x:v>Why rules can coexist with poor air: implementation evidence</x:v>
      </x:c>
      <x:c r="I267" s="65" t="str">
        <x:v>Pemerintah Provinsi DKI Jakarta; Dinas Lingkungan Hidup DKI Jakarta; Mahkamah Agung</x:v>
      </x:c>
      <x:c r="J267"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67" s="65" t="str">
        <x:v>https://www.jakarta.go.id/siaran-pers/4802-SP-HMS-06-2024</x:v>
      </x:c>
      <x:c r="L267" s="65" t="n">
        <x:v>0</x:v>
      </x:c>
      <x:c r="M267" s="65" t="str">
        <x:v>Machine-suggested near-miss; human review required.</x:v>
      </x:c>
    </x:row>
    <x:row r="268" ht="42" customHeight="1">
      <x:c r="A268" s="65" t="str">
        <x:v>gold30-014</x:v>
      </x:c>
      <x:c r="B268" s="65" t="str">
        <x:v>bm25</x:v>
      </x:c>
      <x:c r="C268" s="88" t="n">
        <x:v>3</x:v>
      </x:c>
      <x:c r="D268" s="65" t="str">
        <x:v>pergub-66-2020-vehicle-testing</x:v>
      </x:c>
      <x:c r="E268" s="65" t="str">
        <x:v>pergub-66-2020-vehicle-testing:structure:0</x:v>
      </x:c>
      <x:c r="F268" s="65" t="str">
        <x:v>p.1</x:v>
      </x:c>
      <x:c r="G268" s="92" t="n">
        <x:v>0.44444444</x:v>
      </x:c>
      <x:c r="H268" s="65" t="str">
        <x:v>Pergub DKI Jakarta No. 66 Tahun 2020 — motor-vehicle emission testing</x:v>
      </x:c>
      <x:c r="I268" s="65" t="str">
        <x:v>Pemerintah Provinsi DKI Jakarta / Database Peraturan BPK</x:v>
      </x:c>
      <x:c r="J268" s="65" t="str">
        <x:v>Peraturan Gubernur Provinsi DKI Jakarta Nomor 66 Tahun 2020 is titled Uji Emisi Gas Buang Kendaraan Bermotor. The BPK record gives the adoption date as 22 July 2020, promulgation date as 24 July 2020, and effective date as 24 December 2020.</x:v>
      </x:c>
      <x:c r="K268" s="65" t="str">
        <x:v>https://peraturan.bpk.go.id/Details/153923/pergub-prov-dki-jakarta-no-66-tahun-2020</x:v>
      </x:c>
      <x:c r="L268" s="65" t="n">
        <x:v>3</x:v>
      </x:c>
      <x:c r="M268" s="65" t="str">
        <x:v>Expected source for this question.</x:v>
      </x:c>
    </x:row>
    <x:row r="269" ht="42" customHeight="1">
      <x:c r="A269" s="65" t="str">
        <x:v>gold30-014</x:v>
      </x:c>
      <x:c r="B269" s="65" t="str">
        <x:v>bm25</x:v>
      </x:c>
      <x:c r="C269" s="88" t="n">
        <x:v>4</x:v>
      </x:c>
      <x:c r="D269" s="65" t="str">
        <x:v>jakarta-regulations</x:v>
      </x:c>
      <x:c r="E269" s="65" t="str">
        <x:v>jakarta-regulations:structure:0</x:v>
      </x:c>
      <x:c r="F269" s="65" t="str">
        <x:v>p.1</x:v>
      </x:c>
      <x:c r="G269" s="92" t="n">
        <x:v>0.33333333</x:v>
      </x:c>
      <x:c r="H269" s="65" t="str">
        <x:v>Jakarta and Indonesian air-quality regulations</x:v>
      </x:c>
      <x:c r="I269" s="65" t="str">
        <x:v>JDIH DKI Jakarta / Government of Indonesia</x:v>
      </x:c>
      <x:c r="J269"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69" s="65" t="str">
        <x:v>https://udara.jakarta.go.id/regulasi</x:v>
      </x:c>
      <x:c r="L269" s="65" t="n">
        <x:v>0</x:v>
      </x:c>
      <x:c r="M269" s="65" t="str">
        <x:v>Machine-suggested near-miss; human review required.</x:v>
      </x:c>
    </x:row>
    <x:row r="270" ht="42" customHeight="1">
      <x:c r="A270" s="65" t="str">
        <x:v>gold30-014</x:v>
      </x:c>
      <x:c r="B270" s="65" t="str">
        <x:v>bm25</x:v>
      </x:c>
      <x:c r="C270" s="88" t="n">
        <x:v>5</x:v>
      </x:c>
      <x:c r="D270" s="65" t="str">
        <x:v>ispu</x:v>
      </x:c>
      <x:c r="E270" s="65" t="str">
        <x:v>ispu:structure:0</x:v>
      </x:c>
      <x:c r="F270" s="65" t="str">
        <x:v>p.1</x:v>
      </x:c>
      <x:c r="G270" s="92" t="n">
        <x:v>0.11111111</x:v>
      </x:c>
      <x:c r="H270" s="65" t="str">
        <x:v>Indonesian ISPU categories</x:v>
      </x:c>
      <x:c r="I270" s="65" t="str">
        <x:v>Ministry of Environment and Forestry</x:v>
      </x:c>
      <x:c r="J270" s="65" t="str">
        <x:v>The Indonesian ISPU categories used in this demo are Baik (1-50), Sedang (51-100), Tidak Sehat (101-200), Sangat Tidak Sehat (201-300), and Berbahaya (301 or higher). ISPU is an index without a physical concentration unit.</x:v>
      </x:c>
      <x:c r="K270" s="65" t="str">
        <x:v>https://peraturan.bpk.go.id/Details/163466/permen-lhk-no-14-tahun-2020</x:v>
      </x:c>
      <x:c r="L270" s="65" t="n">
        <x:v>0</x:v>
      </x:c>
      <x:c r="M270" s="65" t="str">
        <x:v>Machine-suggested near-miss; human review required.</x:v>
      </x:c>
    </x:row>
    <x:row r="271" ht="42" customHeight="1">
      <x:c r="A271" s="65" t="str">
        <x:v>gold30-014</x:v>
      </x:c>
      <x:c r="B271" s="65" t="str">
        <x:v>dense</x:v>
      </x:c>
      <x:c r="C271" s="88" t="n">
        <x:v>1</x:v>
      </x:c>
      <x:c r="D271" s="65" t="str">
        <x:v>pergub-66-2020-vehicle-testing</x:v>
      </x:c>
      <x:c r="E271" s="65" t="str">
        <x:v>pergub-66-2020-vehicle-testing:structure:0</x:v>
      </x:c>
      <x:c r="F271" s="65" t="str">
        <x:v>p.1</x:v>
      </x:c>
      <x:c r="G271" s="92" t="n">
        <x:v>0.21087475</x:v>
      </x:c>
      <x:c r="H271" s="65" t="str">
        <x:v>Pergub DKI Jakarta No. 66 Tahun 2020 — motor-vehicle emission testing</x:v>
      </x:c>
      <x:c r="I271" s="65" t="str">
        <x:v>Pemerintah Provinsi DKI Jakarta / Database Peraturan BPK</x:v>
      </x:c>
      <x:c r="J271" s="65" t="str">
        <x:v>Peraturan Gubernur Provinsi DKI Jakarta Nomor 66 Tahun 2020 is titled Uji Emisi Gas Buang Kendaraan Bermotor. The BPK record gives the adoption date as 22 July 2020, promulgation date as 24 July 2020, and effective date as 24 December 2020.</x:v>
      </x:c>
      <x:c r="K271" s="65" t="str">
        <x:v>https://peraturan.bpk.go.id/Details/153923/pergub-prov-dki-jakarta-no-66-tahun-2020</x:v>
      </x:c>
      <x:c r="L271" s="65" t="n">
        <x:v>3</x:v>
      </x:c>
      <x:c r="M271" s="65" t="str">
        <x:v>Expected source for this question.</x:v>
      </x:c>
    </x:row>
    <x:row r="272" ht="42" customHeight="1">
      <x:c r="A272" s="65" t="str">
        <x:v>gold30-014</x:v>
      </x:c>
      <x:c r="B272" s="65" t="str">
        <x:v>dense</x:v>
      </x:c>
      <x:c r="C272" s="88" t="n">
        <x:v>2</x:v>
      </x:c>
      <x:c r="D272" s="65" t="str">
        <x:v>jakarta-policy-implementation</x:v>
      </x:c>
      <x:c r="E272" s="65" t="str">
        <x:v>jakarta-policy-implementation:structure:1</x:v>
      </x:c>
      <x:c r="F272" s="65" t="str">
        <x:v>p.2</x:v>
      </x:c>
      <x:c r="G272" s="92" t="n">
        <x:v>0.17884579</x:v>
      </x:c>
      <x:c r="H272" s="65" t="str">
        <x:v>Why rules can coexist with poor air: implementation evidence</x:v>
      </x:c>
      <x:c r="I272" s="65" t="str">
        <x:v>Pemerintah Provinsi DKI Jakarta; Dinas Lingkungan Hidup DKI Jakarta; Mahkamah Agung</x:v>
      </x:c>
      <x:c r="J272"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72" s="65" t="str">
        <x:v>https://www.jakarta.go.id/siaran-pers/4802-SP-HMS-06-2024</x:v>
      </x:c>
      <x:c r="L272" s="65" t="n">
        <x:v>0</x:v>
      </x:c>
      <x:c r="M272" s="65" t="str">
        <x:v>Machine-suggested near-miss; human review required.</x:v>
      </x:c>
    </x:row>
    <x:row r="273" ht="42" customHeight="1">
      <x:c r="A273" s="65" t="str">
        <x:v>gold30-014</x:v>
      </x:c>
      <x:c r="B273" s="65" t="str">
        <x:v>dense</x:v>
      </x:c>
      <x:c r="C273" s="88" t="n">
        <x:v>3</x:v>
      </x:c>
      <x:c r="D273" s="65" t="str">
        <x:v>jakarta-emission-testing</x:v>
      </x:c>
      <x:c r="E273" s="65" t="str">
        <x:v>jakarta-emission-testing:structure:0</x:v>
      </x:c>
      <x:c r="F273" s="65" t="str">
        <x:v>p.1</x:v>
      </x:c>
      <x:c r="G273" s="92" t="n">
        <x:v>0.17001521</x:v>
      </x:c>
      <x:c r="H273" s="65" t="str">
        <x:v>Jakarta vehicle-emissions testing obligation</x:v>
      </x:c>
      <x:c r="I273" s="65" t="str">
        <x:v>Dinas Lingkungan Hidup DKI Jakarta</x:v>
      </x:c>
      <x:c r="J273" s="65" t="str">
        <x:v>Published: page accessed 2026-09-07 (FAQ date not stated) Status as of: 2026-09-07; Pergub 66/2020 is listed as berlaku Document type: official_faq Tags: topic=regulation-implementation; audience=vehicle-owner; action=compliance</x:v>
      </x:c>
      <x:c r="K273" s="65" t="str">
        <x:v>https://lingkunganhidup.jakarta.go.id/faq/ujiemisi</x:v>
      </x:c>
      <x:c r="L273" s="65" t="n">
        <x:v>3</x:v>
      </x:c>
      <x:c r="M273" s="65" t="str">
        <x:v>Expected source for this question.</x:v>
      </x:c>
    </x:row>
    <x:row r="274" ht="42" customHeight="1">
      <x:c r="A274" s="65" t="str">
        <x:v>gold30-014</x:v>
      </x:c>
      <x:c r="B274" s="65" t="str">
        <x:v>dense</x:v>
      </x:c>
      <x:c r="C274" s="88" t="n">
        <x:v>4</x:v>
      </x:c>
      <x:c r="D274" s="65" t="str">
        <x:v>pp-22-2021-air-quality</x:v>
      </x:c>
      <x:c r="E274" s="65" t="str">
        <x:v>pp-22-2021-air-quality:structure:0</x:v>
      </x:c>
      <x:c r="F274" s="65" t="str">
        <x:v>p.1</x:v>
      </x:c>
      <x:c r="G274" s="92" t="n">
        <x:v>0.16462072</x:v>
      </x:c>
      <x:c r="H274" s="65" t="str">
        <x:v>PP No. 22 Tahun 2021 — environmental protection and ambient air quality</x:v>
      </x:c>
      <x:c r="I274" s="65" t="str">
        <x:v>Pemerintah Republik Indonesia / Database Peraturan BPK</x:v>
      </x:c>
      <x:c r="J274"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274" s="65" t="str">
        <x:v>https://peraturan.bpk.go.id/Details/161852/pp-no-22tahun-2021</x:v>
      </x:c>
      <x:c r="L274" s="65" t="n">
        <x:v>0</x:v>
      </x:c>
      <x:c r="M274" s="65" t="str">
        <x:v>Machine-suggested near-miss; human review required.</x:v>
      </x:c>
    </x:row>
    <x:row r="275" ht="42" customHeight="1">
      <x:c r="A275" s="65" t="str">
        <x:v>gold30-014</x:v>
      </x:c>
      <x:c r="B275" s="65" t="str">
        <x:v>dense</x:v>
      </x:c>
      <x:c r="C275" s="88" t="n">
        <x:v>5</x:v>
      </x:c>
      <x:c r="D275" s="65" t="str">
        <x:v>jakarta-regulations</x:v>
      </x:c>
      <x:c r="E275" s="65" t="str">
        <x:v>jakarta-regulations:structure:0</x:v>
      </x:c>
      <x:c r="F275" s="65" t="str">
        <x:v>p.1</x:v>
      </x:c>
      <x:c r="G275" s="92" t="n">
        <x:v>0.16412113</x:v>
      </x:c>
      <x:c r="H275" s="65" t="str">
        <x:v>Jakarta and Indonesian air-quality regulations</x:v>
      </x:c>
      <x:c r="I275" s="65" t="str">
        <x:v>JDIH DKI Jakarta / Government of Indonesia</x:v>
      </x:c>
      <x:c r="J275"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75" s="65" t="str">
        <x:v>https://udara.jakarta.go.id/regulasi</x:v>
      </x:c>
      <x:c r="L275" s="65" t="n">
        <x:v>0</x:v>
      </x:c>
      <x:c r="M275" s="65" t="str">
        <x:v>Machine-suggested near-miss; human review required.</x:v>
      </x:c>
    </x:row>
    <x:row r="276" ht="42" customHeight="1">
      <x:c r="A276" s="65" t="str">
        <x:v>gold30-014</x:v>
      </x:c>
      <x:c r="B276" s="65" t="str">
        <x:v>hybrid</x:v>
      </x:c>
      <x:c r="C276" s="88" t="n">
        <x:v>1</x:v>
      </x:c>
      <x:c r="D276" s="65" t="str">
        <x:v>pergub-66-2020-vehicle-testing</x:v>
      </x:c>
      <x:c r="E276" s="65" t="str">
        <x:v>pergub-66-2020-vehicle-testing:structure:0</x:v>
      </x:c>
      <x:c r="F276" s="65" t="str">
        <x:v>p.1</x:v>
      </x:c>
      <x:c r="G276" s="92" t="n">
        <x:v>0.03259433</x:v>
      </x:c>
      <x:c r="H276" s="65" t="str">
        <x:v>Pergub DKI Jakarta No. 66 Tahun 2020 — motor-vehicle emission testing</x:v>
      </x:c>
      <x:c r="I276" s="65" t="str">
        <x:v>Pemerintah Provinsi DKI Jakarta / Database Peraturan BPK</x:v>
      </x:c>
      <x:c r="J276" s="65" t="str">
        <x:v>Peraturan Gubernur Provinsi DKI Jakarta Nomor 66 Tahun 2020 is titled Uji Emisi Gas Buang Kendaraan Bermotor. The BPK record gives the adoption date as 22 July 2020, promulgation date as 24 July 2020, and effective date as 24 December 2020.</x:v>
      </x:c>
      <x:c r="K276" s="65" t="str">
        <x:v>https://peraturan.bpk.go.id/Details/153923/pergub-prov-dki-jakarta-no-66-tahun-2020</x:v>
      </x:c>
      <x:c r="L276" s="65" t="n">
        <x:v>3</x:v>
      </x:c>
      <x:c r="M276" s="65" t="str">
        <x:v>Expected source for this question.</x:v>
      </x:c>
    </x:row>
    <x:row r="277" ht="42" customHeight="1">
      <x:c r="A277" s="65" t="str">
        <x:v>gold30-014</x:v>
      </x:c>
      <x:c r="B277" s="65" t="str">
        <x:v>hybrid</x:v>
      </x:c>
      <x:c r="C277" s="88" t="n">
        <x:v>2</x:v>
      </x:c>
      <x:c r="D277" s="65" t="str">
        <x:v>jakarta-emission-testing</x:v>
      </x:c>
      <x:c r="E277" s="65" t="str">
        <x:v>jakarta-emission-testing:structure:0</x:v>
      </x:c>
      <x:c r="F277" s="65" t="str">
        <x:v>p.1</x:v>
      </x:c>
      <x:c r="G277" s="92" t="n">
        <x:v>0.03258392</x:v>
      </x:c>
      <x:c r="H277" s="65" t="str">
        <x:v>Jakarta vehicle-emissions testing obligation</x:v>
      </x:c>
      <x:c r="I277" s="65" t="str">
        <x:v>Dinas Lingkungan Hidup DKI Jakarta</x:v>
      </x:c>
      <x:c r="J277" s="65" t="str">
        <x:v>Published: page accessed 2026-09-07 (FAQ date not stated) Status as of: 2026-09-07; Pergub 66/2020 is listed as berlaku Document type: official_faq Tags: topic=regulation-implementation; audience=vehicle-owner; action=compliance</x:v>
      </x:c>
      <x:c r="K277" s="65" t="str">
        <x:v>https://lingkunganhidup.jakarta.go.id/faq/ujiemisi</x:v>
      </x:c>
      <x:c r="L277" s="65" t="n">
        <x:v>3</x:v>
      </x:c>
      <x:c r="M277" s="65" t="str">
        <x:v>Expected source for this question.</x:v>
      </x:c>
    </x:row>
    <x:row r="278" ht="42" customHeight="1">
      <x:c r="A278" s="65" t="str">
        <x:v>gold30-014</x:v>
      </x:c>
      <x:c r="B278" s="65" t="str">
        <x:v>hybrid</x:v>
      </x:c>
      <x:c r="C278" s="88" t="n">
        <x:v>3</x:v>
      </x:c>
      <x:c r="D278" s="65" t="str">
        <x:v>jakarta-policy-implementation</x:v>
      </x:c>
      <x:c r="E278" s="65" t="str">
        <x:v>jakarta-policy-implementation:structure:1</x:v>
      </x:c>
      <x:c r="F278" s="65" t="str">
        <x:v>p.2</x:v>
      </x:c>
      <x:c r="G278" s="92" t="n">
        <x:v>0.03258065</x:v>
      </x:c>
      <x:c r="H278" s="65" t="str">
        <x:v>Why rules can coexist with poor air: implementation evidence</x:v>
      </x:c>
      <x:c r="I278" s="65" t="str">
        <x:v>Pemerintah Provinsi DKI Jakarta; Dinas Lingkungan Hidup DKI Jakarta; Mahkamah Agung</x:v>
      </x:c>
      <x:c r="J278"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78" s="65" t="str">
        <x:v>https://www.jakarta.go.id/siaran-pers/4802-SP-HMS-06-2024</x:v>
      </x:c>
      <x:c r="L278" s="65" t="n">
        <x:v>0</x:v>
      </x:c>
      <x:c r="M278" s="65" t="str">
        <x:v>Machine-suggested near-miss; human review required.</x:v>
      </x:c>
    </x:row>
    <x:row r="279" ht="42" customHeight="1">
      <x:c r="A279" s="65" t="str">
        <x:v>gold30-014</x:v>
      </x:c>
      <x:c r="B279" s="65" t="str">
        <x:v>hybrid</x:v>
      </x:c>
      <x:c r="C279" s="88" t="n">
        <x:v>4</x:v>
      </x:c>
      <x:c r="D279" s="65" t="str">
        <x:v>jakarta-regulations</x:v>
      </x:c>
      <x:c r="E279" s="65" t="str">
        <x:v>jakarta-regulations:structure:0</x:v>
      </x:c>
      <x:c r="F279" s="65" t="str">
        <x:v>p.1</x:v>
      </x:c>
      <x:c r="G279" s="92" t="n">
        <x:v>0.03131731</x:v>
      </x:c>
      <x:c r="H279" s="65" t="str">
        <x:v>Jakarta and Indonesian air-quality regulations</x:v>
      </x:c>
      <x:c r="I279" s="65" t="str">
        <x:v>JDIH DKI Jakarta / Government of Indonesia</x:v>
      </x:c>
      <x:c r="J279"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79" s="65" t="str">
        <x:v>https://udara.jakarta.go.id/regulasi</x:v>
      </x:c>
      <x:c r="L279" s="65" t="n">
        <x:v>0</x:v>
      </x:c>
      <x:c r="M279" s="65" t="str">
        <x:v>Machine-suggested near-miss; human review required.</x:v>
      </x:c>
    </x:row>
    <x:row r="280" ht="42" customHeight="1">
      <x:c r="A280" s="65" t="str">
        <x:v>gold30-014</x:v>
      </x:c>
      <x:c r="B280" s="65" t="str">
        <x:v>hybrid</x:v>
      </x:c>
      <x:c r="C280" s="88" t="n">
        <x:v>5</x:v>
      </x:c>
      <x:c r="D280" s="65" t="str">
        <x:v>pp-22-2021-air-quality</x:v>
      </x:c>
      <x:c r="E280" s="65" t="str">
        <x:v>pp-22-2021-air-quality:structure:0</x:v>
      </x:c>
      <x:c r="F280" s="65" t="str">
        <x:v>p.1</x:v>
      </x:c>
      <x:c r="G280" s="92" t="n">
        <x:v>0.03043025</x:v>
      </x:c>
      <x:c r="H280" s="65" t="str">
        <x:v>PP No. 22 Tahun 2021 — environmental protection and ambient air quality</x:v>
      </x:c>
      <x:c r="I280" s="65" t="str">
        <x:v>Pemerintah Republik Indonesia / Database Peraturan BPK</x:v>
      </x:c>
      <x:c r="J280"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280" s="65" t="str">
        <x:v>https://peraturan.bpk.go.id/Details/161852/pp-no-22tahun-2021</x:v>
      </x:c>
      <x:c r="L280" s="65" t="n">
        <x:v>0</x:v>
      </x:c>
      <x:c r="M280" s="65" t="str">
        <x:v>Machine-suggested near-miss; human review required.</x:v>
      </x:c>
    </x:row>
    <x:row r="281" ht="42" customHeight="1">
      <x:c r="A281" s="65" t="str">
        <x:v>gold30-014</x:v>
      </x:c>
      <x:c r="B281" s="65" t="str">
        <x:v>hybrid_rerank</x:v>
      </x:c>
      <x:c r="C281" s="88" t="n">
        <x:v>1</x:v>
      </x:c>
      <x:c r="D281" s="65" t="str">
        <x:v>pergub-66-2020-vehicle-testing</x:v>
      </x:c>
      <x:c r="E281" s="65" t="str">
        <x:v>pergub-66-2020-vehicle-testing:structure:0</x:v>
      </x:c>
      <x:c r="F281" s="65" t="str">
        <x:v>p.1</x:v>
      </x:c>
      <x:c r="G281" s="92" t="n">
        <x:v>0.32088941</x:v>
      </x:c>
      <x:c r="H281" s="65" t="str">
        <x:v>Pergub DKI Jakarta No. 66 Tahun 2020 — motor-vehicle emission testing</x:v>
      </x:c>
      <x:c r="I281" s="65" t="str">
        <x:v>Pemerintah Provinsi DKI Jakarta / Database Peraturan BPK</x:v>
      </x:c>
      <x:c r="J281" s="65" t="str">
        <x:v>Peraturan Gubernur Provinsi DKI Jakarta Nomor 66 Tahun 2020 is titled Uji Emisi Gas Buang Kendaraan Bermotor. The BPK record gives the adoption date as 22 July 2020, promulgation date as 24 July 2020, and effective date as 24 December 2020.</x:v>
      </x:c>
      <x:c r="K281" s="65" t="str">
        <x:v>https://peraturan.bpk.go.id/Details/153923/pergub-prov-dki-jakarta-no-66-tahun-2020</x:v>
      </x:c>
      <x:c r="L281" s="65" t="n">
        <x:v>3</x:v>
      </x:c>
      <x:c r="M281" s="65" t="str">
        <x:v>Expected source for this question.</x:v>
      </x:c>
    </x:row>
    <x:row r="282" ht="42" customHeight="1">
      <x:c r="A282" s="65" t="str">
        <x:v>gold30-014</x:v>
      </x:c>
      <x:c r="B282" s="65" t="str">
        <x:v>hybrid_rerank</x:v>
      </x:c>
      <x:c r="C282" s="88" t="n">
        <x:v>2</x:v>
      </x:c>
      <x:c r="D282" s="65" t="str">
        <x:v>jakarta-emission-testing</x:v>
      </x:c>
      <x:c r="E282" s="65" t="str">
        <x:v>jakarta-emission-testing:structure:0</x:v>
      </x:c>
      <x:c r="F282" s="65" t="str">
        <x:v>p.1</x:v>
      </x:c>
      <x:c r="G282" s="92" t="n">
        <x:v>0.32088629</x:v>
      </x:c>
      <x:c r="H282" s="65" t="str">
        <x:v>Jakarta vehicle-emissions testing obligation</x:v>
      </x:c>
      <x:c r="I282" s="65" t="str">
        <x:v>Dinas Lingkungan Hidup DKI Jakarta</x:v>
      </x:c>
      <x:c r="J282" s="65" t="str">
        <x:v>Published: page accessed 2026-09-07 (FAQ date not stated) Status as of: 2026-09-07; Pergub 66/2020 is listed as berlaku Document type: official_faq Tags: topic=regulation-implementation; audience=vehicle-owner; action=compliance</x:v>
      </x:c>
      <x:c r="K282" s="65" t="str">
        <x:v>https://lingkunganhidup.jakarta.go.id/faq/ujiemisi</x:v>
      </x:c>
      <x:c r="L282" s="65" t="n">
        <x:v>3</x:v>
      </x:c>
      <x:c r="M282" s="65" t="str">
        <x:v>Expected source for this question.</x:v>
      </x:c>
    </x:row>
    <x:row r="283" ht="42" customHeight="1">
      <x:c r="A283" s="65" t="str">
        <x:v>gold30-014</x:v>
      </x:c>
      <x:c r="B283" s="65" t="str">
        <x:v>hybrid_rerank</x:v>
      </x:c>
      <x:c r="C283" s="88" t="n">
        <x:v>3</x:v>
      </x:c>
      <x:c r="D283" s="65" t="str">
        <x:v>jakarta-policy-implementation</x:v>
      </x:c>
      <x:c r="E283" s="65" t="str">
        <x:v>jakarta-policy-implementation:structure:1</x:v>
      </x:c>
      <x:c r="F283" s="65" t="str">
        <x:v>p.2</x:v>
      </x:c>
      <x:c r="G283" s="92" t="n">
        <x:v>0.3208853</x:v>
      </x:c>
      <x:c r="H283" s="65" t="str">
        <x:v>Why rules can coexist with poor air: implementation evidence</x:v>
      </x:c>
      <x:c r="I283" s="65" t="str">
        <x:v>Pemerintah Provinsi DKI Jakarta; Dinas Lingkungan Hidup DKI Jakarta; Mahkamah Agung</x:v>
      </x:c>
      <x:c r="J283"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83" s="65" t="str">
        <x:v>https://www.jakarta.go.id/siaran-pers/4802-SP-HMS-06-2024</x:v>
      </x:c>
      <x:c r="L283" s="65" t="n">
        <x:v>0</x:v>
      </x:c>
      <x:c r="M283" s="65" t="str">
        <x:v>Machine-suggested near-miss; human review required.</x:v>
      </x:c>
    </x:row>
    <x:row r="284" ht="42" customHeight="1">
      <x:c r="A284" s="65" t="str">
        <x:v>gold30-014</x:v>
      </x:c>
      <x:c r="B284" s="65" t="str">
        <x:v>hybrid_rerank</x:v>
      </x:c>
      <x:c r="C284" s="88" t="n">
        <x:v>4</x:v>
      </x:c>
      <x:c r="D284" s="65" t="str">
        <x:v>jakarta-regulations</x:v>
      </x:c>
      <x:c r="E284" s="65" t="str">
        <x:v>jakarta-regulations:structure:0</x:v>
      </x:c>
      <x:c r="F284" s="65" t="str">
        <x:v>p.1</x:v>
      </x:c>
      <x:c r="G284" s="92" t="n">
        <x:v>0.24272853</x:v>
      </x:c>
      <x:c r="H284" s="65" t="str">
        <x:v>Jakarta and Indonesian air-quality regulations</x:v>
      </x:c>
      <x:c r="I284" s="65" t="str">
        <x:v>JDIH DKI Jakarta / Government of Indonesia</x:v>
      </x:c>
      <x:c r="J284"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84" s="65" t="str">
        <x:v>https://udara.jakarta.go.id/regulasi</x:v>
      </x:c>
      <x:c r="L284" s="65" t="n">
        <x:v>0</x:v>
      </x:c>
      <x:c r="M284" s="65" t="str">
        <x:v>Machine-suggested near-miss; human review required.</x:v>
      </x:c>
    </x:row>
    <x:row r="285" ht="42" customHeight="1">
      <x:c r="A285" s="65" t="str">
        <x:v>gold30-014</x:v>
      </x:c>
      <x:c r="B285" s="65" t="str">
        <x:v>hybrid_rerank</x:v>
      </x:c>
      <x:c r="C285" s="88" t="n">
        <x:v>5</x:v>
      </x:c>
      <x:c r="D285" s="65" t="str">
        <x:v>pp-22-2021-air-quality</x:v>
      </x:c>
      <x:c r="E285" s="65" t="str">
        <x:v>pp-22-2021-air-quality:structure:0</x:v>
      </x:c>
      <x:c r="F285" s="65" t="str">
        <x:v>p.1</x:v>
      </x:c>
      <x:c r="G285" s="92" t="n">
        <x:v>0.08690685</x:v>
      </x:c>
      <x:c r="H285" s="65" t="str">
        <x:v>PP No. 22 Tahun 2021 — environmental protection and ambient air quality</x:v>
      </x:c>
      <x:c r="I285" s="65" t="str">
        <x:v>Pemerintah Republik Indonesia / Database Peraturan BPK</x:v>
      </x:c>
      <x:c r="J285"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285" s="65" t="str">
        <x:v>https://peraturan.bpk.go.id/Details/161852/pp-no-22tahun-2021</x:v>
      </x:c>
      <x:c r="L285" s="65" t="n">
        <x:v>0</x:v>
      </x:c>
      <x:c r="M285" s="65" t="str">
        <x:v>Machine-suggested near-miss; human review required.</x:v>
      </x:c>
    </x:row>
    <x:row r="286" ht="42" customHeight="1">
      <x:c r="A286" s="65" t="str">
        <x:v>gold30-015</x:v>
      </x:c>
      <x:c r="B286" s="65" t="str">
        <x:v>bm25</x:v>
      </x:c>
      <x:c r="C286" s="88" t="n">
        <x:v>1</x:v>
      </x:c>
      <x:c r="D286" s="65" t="str">
        <x:v>permen-lhk-8-2023-vehicle-emissions</x:v>
      </x:c>
      <x:c r="E286" s="65" t="str">
        <x:v>permen-lhk-8-2023-vehicle-emissions:structure:0</x:v>
      </x:c>
      <x:c r="F286" s="65" t="str">
        <x:v>p.1</x:v>
      </x:c>
      <x:c r="G286" s="92" t="n">
        <x:v>0.875</x:v>
      </x:c>
      <x:c r="H286" s="65" t="str">
        <x:v>Permen LHK No. 8 Tahun 2023 — vehicle emission standards and testing</x:v>
      </x:c>
      <x:c r="I286" s="65" t="str">
        <x:v>Kementerian Lingkungan Hidup dan Kehutanan / Database Peraturan BPK</x:v>
      </x:c>
      <x:c r="J286"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86" s="65" t="str">
        <x:v>https://peraturan.bpk.go.id/Details/262504/permen-lhk-no-8-tahun-2023</x:v>
      </x:c>
      <x:c r="L286" s="65" t="n">
        <x:v>3</x:v>
      </x:c>
      <x:c r="M286" s="65" t="str">
        <x:v>Expected source for this question.</x:v>
      </x:c>
    </x:row>
    <x:row r="287" ht="42" customHeight="1">
      <x:c r="A287" s="65" t="str">
        <x:v>gold30-015</x:v>
      </x:c>
      <x:c r="B287" s="65" t="str">
        <x:v>bm25</x:v>
      </x:c>
      <x:c r="C287" s="88" t="n">
        <x:v>2</x:v>
      </x:c>
      <x:c r="D287" s="65" t="str">
        <x:v>jakarta-regulations</x:v>
      </x:c>
      <x:c r="E287" s="65" t="str">
        <x:v>jakarta-regulations:structure:0</x:v>
      </x:c>
      <x:c r="F287" s="65" t="str">
        <x:v>p.1</x:v>
      </x:c>
      <x:c r="G287" s="92" t="n">
        <x:v>0.5</x:v>
      </x:c>
      <x:c r="H287" s="65" t="str">
        <x:v>Jakarta and Indonesian air-quality regulations</x:v>
      </x:c>
      <x:c r="I287" s="65" t="str">
        <x:v>JDIH DKI Jakarta / Government of Indonesia</x:v>
      </x:c>
      <x:c r="J287"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87" s="65" t="str">
        <x:v>https://udara.jakarta.go.id/regulasi</x:v>
      </x:c>
      <x:c r="L287" s="65" t="n">
        <x:v>0</x:v>
      </x:c>
      <x:c r="M287" s="65" t="str">
        <x:v>Machine-suggested near-miss; human review required.</x:v>
      </x:c>
    </x:row>
    <x:row r="288" ht="42" customHeight="1">
      <x:c r="A288" s="65" t="str">
        <x:v>gold30-015</x:v>
      </x:c>
      <x:c r="B288" s="65" t="str">
        <x:v>bm25</x:v>
      </x:c>
      <x:c r="C288" s="88" t="n">
        <x:v>3</x:v>
      </x:c>
      <x:c r="D288" s="65" t="str">
        <x:v>ispu</x:v>
      </x:c>
      <x:c r="E288" s="65" t="str">
        <x:v>ispu:structure:0</x:v>
      </x:c>
      <x:c r="F288" s="65" t="str">
        <x:v>p.1</x:v>
      </x:c>
      <x:c r="G288" s="92" t="n">
        <x:v>0.375</x:v>
      </x:c>
      <x:c r="H288" s="65" t="str">
        <x:v>Indonesian ISPU categories</x:v>
      </x:c>
      <x:c r="I288" s="65" t="str">
        <x:v>Ministry of Environment and Forestry</x:v>
      </x:c>
      <x:c r="J288" s="65" t="str">
        <x:v>The Indonesian ISPU categories used in this demo are Baik (1-50), Sedang (51-100), Tidak Sehat (101-200), Sangat Tidak Sehat (201-300), and Berbahaya (301 or higher). ISPU is an index without a physical concentration unit.</x:v>
      </x:c>
      <x:c r="K288" s="65" t="str">
        <x:v>https://peraturan.bpk.go.id/Details/163466/permen-lhk-no-14-tahun-2020</x:v>
      </x:c>
      <x:c r="L288" s="65" t="n">
        <x:v>0</x:v>
      </x:c>
      <x:c r="M288" s="65" t="str">
        <x:v>Machine-suggested near-miss; human review required.</x:v>
      </x:c>
    </x:row>
    <x:row r="289" ht="42" customHeight="1">
      <x:c r="A289" s="65" t="str">
        <x:v>gold30-015</x:v>
      </x:c>
      <x:c r="B289" s="65" t="str">
        <x:v>bm25</x:v>
      </x:c>
      <x:c r="C289" s="88" t="n">
        <x:v>4</x:v>
      </x:c>
      <x:c r="D289" s="65" t="str">
        <x:v>jakarta-policy-implementation</x:v>
      </x:c>
      <x:c r="E289" s="65" t="str">
        <x:v>jakarta-policy-implementation:structure:1</x:v>
      </x:c>
      <x:c r="F289" s="65" t="str">
        <x:v>p.2</x:v>
      </x:c>
      <x:c r="G289" s="92" t="n">
        <x:v>0.375</x:v>
      </x:c>
      <x:c r="H289" s="65" t="str">
        <x:v>Why rules can coexist with poor air: implementation evidence</x:v>
      </x:c>
      <x:c r="I289" s="65" t="str">
        <x:v>Pemerintah Provinsi DKI Jakarta; Dinas Lingkungan Hidup DKI Jakarta; Mahkamah Agung</x:v>
      </x:c>
      <x:c r="J289"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89" s="65" t="str">
        <x:v>https://www.jakarta.go.id/siaran-pers/4802-SP-HMS-06-2024</x:v>
      </x:c>
      <x:c r="L289" s="65" t="n">
        <x:v>0</x:v>
      </x:c>
      <x:c r="M289" s="65" t="str">
        <x:v>Machine-suggested near-miss; human review required.</x:v>
      </x:c>
    </x:row>
    <x:row r="290" ht="42" customHeight="1">
      <x:c r="A290" s="65" t="str">
        <x:v>gold30-015</x:v>
      </x:c>
      <x:c r="B290" s="65" t="str">
        <x:v>bm25</x:v>
      </x:c>
      <x:c r="C290" s="88" t="n">
        <x:v>5</x:v>
      </x:c>
      <x:c r="D290" s="65" t="str">
        <x:v>jakarta-cems-monitoring</x:v>
      </x:c>
      <x:c r="E290" s="65" t="str">
        <x:v>jakarta-cems-monitoring:structure:1</x:v>
      </x:c>
      <x:c r="F290" s="65" t="str">
        <x:v>p.2</x:v>
      </x:c>
      <x:c r="G290" s="92" t="n">
        <x:v>0.25</x:v>
      </x:c>
      <x:c r="H290" s="65" t="str">
        <x:v>Stationary-source emissions monitoring (CEMS)</x:v>
      </x:c>
      <x:c r="I290" s="65" t="str">
        <x:v>Dinas Lingkungan Hidup DKI Jakarta</x:v>
      </x:c>
      <x:c r="J290"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290" s="65" t="str">
        <x:v>https://lingkunganhidup.jakarta.go.id/publikasi/monitoring_emisi</x:v>
      </x:c>
      <x:c r="L290" s="65" t="n">
        <x:v>0</x:v>
      </x:c>
      <x:c r="M290" s="65" t="str">
        <x:v>Machine-suggested near-miss; human review required.</x:v>
      </x:c>
    </x:row>
    <x:row r="291" ht="42" customHeight="1">
      <x:c r="A291" s="65" t="str">
        <x:v>gold30-015</x:v>
      </x:c>
      <x:c r="B291" s="65" t="str">
        <x:v>dense</x:v>
      </x:c>
      <x:c r="C291" s="88" t="n">
        <x:v>1</x:v>
      </x:c>
      <x:c r="D291" s="65" t="str">
        <x:v>permen-lhk-8-2023-vehicle-emissions</x:v>
      </x:c>
      <x:c r="E291" s="65" t="str">
        <x:v>permen-lhk-8-2023-vehicle-emissions:structure:0</x:v>
      </x:c>
      <x:c r="F291" s="65" t="str">
        <x:v>p.1</x:v>
      </x:c>
      <x:c r="G291" s="92" t="n">
        <x:v>0.3586878</x:v>
      </x:c>
      <x:c r="H291" s="65" t="str">
        <x:v>Permen LHK No. 8 Tahun 2023 — vehicle emission standards and testing</x:v>
      </x:c>
      <x:c r="I291" s="65" t="str">
        <x:v>Kementerian Lingkungan Hidup dan Kehutanan / Database Peraturan BPK</x:v>
      </x:c>
      <x:c r="J291"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91" s="65" t="str">
        <x:v>https://peraturan.bpk.go.id/Details/262504/permen-lhk-no-8-tahun-2023</x:v>
      </x:c>
      <x:c r="L291" s="65" t="n">
        <x:v>3</x:v>
      </x:c>
      <x:c r="M291" s="65" t="str">
        <x:v>Expected source for this question.</x:v>
      </x:c>
    </x:row>
    <x:row r="292" ht="42" customHeight="1">
      <x:c r="A292" s="65" t="str">
        <x:v>gold30-015</x:v>
      </x:c>
      <x:c r="B292" s="65" t="str">
        <x:v>dense</x:v>
      </x:c>
      <x:c r="C292" s="88" t="n">
        <x:v>2</x:v>
      </x:c>
      <x:c r="D292" s="65" t="str">
        <x:v>permen-lhk-13-2021-cems</x:v>
      </x:c>
      <x:c r="E292" s="65" t="str">
        <x:v>permen-lhk-13-2021-cems:structure:0</x:v>
      </x:c>
      <x:c r="F292" s="65" t="str">
        <x:v>p.1</x:v>
      </x:c>
      <x:c r="G292" s="92" t="n">
        <x:v>0.2713339</x:v>
      </x:c>
      <x:c r="H292" s="65" t="str">
        <x:v>Permen LHK No. 13 Tahun 2021 — CEMS connectivity and emission monitoring</x:v>
      </x:c>
      <x:c r="I292" s="65" t="str">
        <x:v>Kementerian Lingkungan Hidup dan Kehutanan / Database Peraturan BPK</x:v>
      </x:c>
      <x:c r="J292" s="65" t="str">
        <x:v>The official BPK download URL identifies a 2021 Ministerial Environment and Forestry regulation. The PDF search extract exposes a CEMS connectivity test table with fields for stack code, emission source, CEMS brand, parameters and pass/fail connectivity result.</x:v>
      </x:c>
      <x:c r="K292" s="65" t="str">
        <x:v>https://peraturan.bpk.go.id/Download/288590/Permen%20LHK%20Nomor%2013%20Tahun%202021.pdf</x:v>
      </x:c>
      <x:c r="L292" s="65" t="n">
        <x:v>0</x:v>
      </x:c>
      <x:c r="M292" s="65" t="str">
        <x:v>Machine-suggested near-miss; human review required.</x:v>
      </x:c>
    </x:row>
    <x:row r="293" ht="42" customHeight="1">
      <x:c r="A293" s="65" t="str">
        <x:v>gold30-015</x:v>
      </x:c>
      <x:c r="B293" s="65" t="str">
        <x:v>dense</x:v>
      </x:c>
      <x:c r="C293" s="88" t="n">
        <x:v>3</x:v>
      </x:c>
      <x:c r="D293" s="65" t="str">
        <x:v>pergub-66-2020-vehicle-testing</x:v>
      </x:c>
      <x:c r="E293" s="65" t="str">
        <x:v>pergub-66-2020-vehicle-testing:structure:2</x:v>
      </x:c>
      <x:c r="F293" s="65" t="str">
        <x:v>p.3</x:v>
      </x:c>
      <x:c r="G293" s="92" t="n">
        <x:v>0.24244731</x:v>
      </x:c>
      <x:c r="H293" s="65" t="str">
        <x:v>Pergub DKI Jakarta No. 66 Tahun 2020 — motor-vehicle emission testing</x:v>
      </x:c>
      <x:c r="I293" s="65" t="str">
        <x:v>Pemerintah Provinsi DKI Jakarta / Database Peraturan BPK</x:v>
      </x:c>
      <x:c r="J293" s="65" t="str">
        <x:v>The abstract says the regulation governs emission testing and exhaust gas by every motor-vehicle owner, together with inspection, supervision and control by the emission-test team. Its delayed effective date is six months after promulgation, rather than the promulgation date its…</x:v>
      </x:c>
      <x:c r="K293" s="65" t="str">
        <x:v>https://peraturan.bpk.go.id/Details/153923/pergub-prov-dki-jakarta-no-66-tahun-2020</x:v>
      </x:c>
      <x:c r="L293" s="65" t="n">
        <x:v>0</x:v>
      </x:c>
      <x:c r="M293" s="65" t="str">
        <x:v>Machine-suggested near-miss; human review required.</x:v>
      </x:c>
    </x:row>
    <x:row r="294" ht="42" customHeight="1">
      <x:c r="A294" s="65" t="str">
        <x:v>gold30-015</x:v>
      </x:c>
      <x:c r="B294" s="65" t="str">
        <x:v>dense</x:v>
      </x:c>
      <x:c r="C294" s="88" t="n">
        <x:v>4</x:v>
      </x:c>
      <x:c r="D294" s="65" t="str">
        <x:v>ispu</x:v>
      </x:c>
      <x:c r="E294" s="65" t="str">
        <x:v>ispu:structure:0</x:v>
      </x:c>
      <x:c r="F294" s="65" t="str">
        <x:v>p.1</x:v>
      </x:c>
      <x:c r="G294" s="92" t="n">
        <x:v>0.24124473</x:v>
      </x:c>
      <x:c r="H294" s="65" t="str">
        <x:v>Indonesian ISPU categories</x:v>
      </x:c>
      <x:c r="I294" s="65" t="str">
        <x:v>Ministry of Environment and Forestry</x:v>
      </x:c>
      <x:c r="J294" s="65" t="str">
        <x:v>The Indonesian ISPU categories used in this demo are Baik (1-50), Sedang (51-100), Tidak Sehat (101-200), Sangat Tidak Sehat (201-300), and Berbahaya (301 or higher). ISPU is an index without a physical concentration unit.</x:v>
      </x:c>
      <x:c r="K294" s="65" t="str">
        <x:v>https://peraturan.bpk.go.id/Details/163466/permen-lhk-no-14-tahun-2020</x:v>
      </x:c>
      <x:c r="L294" s="65" t="n">
        <x:v>0</x:v>
      </x:c>
      <x:c r="M294" s="65" t="str">
        <x:v>Machine-suggested near-miss; human review required.</x:v>
      </x:c>
    </x:row>
    <x:row r="295" ht="42" customHeight="1">
      <x:c r="A295" s="65" t="str">
        <x:v>gold30-015</x:v>
      </x:c>
      <x:c r="B295" s="65" t="str">
        <x:v>dense</x:v>
      </x:c>
      <x:c r="C295" s="88" t="n">
        <x:v>5</x:v>
      </x:c>
      <x:c r="D295" s="65" t="str">
        <x:v>jakarta-policy-implementation</x:v>
      </x:c>
      <x:c r="E295" s="65" t="str">
        <x:v>jakarta-policy-implementation:structure:1</x:v>
      </x:c>
      <x:c r="F295" s="65" t="str">
        <x:v>p.2</x:v>
      </x:c>
      <x:c r="G295" s="92" t="n">
        <x:v>0.23932482</x:v>
      </x:c>
      <x:c r="H295" s="65" t="str">
        <x:v>Why rules can coexist with poor air: implementation evidence</x:v>
      </x:c>
      <x:c r="I295" s="65" t="str">
        <x:v>Pemerintah Provinsi DKI Jakarta; Dinas Lingkungan Hidup DKI Jakarta; Mahkamah Agung</x:v>
      </x:c>
      <x:c r="J295"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95" s="65" t="str">
        <x:v>https://www.jakarta.go.id/siaran-pers/4802-SP-HMS-06-2024</x:v>
      </x:c>
      <x:c r="L295" s="65" t="n">
        <x:v>0</x:v>
      </x:c>
      <x:c r="M295" s="65" t="str">
        <x:v>Machine-suggested near-miss; human review required.</x:v>
      </x:c>
    </x:row>
    <x:row r="296" ht="42" customHeight="1">
      <x:c r="A296" s="65" t="str">
        <x:v>gold30-015</x:v>
      </x:c>
      <x:c r="B296" s="65" t="str">
        <x:v>hybrid</x:v>
      </x:c>
      <x:c r="C296" s="88" t="n">
        <x:v>1</x:v>
      </x:c>
      <x:c r="D296" s="65" t="str">
        <x:v>permen-lhk-8-2023-vehicle-emissions</x:v>
      </x:c>
      <x:c r="E296" s="65" t="str">
        <x:v>permen-lhk-8-2023-vehicle-emissions:structure:0</x:v>
      </x:c>
      <x:c r="F296" s="65" t="str">
        <x:v>p.1</x:v>
      </x:c>
      <x:c r="G296" s="92" t="n">
        <x:v>0.03311475</x:v>
      </x:c>
      <x:c r="H296" s="65" t="str">
        <x:v>Permen LHK No. 8 Tahun 2023 — vehicle emission standards and testing</x:v>
      </x:c>
      <x:c r="I296" s="65" t="str">
        <x:v>Kementerian Lingkungan Hidup dan Kehutanan / Database Peraturan BPK</x:v>
      </x:c>
      <x:c r="J296"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96" s="65" t="str">
        <x:v>https://peraturan.bpk.go.id/Details/262504/permen-lhk-no-8-tahun-2023</x:v>
      </x:c>
      <x:c r="L296" s="65" t="n">
        <x:v>3</x:v>
      </x:c>
      <x:c r="M296" s="65" t="str">
        <x:v>Expected source for this question.</x:v>
      </x:c>
    </x:row>
    <x:row r="297" ht="42" customHeight="1">
      <x:c r="A297" s="65" t="str">
        <x:v>gold30-015</x:v>
      </x:c>
      <x:c r="B297" s="65" t="str">
        <x:v>hybrid</x:v>
      </x:c>
      <x:c r="C297" s="88" t="n">
        <x:v>2</x:v>
      </x:c>
      <x:c r="D297" s="65" t="str">
        <x:v>ispu</x:v>
      </x:c>
      <x:c r="E297" s="65" t="str">
        <x:v>ispu:structure:0</x:v>
      </x:c>
      <x:c r="F297" s="65" t="str">
        <x:v>p.1</x:v>
      </x:c>
      <x:c r="G297" s="92" t="n">
        <x:v>0.03181052</x:v>
      </x:c>
      <x:c r="H297" s="65" t="str">
        <x:v>Indonesian ISPU categories</x:v>
      </x:c>
      <x:c r="I297" s="65" t="str">
        <x:v>Ministry of Environment and Forestry</x:v>
      </x:c>
      <x:c r="J297" s="65" t="str">
        <x:v>The Indonesian ISPU categories used in this demo are Baik (1-50), Sedang (51-100), Tidak Sehat (101-200), Sangat Tidak Sehat (201-300), and Berbahaya (301 or higher). ISPU is an index without a physical concentration unit.</x:v>
      </x:c>
      <x:c r="K297" s="65" t="str">
        <x:v>https://peraturan.bpk.go.id/Details/163466/permen-lhk-no-14-tahun-2020</x:v>
      </x:c>
      <x:c r="L297" s="65" t="n">
        <x:v>0</x:v>
      </x:c>
      <x:c r="M297" s="65" t="str">
        <x:v>Machine-suggested near-miss; human review required.</x:v>
      </x:c>
    </x:row>
    <x:row r="298" ht="42" customHeight="1">
      <x:c r="A298" s="65" t="str">
        <x:v>gold30-015</x:v>
      </x:c>
      <x:c r="B298" s="65" t="str">
        <x:v>hybrid</x:v>
      </x:c>
      <x:c r="C298" s="88" t="n">
        <x:v>3</x:v>
      </x:c>
      <x:c r="D298" s="65" t="str">
        <x:v>permen-lhk-13-2021-cems</x:v>
      </x:c>
      <x:c r="E298" s="65" t="str">
        <x:v>permen-lhk-13-2021-cems:structure:0</x:v>
      </x:c>
      <x:c r="F298" s="65" t="str">
        <x:v>p.1</x:v>
      </x:c>
      <x:c r="G298" s="92" t="n">
        <x:v>0.03160313</x:v>
      </x:c>
      <x:c r="H298" s="65" t="str">
        <x:v>Permen LHK No. 13 Tahun 2021 — CEMS connectivity and emission monitoring</x:v>
      </x:c>
      <x:c r="I298" s="65" t="str">
        <x:v>Kementerian Lingkungan Hidup dan Kehutanan / Database Peraturan BPK</x:v>
      </x:c>
      <x:c r="J298" s="65" t="str">
        <x:v>The official BPK download URL identifies a 2021 Ministerial Environment and Forestry regulation. The PDF search extract exposes a CEMS connectivity test table with fields for stack code, emission source, CEMS brand, parameters and pass/fail connectivity result.</x:v>
      </x:c>
      <x:c r="K298" s="65" t="str">
        <x:v>https://peraturan.bpk.go.id/Download/288590/Permen%20LHK%20Nomor%2013%20Tahun%202021.pdf</x:v>
      </x:c>
      <x:c r="L298" s="65" t="n">
        <x:v>0</x:v>
      </x:c>
      <x:c r="M298" s="65" t="str">
        <x:v>Machine-suggested near-miss; human review required.</x:v>
      </x:c>
    </x:row>
    <x:row r="299" ht="42" customHeight="1">
      <x:c r="A299" s="65" t="str">
        <x:v>gold30-015</x:v>
      </x:c>
      <x:c r="B299" s="65" t="str">
        <x:v>hybrid</x:v>
      </x:c>
      <x:c r="C299" s="88" t="n">
        <x:v>4</x:v>
      </x:c>
      <x:c r="D299" s="65" t="str">
        <x:v>jakarta-policy-implementation</x:v>
      </x:c>
      <x:c r="E299" s="65" t="str">
        <x:v>jakarta-policy-implementation:structure:1</x:v>
      </x:c>
      <x:c r="F299" s="65" t="str">
        <x:v>p.2</x:v>
      </x:c>
      <x:c r="G299" s="92" t="n">
        <x:v>0.03131731</x:v>
      </x:c>
      <x:c r="H299" s="65" t="str">
        <x:v>Why rules can coexist with poor air: implementation evidence</x:v>
      </x:c>
      <x:c r="I299" s="65" t="str">
        <x:v>Pemerintah Provinsi DKI Jakarta; Dinas Lingkungan Hidup DKI Jakarta; Mahkamah Agung</x:v>
      </x:c>
      <x:c r="J299"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99" s="65" t="str">
        <x:v>https://www.jakarta.go.id/siaran-pers/4802-SP-HMS-06-2024</x:v>
      </x:c>
      <x:c r="L299" s="65" t="n">
        <x:v>0</x:v>
      </x:c>
      <x:c r="M299" s="65" t="str">
        <x:v>Machine-suggested near-miss; human review required.</x:v>
      </x:c>
    </x:row>
    <x:row r="300" ht="42" customHeight="1">
      <x:c r="A300" s="65" t="str">
        <x:v>gold30-015</x:v>
      </x:c>
      <x:c r="B300" s="65" t="str">
        <x:v>hybrid</x:v>
      </x:c>
      <x:c r="C300" s="88" t="n">
        <x:v>5</x:v>
      </x:c>
      <x:c r="D300" s="65" t="str">
        <x:v>jakarta-regulations</x:v>
      </x:c>
      <x:c r="E300" s="65" t="str">
        <x:v>jakarta-regulations:structure:0</x:v>
      </x:c>
      <x:c r="F300" s="65" t="str">
        <x:v>p.1</x:v>
      </x:c>
      <x:c r="G300" s="92" t="n">
        <x:v>0.03112903</x:v>
      </x:c>
      <x:c r="H300" s="65" t="str">
        <x:v>Jakarta and Indonesian air-quality regulations</x:v>
      </x:c>
      <x:c r="I300" s="65" t="str">
        <x:v>JDIH DKI Jakarta / Government of Indonesia</x:v>
      </x:c>
      <x:c r="J300"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00" s="65" t="str">
        <x:v>https://udara.jakarta.go.id/regulasi</x:v>
      </x:c>
      <x:c r="L300" s="65" t="n">
        <x:v>0</x:v>
      </x:c>
      <x:c r="M300" s="65" t="str">
        <x:v>Machine-suggested near-miss; human review required.</x:v>
      </x:c>
    </x:row>
    <x:row r="301" ht="42" customHeight="1">
      <x:c r="A301" s="65" t="str">
        <x:v>gold30-015</x:v>
      </x:c>
      <x:c r="B301" s="65" t="str">
        <x:v>hybrid_rerank</x:v>
      </x:c>
      <x:c r="C301" s="88" t="n">
        <x:v>1</x:v>
      </x:c>
      <x:c r="D301" s="65" t="str">
        <x:v>permen-lhk-8-2023-vehicle-emissions</x:v>
      </x:c>
      <x:c r="E301" s="65" t="str">
        <x:v>permen-lhk-8-2023-vehicle-emissions:structure:0</x:v>
      </x:c>
      <x:c r="F301" s="65" t="str">
        <x:v>p.1</x:v>
      </x:c>
      <x:c r="G301" s="92" t="n">
        <x:v>0.62243443</x:v>
      </x:c>
      <x:c r="H301" s="65" t="str">
        <x:v>Permen LHK No. 8 Tahun 2023 — vehicle emission standards and testing</x:v>
      </x:c>
      <x:c r="I301" s="65" t="str">
        <x:v>Kementerian Lingkungan Hidup dan Kehutanan / Database Peraturan BPK</x:v>
      </x:c>
      <x:c r="J301"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301" s="65" t="str">
        <x:v>https://peraturan.bpk.go.id/Details/262504/permen-lhk-no-8-tahun-2023</x:v>
      </x:c>
      <x:c r="L301" s="65" t="n">
        <x:v>3</x:v>
      </x:c>
      <x:c r="M301" s="65" t="str">
        <x:v>Expected source for this question.</x:v>
      </x:c>
    </x:row>
    <x:row r="302" ht="42" customHeight="1">
      <x:c r="A302" s="65" t="str">
        <x:v>gold30-015</x:v>
      </x:c>
      <x:c r="B302" s="65" t="str">
        <x:v>hybrid_rerank</x:v>
      </x:c>
      <x:c r="C302" s="88" t="n">
        <x:v>2</x:v>
      </x:c>
      <x:c r="D302" s="65" t="str">
        <x:v>jakarta-regulations</x:v>
      </x:c>
      <x:c r="E302" s="65" t="str">
        <x:v>jakarta-regulations:structure:0</x:v>
      </x:c>
      <x:c r="F302" s="65" t="str">
        <x:v>p.1</x:v>
      </x:c>
      <x:c r="G302" s="92" t="n">
        <x:v>0.35933871</x:v>
      </x:c>
      <x:c r="H302" s="65" t="str">
        <x:v>Jakarta and Indonesian air-quality regulations</x:v>
      </x:c>
      <x:c r="I302" s="65" t="str">
        <x:v>JDIH DKI Jakarta / Government of Indonesia</x:v>
      </x:c>
      <x:c r="J302"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02" s="65" t="str">
        <x:v>https://udara.jakarta.go.id/regulasi</x:v>
      </x:c>
      <x:c r="L302" s="65" t="n">
        <x:v>0</x:v>
      </x:c>
      <x:c r="M302" s="65" t="str">
        <x:v>Machine-suggested near-miss; human review required.</x:v>
      </x:c>
    </x:row>
    <x:row r="303" ht="42" customHeight="1">
      <x:c r="A303" s="65" t="str">
        <x:v>gold30-015</x:v>
      </x:c>
      <x:c r="B303" s="65" t="str">
        <x:v>hybrid_rerank</x:v>
      </x:c>
      <x:c r="C303" s="88" t="n">
        <x:v>3</x:v>
      </x:c>
      <x:c r="D303" s="65" t="str">
        <x:v>ispu</x:v>
      </x:c>
      <x:c r="E303" s="65" t="str">
        <x:v>ispu:structure:0</x:v>
      </x:c>
      <x:c r="F303" s="65" t="str">
        <x:v>p.1</x:v>
      </x:c>
      <x:c r="G303" s="92" t="n">
        <x:v>0.27204315</x:v>
      </x:c>
      <x:c r="H303" s="65" t="str">
        <x:v>Indonesian ISPU categories</x:v>
      </x:c>
      <x:c r="I303" s="65" t="str">
        <x:v>Ministry of Environment and Forestry</x:v>
      </x:c>
      <x:c r="J303" s="65" t="str">
        <x:v>The Indonesian ISPU categories used in this demo are Baik (1-50), Sedang (51-100), Tidak Sehat (101-200), Sangat Tidak Sehat (201-300), and Berbahaya (301 or higher). ISPU is an index without a physical concentration unit.</x:v>
      </x:c>
      <x:c r="K303" s="65" t="str">
        <x:v>https://peraturan.bpk.go.id/Details/163466/permen-lhk-no-14-tahun-2020</x:v>
      </x:c>
      <x:c r="L303" s="65" t="n">
        <x:v>0</x:v>
      </x:c>
      <x:c r="M303" s="65" t="str">
        <x:v>Machine-suggested near-miss; human review required.</x:v>
      </x:c>
    </x:row>
    <x:row r="304" ht="42" customHeight="1">
      <x:c r="A304" s="65" t="str">
        <x:v>gold30-015</x:v>
      </x:c>
      <x:c r="B304" s="65" t="str">
        <x:v>hybrid_rerank</x:v>
      </x:c>
      <x:c r="C304" s="88" t="n">
        <x:v>4</x:v>
      </x:c>
      <x:c r="D304" s="65" t="str">
        <x:v>jakarta-policy-implementation</x:v>
      </x:c>
      <x:c r="E304" s="65" t="str">
        <x:v>jakarta-policy-implementation:structure:1</x:v>
      </x:c>
      <x:c r="F304" s="65" t="str">
        <x:v>p.2</x:v>
      </x:c>
      <x:c r="G304" s="92" t="n">
        <x:v>0.27189519</x:v>
      </x:c>
      <x:c r="H304" s="65" t="str">
        <x:v>Why rules can coexist with poor air: implementation evidence</x:v>
      </x:c>
      <x:c r="I304" s="65" t="str">
        <x:v>Pemerintah Provinsi DKI Jakarta; Dinas Lingkungan Hidup DKI Jakarta; Mahkamah Agung</x:v>
      </x:c>
      <x:c r="J304"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304" s="65" t="str">
        <x:v>https://www.jakarta.go.id/siaran-pers/4802-SP-HMS-06-2024</x:v>
      </x:c>
      <x:c r="L304" s="65" t="n">
        <x:v>0</x:v>
      </x:c>
      <x:c r="M304" s="65" t="str">
        <x:v>Machine-suggested near-miss; human review required.</x:v>
      </x:c>
    </x:row>
    <x:row r="305" ht="42" customHeight="1">
      <x:c r="A305" s="65" t="str">
        <x:v>gold30-015</x:v>
      </x:c>
      <x:c r="B305" s="65" t="str">
        <x:v>hybrid_rerank</x:v>
      </x:c>
      <x:c r="C305" s="88" t="n">
        <x:v>5</x:v>
      </x:c>
      <x:c r="D305" s="65" t="str">
        <x:v>permen-lhk-13-2021-cems</x:v>
      </x:c>
      <x:c r="E305" s="65" t="str">
        <x:v>permen-lhk-13-2021-cems:structure:0</x:v>
      </x:c>
      <x:c r="F305" s="65" t="str">
        <x:v>p.1</x:v>
      </x:c>
      <x:c r="G305" s="92" t="n">
        <x:v>0.18448094</x:v>
      </x:c>
      <x:c r="H305" s="65" t="str">
        <x:v>Permen LHK No. 13 Tahun 2021 — CEMS connectivity and emission monitoring</x:v>
      </x:c>
      <x:c r="I305" s="65" t="str">
        <x:v>Kementerian Lingkungan Hidup dan Kehutanan / Database Peraturan BPK</x:v>
      </x:c>
      <x:c r="J305" s="65" t="str">
        <x:v>The official BPK download URL identifies a 2021 Ministerial Environment and Forestry regulation. The PDF search extract exposes a CEMS connectivity test table with fields for stack code, emission source, CEMS brand, parameters and pass/fail connectivity result.</x:v>
      </x:c>
      <x:c r="K305" s="65" t="str">
        <x:v>https://peraturan.bpk.go.id/Download/288590/Permen%20LHK%20Nomor%2013%20Tahun%202021.pdf</x:v>
      </x:c>
      <x:c r="L305" s="65" t="n">
        <x:v>0</x:v>
      </x:c>
      <x:c r="M305" s="65" t="str">
        <x:v>Machine-suggested near-miss; human review required.</x:v>
      </x:c>
    </x:row>
    <x:row r="306" ht="42" customHeight="1">
      <x:c r="A306" s="65" t="str">
        <x:v>gold30-016</x:v>
      </x:c>
      <x:c r="B306" s="65" t="str">
        <x:v>bm25</x:v>
      </x:c>
      <x:c r="C306" s="88" t="n">
        <x:v>1</x:v>
      </x:c>
      <x:c r="D306" s="65" t="str">
        <x:v>individual-emission-actions</x:v>
      </x:c>
      <x:c r="E306" s="65" t="str">
        <x:v>individual-emission-actions:structure:2</x:v>
      </x:c>
      <x:c r="F306" s="65" t="str">
        <x:v>p.3</x:v>
      </x:c>
      <x:c r="G306" s="92" t="n">
        <x:v>0.1</x:v>
      </x:c>
      <x:c r="H306" s="65" t="str">
        <x:v>What an individual can do to reduce emissions and improve accountability</x:v>
      </x:c>
      <x:c r="I306" s="65" t="str">
        <x:v>World Health Organization; Pemerintah Provinsi DKI Jakarta</x:v>
      </x:c>
      <x:c r="J306"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306" s="65" t="str">
        <x:v>https://www.who.int/europe/publications/m/item/personal-level-actions-to-reduce-air-pollution-exposure</x:v>
      </x:c>
      <x:c r="L306" s="65" t="n">
        <x:v>0</x:v>
      </x:c>
      <x:c r="M306" s="65" t="str">
        <x:v>Machine-suggested near-miss; human review required.</x:v>
      </x:c>
    </x:row>
    <x:row r="307" ht="42" customHeight="1">
      <x:c r="A307" s="65" t="str">
        <x:v>gold30-016</x:v>
      </x:c>
      <x:c r="B307" s="65" t="str">
        <x:v>bm25</x:v>
      </x:c>
      <x:c r="C307" s="88" t="n">
        <x:v>2</x:v>
      </x:c>
      <x:c r="D307" s="65" t="str">
        <x:v>jakarta-cems-monitoring</x:v>
      </x:c>
      <x:c r="E307" s="65" t="str">
        <x:v>jakarta-cems-monitoring:structure:1</x:v>
      </x:c>
      <x:c r="F307" s="65" t="str">
        <x:v>p.2</x:v>
      </x:c>
      <x:c r="G307" s="92" t="n">
        <x:v>0.1</x:v>
      </x:c>
      <x:c r="H307" s="65" t="str">
        <x:v>Stationary-source emissions monitoring (CEMS)</x:v>
      </x:c>
      <x:c r="I307" s="65" t="str">
        <x:v>Dinas Lingkungan Hidup DKI Jakarta</x:v>
      </x:c>
      <x:c r="J307"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307" s="65" t="str">
        <x:v>https://lingkunganhidup.jakarta.go.id/publikasi/monitoring_emisi</x:v>
      </x:c>
      <x:c r="L307" s="65" t="n">
        <x:v>3</x:v>
      </x:c>
      <x:c r="M307" s="65" t="str">
        <x:v>Expected source for this question.</x:v>
      </x:c>
    </x:row>
    <x:row r="308" ht="42" customHeight="1">
      <x:c r="A308" s="65" t="str">
        <x:v>gold30-016</x:v>
      </x:c>
      <x:c r="B308" s="65" t="str">
        <x:v>bm25</x:v>
      </x:c>
      <x:c r="C308" s="88" t="n">
        <x:v>3</x:v>
      </x:c>
      <x:c r="D308" s="65" t="str">
        <x:v>jakarta-policy-implementation</x:v>
      </x:c>
      <x:c r="E308" s="65" t="str">
        <x:v>jakarta-policy-implementation:structure:2</x:v>
      </x:c>
      <x:c r="F308" s="65" t="str">
        <x:v>p.3</x:v>
      </x:c>
      <x:c r="G308" s="92" t="n">
        <x:v>0.1</x:v>
      </x:c>
      <x:c r="H308" s="65" t="str">
        <x:v>Why rules can coexist with poor air: implementation evidence</x:v>
      </x:c>
      <x:c r="I308" s="65" t="str">
        <x:v>Pemerintah Provinsi DKI Jakarta; Dinas Lingkungan Hidup DKI Jakarta; Mahkamah Agung</x:v>
      </x:c>
      <x:c r="J308"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308" s="65" t="str">
        <x:v>https://www.jakarta.go.id/siaran-pers/4802-SP-HMS-06-2024</x:v>
      </x:c>
      <x:c r="L308" s="65" t="n">
        <x:v>0</x:v>
      </x:c>
      <x:c r="M308" s="65" t="str">
        <x:v>Machine-suggested near-miss; human review required.</x:v>
      </x:c>
    </x:row>
    <x:row r="309" ht="42" customHeight="1">
      <x:c r="A309" s="65" t="str">
        <x:v>gold30-016</x:v>
      </x:c>
      <x:c r="B309" s="65" t="str">
        <x:v>bm25</x:v>
      </x:c>
      <x:c r="C309" s="88" t="n">
        <x:v>4</x:v>
      </x:c>
      <x:c r="D309" s="65" t="str">
        <x:v>jakarta-sppu-official-status-2024</x:v>
      </x:c>
      <x:c r="E309" s="65" t="str">
        <x:v>jakarta-sppu-official-status-2024:structure:2</x:v>
      </x:c>
      <x:c r="F309" s="65" t="str">
        <x:v>p.3</x:v>
      </x:c>
      <x:c r="G309" s="92" t="n">
        <x:v>0.1</x:v>
      </x:c>
      <x:c r="H309" s="65" t="str">
        <x:v>Jakarta SPPU and air-quality implementation status (official statement, 2024)</x:v>
      </x:c>
      <x:c r="I309" s="65" t="str">
        <x:v>Pemerintah Provinsi DKI Jakarta / Dinas Lingkungan Hidup DKI Jakarta</x:v>
      </x:c>
      <x:c r="J309" s="65" t="str">
        <x:v>A statement describing an inventory or oversight program does not provide a complete denominator for all eligible vehicles, regulated stacks, inspections, sanctions, or CEMS follow-up. A reviewer should request the underlying dated datasets, methodology, coverage and quality con…</x:v>
      </x:c>
      <x:c r="K309" s="65" t="str">
        <x:v>https://www.jakarta.go.id/siaran-pers/4802-SP-HMS-06-2024</x:v>
      </x:c>
      <x:c r="L309" s="65" t="n">
        <x:v>0</x:v>
      </x:c>
      <x:c r="M309" s="65" t="str">
        <x:v>Machine-suggested near-miss; human review required.</x:v>
      </x:c>
    </x:row>
    <x:row r="310" ht="42" customHeight="1">
      <x:c r="A310" s="65" t="str">
        <x:v>gold30-016</x:v>
      </x:c>
      <x:c r="B310" s="65" t="str">
        <x:v>bm25</x:v>
      </x:c>
      <x:c r="C310" s="88" t="n">
        <x:v>5</x:v>
      </x:c>
      <x:c r="D310" s="65" t="str">
        <x:v>pergub-66-2020-vehicle-testing</x:v>
      </x:c>
      <x:c r="E310" s="65" t="str">
        <x:v>pergub-66-2020-vehicle-testing:structure:0</x:v>
      </x:c>
      <x:c r="F310" s="65" t="str">
        <x:v>p.1</x:v>
      </x:c>
      <x:c r="G310" s="92" t="n">
        <x:v>0.1</x:v>
      </x:c>
      <x:c r="H310" s="65" t="str">
        <x:v>Pergub DKI Jakarta No. 66 Tahun 2020 — motor-vehicle emission testing</x:v>
      </x:c>
      <x:c r="I310" s="65" t="str">
        <x:v>Pemerintah Provinsi DKI Jakarta / Database Peraturan BPK</x:v>
      </x:c>
      <x:c r="J310" s="65" t="str">
        <x:v>Peraturan Gubernur Provinsi DKI Jakarta Nomor 66 Tahun 2020 is titled Uji Emisi Gas Buang Kendaraan Bermotor. The BPK record gives the adoption date as 22 July 2020, promulgation date as 24 July 2020, and effective date as 24 December 2020.</x:v>
      </x:c>
      <x:c r="K310" s="65" t="str">
        <x:v>https://peraturan.bpk.go.id/Details/153923/pergub-prov-dki-jakarta-no-66-tahun-2020</x:v>
      </x:c>
      <x:c r="L310" s="65" t="n">
        <x:v>0</x:v>
      </x:c>
      <x:c r="M310" s="65" t="str">
        <x:v>Machine-suggested near-miss; human review required.</x:v>
      </x:c>
    </x:row>
    <x:row r="311" ht="42" customHeight="1">
      <x:c r="A311" s="65" t="str">
        <x:v>gold30-016</x:v>
      </x:c>
      <x:c r="B311" s="65" t="str">
        <x:v>dense</x:v>
      </x:c>
      <x:c r="C311" s="88" t="n">
        <x:v>1</x:v>
      </x:c>
      <x:c r="D311" s="65" t="str">
        <x:v>permen-lhk-13-2021-cems</x:v>
      </x:c>
      <x:c r="E311" s="65" t="str">
        <x:v>permen-lhk-13-2021-cems:structure:0</x:v>
      </x:c>
      <x:c r="F311" s="65" t="str">
        <x:v>p.1</x:v>
      </x:c>
      <x:c r="G311" s="92" t="n">
        <x:v>0.16313222</x:v>
      </x:c>
      <x:c r="H311" s="65" t="str">
        <x:v>Permen LHK No. 13 Tahun 2021 — CEMS connectivity and emission monitoring</x:v>
      </x:c>
      <x:c r="I311" s="65" t="str">
        <x:v>Kementerian Lingkungan Hidup dan Kehutanan / Database Peraturan BPK</x:v>
      </x:c>
      <x:c r="J311" s="65" t="str">
        <x:v>The official BPK download URL identifies a 2021 Ministerial Environment and Forestry regulation. The PDF search extract exposes a CEMS connectivity test table with fields for stack code, emission source, CEMS brand, parameters and pass/fail connectivity result.</x:v>
      </x:c>
      <x:c r="K311" s="65" t="str">
        <x:v>https://peraturan.bpk.go.id/Download/288590/Permen%20LHK%20Nomor%2013%20Tahun%202021.pdf</x:v>
      </x:c>
      <x:c r="L311" s="65" t="n">
        <x:v>3</x:v>
      </x:c>
      <x:c r="M311" s="65" t="str">
        <x:v>Expected source for this question.</x:v>
      </x:c>
    </x:row>
    <x:row r="312" ht="42" customHeight="1">
      <x:c r="A312" s="65" t="str">
        <x:v>gold30-016</x:v>
      </x:c>
      <x:c r="B312" s="65" t="str">
        <x:v>dense</x:v>
      </x:c>
      <x:c r="C312" s="88" t="n">
        <x:v>2</x:v>
      </x:c>
      <x:c r="D312" s="65" t="str">
        <x:v>permen-lhk-8-2023-vehicle-emissions</x:v>
      </x:c>
      <x:c r="E312" s="65" t="str">
        <x:v>permen-lhk-8-2023-vehicle-emissions:structure:0</x:v>
      </x:c>
      <x:c r="F312" s="65" t="str">
        <x:v>p.1</x:v>
      </x:c>
      <x:c r="G312" s="92" t="n">
        <x:v>0.12460792</x:v>
      </x:c>
      <x:c r="H312" s="65" t="str">
        <x:v>Permen LHK No. 8 Tahun 2023 — vehicle emission standards and testing</x:v>
      </x:c>
      <x:c r="I312" s="65" t="str">
        <x:v>Kementerian Lingkungan Hidup dan Kehutanan / Database Peraturan BPK</x:v>
      </x:c>
      <x:c r="J312"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312" s="65" t="str">
        <x:v>https://peraturan.bpk.go.id/Details/262504/permen-lhk-no-8-tahun-2023</x:v>
      </x:c>
      <x:c r="L312" s="65" t="n">
        <x:v>0</x:v>
      </x:c>
      <x:c r="M312" s="65" t="str">
        <x:v>Machine-suggested near-miss; human review required.</x:v>
      </x:c>
    </x:row>
    <x:row r="313" ht="42" customHeight="1">
      <x:c r="A313" s="65" t="str">
        <x:v>gold30-016</x:v>
      </x:c>
      <x:c r="B313" s="65" t="str">
        <x:v>dense</x:v>
      </x:c>
      <x:c r="C313" s="88" t="n">
        <x:v>3</x:v>
      </x:c>
      <x:c r="D313" s="65" t="str">
        <x:v>jakarta-sppu-official-status-2024</x:v>
      </x:c>
      <x:c r="E313" s="65" t="str">
        <x:v>jakarta-sppu-official-status-2024:structure:2</x:v>
      </x:c>
      <x:c r="F313" s="65" t="str">
        <x:v>p.3</x:v>
      </x:c>
      <x:c r="G313" s="92" t="n">
        <x:v>0.12269732</x:v>
      </x:c>
      <x:c r="H313" s="65" t="str">
        <x:v>Jakarta SPPU and air-quality implementation status (official statement, 2024)</x:v>
      </x:c>
      <x:c r="I313" s="65" t="str">
        <x:v>Pemerintah Provinsi DKI Jakarta / Dinas Lingkungan Hidup DKI Jakarta</x:v>
      </x:c>
      <x:c r="J313" s="65" t="str">
        <x:v>A statement describing an inventory or oversight program does not provide a complete denominator for all eligible vehicles, regulated stacks, inspections, sanctions, or CEMS follow-up. A reviewer should request the underlying dated datasets, methodology, coverage and quality con…</x:v>
      </x:c>
      <x:c r="K313" s="65" t="str">
        <x:v>https://www.jakarta.go.id/siaran-pers/4802-SP-HMS-06-2024</x:v>
      </x:c>
      <x:c r="L313" s="65" t="n">
        <x:v>0</x:v>
      </x:c>
      <x:c r="M313" s="65" t="str">
        <x:v>Machine-suggested near-miss; human review required.</x:v>
      </x:c>
    </x:row>
    <x:row r="314" ht="42" customHeight="1">
      <x:c r="A314" s="65" t="str">
        <x:v>gold30-016</x:v>
      </x:c>
      <x:c r="B314" s="65" t="str">
        <x:v>dense</x:v>
      </x:c>
      <x:c r="C314" s="88" t="n">
        <x:v>4</x:v>
      </x:c>
      <x:c r="D314" s="65" t="str">
        <x:v>jakarta-cems-monitoring</x:v>
      </x:c>
      <x:c r="E314" s="65" t="str">
        <x:v>jakarta-cems-monitoring:structure:1</x:v>
      </x:c>
      <x:c r="F314" s="65" t="str">
        <x:v>p.2</x:v>
      </x:c>
      <x:c r="G314" s="92" t="n">
        <x:v>0.12181424</x:v>
      </x:c>
      <x:c r="H314" s="65" t="str">
        <x:v>Stationary-source emissions monitoring (CEMS)</x:v>
      </x:c>
      <x:c r="I314" s="65" t="str">
        <x:v>Dinas Lingkungan Hidup DKI Jakarta</x:v>
      </x:c>
      <x:c r="J314"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314" s="65" t="str">
        <x:v>https://lingkunganhidup.jakarta.go.id/publikasi/monitoring_emisi</x:v>
      </x:c>
      <x:c r="L314" s="65" t="n">
        <x:v>3</x:v>
      </x:c>
      <x:c r="M314" s="65" t="str">
        <x:v>Expected source for this question.</x:v>
      </x:c>
    </x:row>
    <x:row r="315" ht="42" customHeight="1">
      <x:c r="A315" s="65" t="str">
        <x:v>gold30-016</x:v>
      </x:c>
      <x:c r="B315" s="65" t="str">
        <x:v>dense</x:v>
      </x:c>
      <x:c r="C315" s="88" t="n">
        <x:v>5</x:v>
      </x:c>
      <x:c r="D315" s="65" t="str">
        <x:v>jakarta-policy-implementation</x:v>
      </x:c>
      <x:c r="E315" s="65" t="str">
        <x:v>jakarta-policy-implementation:structure:2</x:v>
      </x:c>
      <x:c r="F315" s="65" t="str">
        <x:v>p.3</x:v>
      </x:c>
      <x:c r="G315" s="92" t="n">
        <x:v>0.12014527</x:v>
      </x:c>
      <x:c r="H315" s="65" t="str">
        <x:v>Why rules can coexist with poor air: implementation evidence</x:v>
      </x:c>
      <x:c r="I315" s="65" t="str">
        <x:v>Pemerintah Provinsi DKI Jakarta; Dinas Lingkungan Hidup DKI Jakarta; Mahkamah Agung</x:v>
      </x:c>
      <x:c r="J315"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315" s="65" t="str">
        <x:v>https://www.jakarta.go.id/siaran-pers/4802-SP-HMS-06-2024</x:v>
      </x:c>
      <x:c r="L315" s="65" t="n">
        <x:v>0</x:v>
      </x:c>
      <x:c r="M315" s="65" t="str">
        <x:v>Machine-suggested near-miss; human review required.</x:v>
      </x:c>
    </x:row>
    <x:row r="316" ht="42" customHeight="1">
      <x:c r="A316" s="65" t="str">
        <x:v>gold30-016</x:v>
      </x:c>
      <x:c r="B316" s="65" t="str">
        <x:v>hybrid</x:v>
      </x:c>
      <x:c r="C316" s="88" t="n">
        <x:v>1</x:v>
      </x:c>
      <x:c r="D316" s="65" t="str">
        <x:v>jakarta-cems-monitoring</x:v>
      </x:c>
      <x:c r="E316" s="65" t="str">
        <x:v>jakarta-cems-monitoring:structure:1</x:v>
      </x:c>
      <x:c r="F316" s="65" t="str">
        <x:v>p.2</x:v>
      </x:c>
      <x:c r="G316" s="92" t="n">
        <x:v>0.03206653</x:v>
      </x:c>
      <x:c r="H316" s="65" t="str">
        <x:v>Stationary-source emissions monitoring (CEMS)</x:v>
      </x:c>
      <x:c r="I316" s="65" t="str">
        <x:v>Dinas Lingkungan Hidup DKI Jakarta</x:v>
      </x:c>
      <x:c r="J316"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316" s="65" t="str">
        <x:v>https://lingkunganhidup.jakarta.go.id/publikasi/monitoring_emisi</x:v>
      </x:c>
      <x:c r="L316" s="65" t="n">
        <x:v>3</x:v>
      </x:c>
      <x:c r="M316" s="65" t="str">
        <x:v>Expected source for this question.</x:v>
      </x:c>
    </x:row>
    <x:row r="317" ht="42" customHeight="1">
      <x:c r="A317" s="65" t="str">
        <x:v>gold30-016</x:v>
      </x:c>
      <x:c r="B317" s="65" t="str">
        <x:v>hybrid</x:v>
      </x:c>
      <x:c r="C317" s="88" t="n">
        <x:v>2</x:v>
      </x:c>
      <x:c r="D317" s="65" t="str">
        <x:v>permen-lhk-13-2021-cems</x:v>
      </x:c>
      <x:c r="E317" s="65" t="str">
        <x:v>permen-lhk-13-2021-cems:structure:0</x:v>
      </x:c>
      <x:c r="F317" s="65" t="str">
        <x:v>p.1</x:v>
      </x:c>
      <x:c r="G317" s="92" t="n">
        <x:v>0.03187283</x:v>
      </x:c>
      <x:c r="H317" s="65" t="str">
        <x:v>Permen LHK No. 13 Tahun 2021 — CEMS connectivity and emission monitoring</x:v>
      </x:c>
      <x:c r="I317" s="65" t="str">
        <x:v>Kementerian Lingkungan Hidup dan Kehutanan / Database Peraturan BPK</x:v>
      </x:c>
      <x:c r="J317" s="65" t="str">
        <x:v>The official BPK download URL identifies a 2021 Ministerial Environment and Forestry regulation. The PDF search extract exposes a CEMS connectivity test table with fields for stack code, emission source, CEMS brand, parameters and pass/fail connectivity result.</x:v>
      </x:c>
      <x:c r="K317" s="65" t="str">
        <x:v>https://peraturan.bpk.go.id/Download/288590/Permen%20LHK%20Nomor%2013%20Tahun%202021.pdf</x:v>
      </x:c>
      <x:c r="L317" s="65" t="n">
        <x:v>3</x:v>
      </x:c>
      <x:c r="M317" s="65" t="str">
        <x:v>Expected source for this question.</x:v>
      </x:c>
    </x:row>
    <x:row r="318" ht="42" customHeight="1">
      <x:c r="A318" s="65" t="str">
        <x:v>gold30-016</x:v>
      </x:c>
      <x:c r="B318" s="65" t="str">
        <x:v>hybrid</x:v>
      </x:c>
      <x:c r="C318" s="88" t="n">
        <x:v>3</x:v>
      </x:c>
      <x:c r="D318" s="65" t="str">
        <x:v>jakarta-sppu-official-status-2024</x:v>
      </x:c>
      <x:c r="E318" s="65" t="str">
        <x:v>jakarta-sppu-official-status-2024:structure:2</x:v>
      </x:c>
      <x:c r="F318" s="65" t="str">
        <x:v>p.3</x:v>
      </x:c>
      <x:c r="G318" s="92" t="n">
        <x:v>0.03181548</x:v>
      </x:c>
      <x:c r="H318" s="65" t="str">
        <x:v>Jakarta SPPU and air-quality implementation status (official statement, 2024)</x:v>
      </x:c>
      <x:c r="I318" s="65" t="str">
        <x:v>Pemerintah Provinsi DKI Jakarta / Dinas Lingkungan Hidup DKI Jakarta</x:v>
      </x:c>
      <x:c r="J318" s="65" t="str">
        <x:v>A statement describing an inventory or oversight program does not provide a complete denominator for all eligible vehicles, regulated stacks, inspections, sanctions, or CEMS follow-up. A reviewer should request the underlying dated datasets, methodology, coverage and quality con…</x:v>
      </x:c>
      <x:c r="K318" s="65" t="str">
        <x:v>https://www.jakarta.go.id/siaran-pers/4802-SP-HMS-06-2024</x:v>
      </x:c>
      <x:c r="L318" s="65" t="n">
        <x:v>0</x:v>
      </x:c>
      <x:c r="M318" s="65" t="str">
        <x:v>Machine-suggested near-miss; human review required.</x:v>
      </x:c>
    </x:row>
    <x:row r="319" ht="42" customHeight="1">
      <x:c r="A319" s="65" t="str">
        <x:v>gold30-016</x:v>
      </x:c>
      <x:c r="B319" s="65" t="str">
        <x:v>hybrid</x:v>
      </x:c>
      <x:c r="C319" s="88" t="n">
        <x:v>4</x:v>
      </x:c>
      <x:c r="D319" s="65" t="str">
        <x:v>jakarta-policy-implementation</x:v>
      </x:c>
      <x:c r="E319" s="65" t="str">
        <x:v>jakarta-policy-implementation:structure:2</x:v>
      </x:c>
      <x:c r="F319" s="65" t="str">
        <x:v>p.3</x:v>
      </x:c>
      <x:c r="G319" s="92" t="n">
        <x:v>0.03156532</x:v>
      </x:c>
      <x:c r="H319" s="65" t="str">
        <x:v>Why rules can coexist with poor air: implementation evidence</x:v>
      </x:c>
      <x:c r="I319" s="65" t="str">
        <x:v>Pemerintah Provinsi DKI Jakarta; Dinas Lingkungan Hidup DKI Jakarta; Mahkamah Agung</x:v>
      </x:c>
      <x:c r="J319"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319" s="65" t="str">
        <x:v>https://www.jakarta.go.id/siaran-pers/4802-SP-HMS-06-2024</x:v>
      </x:c>
      <x:c r="L319" s="65" t="n">
        <x:v>0</x:v>
      </x:c>
      <x:c r="M319" s="65" t="str">
        <x:v>Machine-suggested near-miss; human review required.</x:v>
      </x:c>
    </x:row>
    <x:row r="320" ht="42" customHeight="1">
      <x:c r="A320" s="65" t="str">
        <x:v>gold30-016</x:v>
      </x:c>
      <x:c r="B320" s="65" t="str">
        <x:v>hybrid</x:v>
      </x:c>
      <x:c r="C320" s="88" t="n">
        <x:v>5</x:v>
      </x:c>
      <x:c r="D320" s="65" t="str">
        <x:v>policy-improvements-evidence</x:v>
      </x:c>
      <x:c r="E320" s="65" t="str">
        <x:v>policy-improvements-evidence:structure:2</x:v>
      </x:c>
      <x:c r="F320" s="65" t="str">
        <x:v>p.3</x:v>
      </x:c>
      <x:c r="G320" s="92" t="n">
        <x:v>0.03014925</x:v>
      </x:c>
      <x:c r="H320" s="65" t="str">
        <x:v>Evidence-based policy improvements for Jakarta</x:v>
      </x:c>
      <x:c r="I320" s="65" t="str">
        <x:v>Dinas Lingkungan Hidup DKI Jakarta; World Health Organization</x:v>
      </x:c>
      <x:c r="J32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320" s="65" t="str">
        <x:v>https://www.jakarta.go.id/siaran-pers/4802-SP-HMS-06-2024</x:v>
      </x:c>
      <x:c r="L320" s="65" t="n">
        <x:v>0</x:v>
      </x:c>
      <x:c r="M320" s="65" t="str">
        <x:v>Machine-suggested near-miss; human review required.</x:v>
      </x:c>
    </x:row>
    <x:row r="321" ht="42" customHeight="1">
      <x:c r="A321" s="65" t="str">
        <x:v>gold30-016</x:v>
      </x:c>
      <x:c r="B321" s="65" t="str">
        <x:v>hybrid_rerank</x:v>
      </x:c>
      <x:c r="C321" s="88" t="n">
        <x:v>1</x:v>
      </x:c>
      <x:c r="D321" s="65" t="str">
        <x:v>jakarta-cems-monitoring</x:v>
      </x:c>
      <x:c r="E321" s="65" t="str">
        <x:v>jakarta-cems-monitoring:structure:1</x:v>
      </x:c>
      <x:c r="F321" s="65" t="str">
        <x:v>p.2</x:v>
      </x:c>
      <x:c r="G321" s="92" t="n">
        <x:v>0.07961996</x:v>
      </x:c>
      <x:c r="H321" s="65" t="str">
        <x:v>Stationary-source emissions monitoring (CEMS)</x:v>
      </x:c>
      <x:c r="I321" s="65" t="str">
        <x:v>Dinas Lingkungan Hidup DKI Jakarta</x:v>
      </x:c>
      <x:c r="J321"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321" s="65" t="str">
        <x:v>https://lingkunganhidup.jakarta.go.id/publikasi/monitoring_emisi</x:v>
      </x:c>
      <x:c r="L321" s="65" t="n">
        <x:v>3</x:v>
      </x:c>
      <x:c r="M321" s="65" t="str">
        <x:v>Expected source for this question.</x:v>
      </x:c>
    </x:row>
    <x:row r="322" ht="42" customHeight="1">
      <x:c r="A322" s="65" t="str">
        <x:v>gold30-016</x:v>
      </x:c>
      <x:c r="B322" s="65" t="str">
        <x:v>hybrid_rerank</x:v>
      </x:c>
      <x:c r="C322" s="88" t="n">
        <x:v>2</x:v>
      </x:c>
      <x:c r="D322" s="65" t="str">
        <x:v>permen-lhk-13-2021-cems</x:v>
      </x:c>
      <x:c r="E322" s="65" t="str">
        <x:v>permen-lhk-13-2021-cems:structure:0</x:v>
      </x:c>
      <x:c r="F322" s="65" t="str">
        <x:v>p.1</x:v>
      </x:c>
      <x:c r="G322" s="92" t="n">
        <x:v>0.07956185</x:v>
      </x:c>
      <x:c r="H322" s="65" t="str">
        <x:v>Permen LHK No. 13 Tahun 2021 — CEMS connectivity and emission monitoring</x:v>
      </x:c>
      <x:c r="I322" s="65" t="str">
        <x:v>Kementerian Lingkungan Hidup dan Kehutanan / Database Peraturan BPK</x:v>
      </x:c>
      <x:c r="J322" s="65" t="str">
        <x:v>The official BPK download URL identifies a 2021 Ministerial Environment and Forestry regulation. The PDF search extract exposes a CEMS connectivity test table with fields for stack code, emission source, CEMS brand, parameters and pass/fail connectivity result.</x:v>
      </x:c>
      <x:c r="K322" s="65" t="str">
        <x:v>https://peraturan.bpk.go.id/Download/288590/Permen%20LHK%20Nomor%2013%20Tahun%202021.pdf</x:v>
      </x:c>
      <x:c r="L322" s="65" t="n">
        <x:v>3</x:v>
      </x:c>
      <x:c r="M322" s="65" t="str">
        <x:v>Expected source for this question.</x:v>
      </x:c>
    </x:row>
    <x:row r="323" ht="42" customHeight="1">
      <x:c r="A323" s="65" t="str">
        <x:v>gold30-016</x:v>
      </x:c>
      <x:c r="B323" s="65" t="str">
        <x:v>hybrid_rerank</x:v>
      </x:c>
      <x:c r="C323" s="88" t="n">
        <x:v>3</x:v>
      </x:c>
      <x:c r="D323" s="65" t="str">
        <x:v>jakarta-sppu-official-status-2024</x:v>
      </x:c>
      <x:c r="E323" s="65" t="str">
        <x:v>jakarta-sppu-official-status-2024:structure:2</x:v>
      </x:c>
      <x:c r="F323" s="65" t="str">
        <x:v>p.3</x:v>
      </x:c>
      <x:c r="G323" s="92" t="n">
        <x:v>0.07954464</x:v>
      </x:c>
      <x:c r="H323" s="65" t="str">
        <x:v>Jakarta SPPU and air-quality implementation status (official statement, 2024)</x:v>
      </x:c>
      <x:c r="I323" s="65" t="str">
        <x:v>Pemerintah Provinsi DKI Jakarta / Dinas Lingkungan Hidup DKI Jakarta</x:v>
      </x:c>
      <x:c r="J323" s="65" t="str">
        <x:v>A statement describing an inventory or oversight program does not provide a complete denominator for all eligible vehicles, regulated stacks, inspections, sanctions, or CEMS follow-up. A reviewer should request the underlying dated datasets, methodology, coverage and quality con…</x:v>
      </x:c>
      <x:c r="K323" s="65" t="str">
        <x:v>https://www.jakarta.go.id/siaran-pers/4802-SP-HMS-06-2024</x:v>
      </x:c>
      <x:c r="L323" s="65" t="n">
        <x:v>0</x:v>
      </x:c>
      <x:c r="M323" s="65" t="str">
        <x:v>Machine-suggested near-miss; human review required.</x:v>
      </x:c>
    </x:row>
    <x:row r="324" ht="42" customHeight="1">
      <x:c r="A324" s="65" t="str">
        <x:v>gold30-016</x:v>
      </x:c>
      <x:c r="B324" s="65" t="str">
        <x:v>hybrid_rerank</x:v>
      </x:c>
      <x:c r="C324" s="88" t="n">
        <x:v>4</x:v>
      </x:c>
      <x:c r="D324" s="65" t="str">
        <x:v>jakarta-policy-implementation</x:v>
      </x:c>
      <x:c r="E324" s="65" t="str">
        <x:v>jakarta-policy-implementation:structure:2</x:v>
      </x:c>
      <x:c r="F324" s="65" t="str">
        <x:v>p.3</x:v>
      </x:c>
      <x:c r="G324" s="92" t="n">
        <x:v>0.0794696</x:v>
      </x:c>
      <x:c r="H324" s="65" t="str">
        <x:v>Why rules can coexist with poor air: implementation evidence</x:v>
      </x:c>
      <x:c r="I324" s="65" t="str">
        <x:v>Pemerintah Provinsi DKI Jakarta; Dinas Lingkungan Hidup DKI Jakarta; Mahkamah Agung</x:v>
      </x:c>
      <x:c r="J324"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324" s="65" t="str">
        <x:v>https://www.jakarta.go.id/siaran-pers/4802-SP-HMS-06-2024</x:v>
      </x:c>
      <x:c r="L324" s="65" t="n">
        <x:v>0</x:v>
      </x:c>
      <x:c r="M324" s="65" t="str">
        <x:v>Machine-suggested near-miss; human review required.</x:v>
      </x:c>
    </x:row>
    <x:row r="325" ht="42" customHeight="1">
      <x:c r="A325" s="65" t="str">
        <x:v>gold30-016</x:v>
      </x:c>
      <x:c r="B325" s="65" t="str">
        <x:v>hybrid_rerank</x:v>
      </x:c>
      <x:c r="C325" s="88" t="n">
        <x:v>5</x:v>
      </x:c>
      <x:c r="D325" s="65" t="str">
        <x:v>policy-improvements-evidence</x:v>
      </x:c>
      <x:c r="E325" s="65" t="str">
        <x:v>policy-improvements-evidence:structure:2</x:v>
      </x:c>
      <x:c r="F325" s="65" t="str">
        <x:v>p.3</x:v>
      </x:c>
      <x:c r="G325" s="92" t="n">
        <x:v>0.07904478</x:v>
      </x:c>
      <x:c r="H325" s="65" t="str">
        <x:v>Evidence-based policy improvements for Jakarta</x:v>
      </x:c>
      <x:c r="I325" s="65" t="str">
        <x:v>Dinas Lingkungan Hidup DKI Jakarta; World Health Organization</x:v>
      </x:c>
      <x:c r="J325"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325" s="65" t="str">
        <x:v>https://www.jakarta.go.id/siaran-pers/4802-SP-HMS-06-2024</x:v>
      </x:c>
      <x:c r="L325" s="65" t="n">
        <x:v>0</x:v>
      </x:c>
      <x:c r="M325" s="65" t="str">
        <x:v>Machine-suggested near-miss; human review required.</x:v>
      </x:c>
    </x:row>
    <x:row r="326" ht="42" customHeight="1">
      <x:c r="A326" s="65" t="str">
        <x:v>gold30-017</x:v>
      </x:c>
      <x:c r="B326" s="65" t="str">
        <x:v>bm25</x:v>
      </x:c>
      <x:c r="C326" s="88" t="n">
        <x:v>1</x:v>
      </x:c>
      <x:c r="D326" s="65" t="str">
        <x:v>ma-jakarta-air-lawsuit-record</x:v>
      </x:c>
      <x:c r="E326" s="65" t="str">
        <x:v>ma-jakarta-air-lawsuit-record:structure:1</x:v>
      </x:c>
      <x:c r="F326" s="65" t="str">
        <x:v>p.2</x:v>
      </x:c>
      <x:c r="G326" s="92" t="n">
        <x:v>0.90909091</x:v>
      </x:c>
      <x:c r="H326" s="65" t="str">
        <x:v>Mahkamah Agung record — Jakarta air-pollution citizen lawsuit</x:v>
      </x:c>
      <x:c r="I326" s="65" t="str">
        <x:v>Mahkamah Agung Republik Indonesia</x:v>
      </x:c>
      <x:c r="J326" s="65" t="str">
        <x:v>A judgment or order can establish what a court directed or declared. It does not by itself establish that every direction was implemented, funded, monitored or completed. Those claims require subsequent official execution, government-response or monitoring records with dates.</x:v>
      </x:c>
      <x:c r="K326" s="65" t="str">
        <x:v>https://putusan3.mahkamahagung.go.id/pengadilan/profil/pengadilan/pn-jakarta-pusat.html</x:v>
      </x:c>
      <x:c r="L326" s="65" t="n">
        <x:v>3</x:v>
      </x:c>
      <x:c r="M326" s="65" t="str">
        <x:v>Expected source for this question.</x:v>
      </x:c>
    </x:row>
    <x:row r="327" ht="42" customHeight="1">
      <x:c r="A327" s="65" t="str">
        <x:v>gold30-017</x:v>
      </x:c>
      <x:c r="B327" s="65" t="str">
        <x:v>bm25</x:v>
      </x:c>
      <x:c r="C327" s="88" t="n">
        <x:v>2</x:v>
      </x:c>
      <x:c r="D327" s="65" t="str">
        <x:v>jakarta-court-air-quality</x:v>
      </x:c>
      <x:c r="E327" s="65" t="str">
        <x:v>jakarta-court-air-quality:structure:1</x:v>
      </x:c>
      <x:c r="F327" s="65" t="str">
        <x:v>p.2</x:v>
      </x:c>
      <x:c r="G327" s="92" t="n">
        <x:v>0.63636364</x:v>
      </x:c>
      <x:c r="H327" s="65" t="str">
        <x:v>Jakarta air-pollution citizen lawsuit: what the court record establishes</x:v>
      </x:c>
      <x:c r="I327" s="65" t="str">
        <x:v>Mahkamah Agung Republik Indonesia</x:v>
      </x:c>
      <x:c r="J327"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27" s="65" t="str">
        <x:v>https://putusan3.mahkamahagung.go.id/pengadilan/profil/pengadilan/pn-jakarta-pusat.html</x:v>
      </x:c>
      <x:c r="L327" s="65" t="n">
        <x:v>3</x:v>
      </x:c>
      <x:c r="M327" s="65" t="str">
        <x:v>Expected source for this question.</x:v>
      </x:c>
    </x:row>
    <x:row r="328" ht="42" customHeight="1">
      <x:c r="A328" s="65" t="str">
        <x:v>gold30-017</x:v>
      </x:c>
      <x:c r="B328" s="65" t="str">
        <x:v>bm25</x:v>
      </x:c>
      <x:c r="C328" s="88" t="n">
        <x:v>3</x:v>
      </x:c>
      <x:c r="D328" s="65" t="str">
        <x:v>jakarta-policy-implementation</x:v>
      </x:c>
      <x:c r="E328" s="65" t="str">
        <x:v>jakarta-policy-implementation:structure:4</x:v>
      </x:c>
      <x:c r="F328" s="65" t="str">
        <x:v>p.5</x:v>
      </x:c>
      <x:c r="G328" s="92" t="n">
        <x:v>0.63636364</x:v>
      </x:c>
      <x:c r="H328" s="65" t="str">
        <x:v>Why rules can coexist with poor air: implementation evidence</x:v>
      </x:c>
      <x:c r="I328" s="65" t="str">
        <x:v>Pemerintah Provinsi DKI Jakarta; Dinas Lingkungan Hidup DKI Jakarta; Mahkamah Agung</x:v>
      </x:c>
      <x:c r="J328"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328" s="65" t="str">
        <x:v>https://www.jakarta.go.id/siaran-pers/4802-SP-HMS-06-2024</x:v>
      </x:c>
      <x:c r="L328" s="65" t="n">
        <x:v>0</x:v>
      </x:c>
      <x:c r="M328" s="65" t="str">
        <x:v>Machine-suggested near-miss; human review required.</x:v>
      </x:c>
    </x:row>
    <x:row r="329" ht="42" customHeight="1">
      <x:c r="A329" s="65" t="str">
        <x:v>gold30-017</x:v>
      </x:c>
      <x:c r="B329" s="65" t="str">
        <x:v>bm25</x:v>
      </x:c>
      <x:c r="C329" s="88" t="n">
        <x:v>4</x:v>
      </x:c>
      <x:c r="D329" s="65" t="str">
        <x:v>pp-22-2021-air-quality</x:v>
      </x:c>
      <x:c r="E329" s="65" t="str">
        <x:v>pp-22-2021-air-quality:structure:5</x:v>
      </x:c>
      <x:c r="F329" s="65" t="str">
        <x:v>p.6</x:v>
      </x:c>
      <x:c r="G329" s="92" t="n">
        <x:v>0.54545455</x:v>
      </x:c>
      <x:c r="H329" s="65" t="str">
        <x:v>PP No. 22 Tahun 2021 — environmental protection and ambient air quality</x:v>
      </x:c>
      <x:c r="I329" s="65" t="str">
        <x:v>Pemerintah Republik Indonesia / Database Peraturan BPK</x:v>
      </x:c>
      <x:c r="J329" s="65" t="str">
        <x:v>This is a rule-on-paper source. It does not establish that Jakarta inspected every regulated source, that a sanction was imposed in a particular case, or that implementation changed a measured concentration. Those claims require dated implementation records.</x:v>
      </x:c>
      <x:c r="K329" s="65" t="str">
        <x:v>https://peraturan.bpk.go.id/Details/161852/pp-no-22tahun-2021</x:v>
      </x:c>
      <x:c r="L329" s="65" t="n">
        <x:v>0</x:v>
      </x:c>
      <x:c r="M329" s="65" t="str">
        <x:v>Machine-suggested near-miss; human review required.</x:v>
      </x:c>
    </x:row>
    <x:row r="330" ht="42" customHeight="1">
      <x:c r="A330" s="65" t="str">
        <x:v>gold30-017</x:v>
      </x:c>
      <x:c r="B330" s="65" t="str">
        <x:v>bm25</x:v>
      </x:c>
      <x:c r="C330" s="88" t="n">
        <x:v>5</x:v>
      </x:c>
      <x:c r="D330" s="65" t="str">
        <x:v>jakarta-policy-status</x:v>
      </x:c>
      <x:c r="E330" s="65" t="str">
        <x:v>jakarta-policy-status:structure:2</x:v>
      </x:c>
      <x:c r="F330" s="65" t="str">
        <x:v>p.3</x:v>
      </x:c>
      <x:c r="G330" s="92" t="n">
        <x:v>0.45454545</x:v>
      </x:c>
      <x:c r="H330" s="65" t="str">
        <x:v>Policy proposals and implementation gaps</x:v>
      </x:c>
      <x:c r="I330" s="65" t="str">
        <x:v>Pemerintah Provinsi DKI Jakarta / JDIH</x:v>
      </x:c>
      <x:c r="J330" s="65" t="str">
        <x:v>The Jakarta citizen lawsuit and later court decisions are evidence about public duties and legal findings, not proof that every recommended intervention has been implemented.</x:v>
      </x:c>
      <x:c r="K330" s="65" t="str">
        <x:v>https://www.jakarta.go.id/siaran-pers/3850-SP-HMS-01-2023</x:v>
      </x:c>
      <x:c r="L330" s="65" t="n">
        <x:v>0</x:v>
      </x:c>
      <x:c r="M330" s="65" t="str">
        <x:v>Machine-suggested near-miss; human review required.</x:v>
      </x:c>
    </x:row>
    <x:row r="331" ht="42" customHeight="1">
      <x:c r="A331" s="65" t="str">
        <x:v>gold30-017</x:v>
      </x:c>
      <x:c r="B331" s="65" t="str">
        <x:v>dense</x:v>
      </x:c>
      <x:c r="C331" s="88" t="n">
        <x:v>1</x:v>
      </x:c>
      <x:c r="D331" s="65" t="str">
        <x:v>ma-jakarta-air-lawsuit-record</x:v>
      </x:c>
      <x:c r="E331" s="65" t="str">
        <x:v>ma-jakarta-air-lawsuit-record:structure:1</x:v>
      </x:c>
      <x:c r="F331" s="65" t="str">
        <x:v>p.2</x:v>
      </x:c>
      <x:c r="G331" s="92" t="n">
        <x:v>0.53705996</x:v>
      </x:c>
      <x:c r="H331" s="65" t="str">
        <x:v>Mahkamah Agung record — Jakarta air-pollution citizen lawsuit</x:v>
      </x:c>
      <x:c r="I331" s="65" t="str">
        <x:v>Mahkamah Agung Republik Indonesia</x:v>
      </x:c>
      <x:c r="J331" s="65" t="str">
        <x:v>A judgment or order can establish what a court directed or declared. It does not by itself establish that every direction was implemented, funded, monitored or completed. Those claims require subsequent official execution, government-response or monitoring records with dates.</x:v>
      </x:c>
      <x:c r="K331" s="65" t="str">
        <x:v>https://putusan3.mahkamahagung.go.id/pengadilan/profil/pengadilan/pn-jakarta-pusat.html</x:v>
      </x:c>
      <x:c r="L331" s="65" t="n">
        <x:v>3</x:v>
      </x:c>
      <x:c r="M331" s="65" t="str">
        <x:v>Expected source for this question.</x:v>
      </x:c>
    </x:row>
    <x:row r="332" ht="42" customHeight="1">
      <x:c r="A332" s="65" t="str">
        <x:v>gold30-017</x:v>
      </x:c>
      <x:c r="B332" s="65" t="str">
        <x:v>dense</x:v>
      </x:c>
      <x:c r="C332" s="88" t="n">
        <x:v>2</x:v>
      </x:c>
      <x:c r="D332" s="65" t="str">
        <x:v>jakarta-court-air-quality</x:v>
      </x:c>
      <x:c r="E332" s="65" t="str">
        <x:v>jakarta-court-air-quality:structure:1</x:v>
      </x:c>
      <x:c r="F332" s="65" t="str">
        <x:v>p.2</x:v>
      </x:c>
      <x:c r="G332" s="92" t="n">
        <x:v>0.52976454</x:v>
      </x:c>
      <x:c r="H332" s="65" t="str">
        <x:v>Jakarta air-pollution citizen lawsuit: what the court record establishes</x:v>
      </x:c>
      <x:c r="I332" s="65" t="str">
        <x:v>Mahkamah Agung Republik Indonesia</x:v>
      </x:c>
      <x:c r="J33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32" s="65" t="str">
        <x:v>https://putusan3.mahkamahagung.go.id/pengadilan/profil/pengadilan/pn-jakarta-pusat.html</x:v>
      </x:c>
      <x:c r="L332" s="65" t="n">
        <x:v>3</x:v>
      </x:c>
      <x:c r="M332" s="65" t="str">
        <x:v>Expected source for this question.</x:v>
      </x:c>
    </x:row>
    <x:row r="333" ht="42" customHeight="1">
      <x:c r="A333" s="65" t="str">
        <x:v>gold30-017</x:v>
      </x:c>
      <x:c r="B333" s="65" t="str">
        <x:v>dense</x:v>
      </x:c>
      <x:c r="C333" s="88" t="n">
        <x:v>3</x:v>
      </x:c>
      <x:c r="D333" s="65" t="str">
        <x:v>jakarta-policy-implementation</x:v>
      </x:c>
      <x:c r="E333" s="65" t="str">
        <x:v>jakarta-policy-implementation:structure:4</x:v>
      </x:c>
      <x:c r="F333" s="65" t="str">
        <x:v>p.5</x:v>
      </x:c>
      <x:c r="G333" s="92" t="n">
        <x:v>0.43221011</x:v>
      </x:c>
      <x:c r="H333" s="65" t="str">
        <x:v>Why rules can coexist with poor air: implementation evidence</x:v>
      </x:c>
      <x:c r="I333" s="65" t="str">
        <x:v>Pemerintah Provinsi DKI Jakarta; Dinas Lingkungan Hidup DKI Jakarta; Mahkamah Agung</x:v>
      </x:c>
      <x:c r="J333"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333" s="65" t="str">
        <x:v>https://www.jakarta.go.id/siaran-pers/4802-SP-HMS-06-2024</x:v>
      </x:c>
      <x:c r="L333" s="65" t="n">
        <x:v>0</x:v>
      </x:c>
      <x:c r="M333" s="65" t="str">
        <x:v>Machine-suggested near-miss; human review required.</x:v>
      </x:c>
    </x:row>
    <x:row r="334" ht="42" customHeight="1">
      <x:c r="A334" s="65" t="str">
        <x:v>gold30-017</x:v>
      </x:c>
      <x:c r="B334" s="65" t="str">
        <x:v>dense</x:v>
      </x:c>
      <x:c r="C334" s="88" t="n">
        <x:v>4</x:v>
      </x:c>
      <x:c r="D334" s="65" t="str">
        <x:v>jakarta-policy-status</x:v>
      </x:c>
      <x:c r="E334" s="65" t="str">
        <x:v>jakarta-policy-status:structure:2</x:v>
      </x:c>
      <x:c r="F334" s="65" t="str">
        <x:v>p.3</x:v>
      </x:c>
      <x:c r="G334" s="92" t="n">
        <x:v>0.41830512</x:v>
      </x:c>
      <x:c r="H334" s="65" t="str">
        <x:v>Policy proposals and implementation gaps</x:v>
      </x:c>
      <x:c r="I334" s="65" t="str">
        <x:v>Pemerintah Provinsi DKI Jakarta / JDIH</x:v>
      </x:c>
      <x:c r="J334" s="65" t="str">
        <x:v>The Jakarta citizen lawsuit and later court decisions are evidence about public duties and legal findings, not proof that every recommended intervention has been implemented.</x:v>
      </x:c>
      <x:c r="K334" s="65" t="str">
        <x:v>https://www.jakarta.go.id/siaran-pers/3850-SP-HMS-01-2023</x:v>
      </x:c>
      <x:c r="L334" s="65" t="n">
        <x:v>0</x:v>
      </x:c>
      <x:c r="M334" s="65" t="str">
        <x:v>Machine-suggested near-miss; human review required.</x:v>
      </x:c>
    </x:row>
    <x:row r="335" ht="42" customHeight="1">
      <x:c r="A335" s="65" t="str">
        <x:v>gold30-017</x:v>
      </x:c>
      <x:c r="B335" s="65" t="str">
        <x:v>dense</x:v>
      </x:c>
      <x:c r="C335" s="88" t="n">
        <x:v>5</x:v>
      </x:c>
      <x:c r="D335" s="65" t="str">
        <x:v>policy-improvements-evidence</x:v>
      </x:c>
      <x:c r="E335" s="65" t="str">
        <x:v>policy-improvements-evidence:structure:2</x:v>
      </x:c>
      <x:c r="F335" s="65" t="str">
        <x:v>p.3</x:v>
      </x:c>
      <x:c r="G335" s="92" t="n">
        <x:v>0.39606506</x:v>
      </x:c>
      <x:c r="H335" s="65" t="str">
        <x:v>Evidence-based policy improvements for Jakarta</x:v>
      </x:c>
      <x:c r="I335" s="65" t="str">
        <x:v>Dinas Lingkungan Hidup DKI Jakarta; World Health Organization</x:v>
      </x:c>
      <x:c r="J335"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335" s="65" t="str">
        <x:v>https://www.jakarta.go.id/siaran-pers/4802-SP-HMS-06-2024</x:v>
      </x:c>
      <x:c r="L335" s="65" t="n">
        <x:v>0</x:v>
      </x:c>
      <x:c r="M335" s="65" t="str">
        <x:v>Machine-suggested near-miss; human review required.</x:v>
      </x:c>
    </x:row>
    <x:row r="336" ht="42" customHeight="1">
      <x:c r="A336" s="65" t="str">
        <x:v>gold30-017</x:v>
      </x:c>
      <x:c r="B336" s="65" t="str">
        <x:v>hybrid</x:v>
      </x:c>
      <x:c r="C336" s="88" t="n">
        <x:v>1</x:v>
      </x:c>
      <x:c r="D336" s="65" t="str">
        <x:v>ma-jakarta-air-lawsuit-record</x:v>
      </x:c>
      <x:c r="E336" s="65" t="str">
        <x:v>ma-jakarta-air-lawsuit-record:structure:1</x:v>
      </x:c>
      <x:c r="F336" s="65" t="str">
        <x:v>p.2</x:v>
      </x:c>
      <x:c r="G336" s="92" t="n">
        <x:v>0.03311475</x:v>
      </x:c>
      <x:c r="H336" s="65" t="str">
        <x:v>Mahkamah Agung record — Jakarta air-pollution citizen lawsuit</x:v>
      </x:c>
      <x:c r="I336" s="65" t="str">
        <x:v>Mahkamah Agung Republik Indonesia</x:v>
      </x:c>
      <x:c r="J336" s="65" t="str">
        <x:v>A judgment or order can establish what a court directed or declared. It does not by itself establish that every direction was implemented, funded, monitored or completed. Those claims require subsequent official execution, government-response or monitoring records with dates.</x:v>
      </x:c>
      <x:c r="K336" s="65" t="str">
        <x:v>https://putusan3.mahkamahagung.go.id/pengadilan/profil/pengadilan/pn-jakarta-pusat.html</x:v>
      </x:c>
      <x:c r="L336" s="65" t="n">
        <x:v>3</x:v>
      </x:c>
      <x:c r="M336" s="65" t="str">
        <x:v>Expected source for this question.</x:v>
      </x:c>
    </x:row>
    <x:row r="337" ht="42" customHeight="1">
      <x:c r="A337" s="65" t="str">
        <x:v>gold30-017</x:v>
      </x:c>
      <x:c r="B337" s="65" t="str">
        <x:v>hybrid</x:v>
      </x:c>
      <x:c r="C337" s="88" t="n">
        <x:v>2</x:v>
      </x:c>
      <x:c r="D337" s="65" t="str">
        <x:v>jakarta-court-air-quality</x:v>
      </x:c>
      <x:c r="E337" s="65" t="str">
        <x:v>jakarta-court-air-quality:structure:1</x:v>
      </x:c>
      <x:c r="F337" s="65" t="str">
        <x:v>p.2</x:v>
      </x:c>
      <x:c r="G337" s="92" t="n">
        <x:v>0.03258065</x:v>
      </x:c>
      <x:c r="H337" s="65" t="str">
        <x:v>Jakarta air-pollution citizen lawsuit: what the court record establishes</x:v>
      </x:c>
      <x:c r="I337" s="65" t="str">
        <x:v>Mahkamah Agung Republik Indonesia</x:v>
      </x:c>
      <x:c r="J337"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37" s="65" t="str">
        <x:v>https://putusan3.mahkamahagung.go.id/pengadilan/profil/pengadilan/pn-jakarta-pusat.html</x:v>
      </x:c>
      <x:c r="L337" s="65" t="n">
        <x:v>3</x:v>
      </x:c>
      <x:c r="M337" s="65" t="str">
        <x:v>Expected source for this question.</x:v>
      </x:c>
    </x:row>
    <x:row r="338" ht="42" customHeight="1">
      <x:c r="A338" s="65" t="str">
        <x:v>gold30-017</x:v>
      </x:c>
      <x:c r="B338" s="65" t="str">
        <x:v>hybrid</x:v>
      </x:c>
      <x:c r="C338" s="88" t="n">
        <x:v>3</x:v>
      </x:c>
      <x:c r="D338" s="65" t="str">
        <x:v>jakarta-policy-implementation</x:v>
      </x:c>
      <x:c r="E338" s="65" t="str">
        <x:v>jakarta-policy-implementation:structure:4</x:v>
      </x:c>
      <x:c r="F338" s="65" t="str">
        <x:v>p.5</x:v>
      </x:c>
      <x:c r="G338" s="92" t="n">
        <x:v>0.03206349</x:v>
      </x:c>
      <x:c r="H338" s="65" t="str">
        <x:v>Why rules can coexist with poor air: implementation evidence</x:v>
      </x:c>
      <x:c r="I338" s="65" t="str">
        <x:v>Pemerintah Provinsi DKI Jakarta; Dinas Lingkungan Hidup DKI Jakarta; Mahkamah Agung</x:v>
      </x:c>
      <x:c r="J338"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338" s="65" t="str">
        <x:v>https://www.jakarta.go.id/siaran-pers/4802-SP-HMS-06-2024</x:v>
      </x:c>
      <x:c r="L338" s="65" t="n">
        <x:v>0</x:v>
      </x:c>
      <x:c r="M338" s="65" t="str">
        <x:v>Machine-suggested near-miss; human review required.</x:v>
      </x:c>
    </x:row>
    <x:row r="339" ht="42" customHeight="1">
      <x:c r="A339" s="65" t="str">
        <x:v>gold30-017</x:v>
      </x:c>
      <x:c r="B339" s="65" t="str">
        <x:v>hybrid</x:v>
      </x:c>
      <x:c r="C339" s="88" t="n">
        <x:v>4</x:v>
      </x:c>
      <x:c r="D339" s="65" t="str">
        <x:v>jakarta-policy-status</x:v>
      </x:c>
      <x:c r="E339" s="65" t="str">
        <x:v>jakarta-policy-status:structure:2</x:v>
      </x:c>
      <x:c r="F339" s="65" t="str">
        <x:v>p.3</x:v>
      </x:c>
      <x:c r="G339" s="92" t="n">
        <x:v>0.03132212</x:v>
      </x:c>
      <x:c r="H339" s="65" t="str">
        <x:v>Policy proposals and implementation gaps</x:v>
      </x:c>
      <x:c r="I339" s="65" t="str">
        <x:v>Pemerintah Provinsi DKI Jakarta / JDIH</x:v>
      </x:c>
      <x:c r="J339" s="65" t="str">
        <x:v>The Jakarta citizen lawsuit and later court decisions are evidence about public duties and legal findings, not proof that every recommended intervention has been implemented.</x:v>
      </x:c>
      <x:c r="K339" s="65" t="str">
        <x:v>https://www.jakarta.go.id/siaran-pers/3850-SP-HMS-01-2023</x:v>
      </x:c>
      <x:c r="L339" s="65" t="n">
        <x:v>0</x:v>
      </x:c>
      <x:c r="M339" s="65" t="str">
        <x:v>Machine-suggested near-miss; human review required.</x:v>
      </x:c>
    </x:row>
    <x:row r="340" ht="42" customHeight="1">
      <x:c r="A340" s="65" t="str">
        <x:v>gold30-017</x:v>
      </x:c>
      <x:c r="B340" s="65" t="str">
        <x:v>hybrid</x:v>
      </x:c>
      <x:c r="C340" s="88" t="n">
        <x:v>5</x:v>
      </x:c>
      <x:c r="D340" s="65" t="str">
        <x:v>pp-22-2021-air-quality</x:v>
      </x:c>
      <x:c r="E340" s="65" t="str">
        <x:v>pp-22-2021-air-quality:structure:5</x:v>
      </x:c>
      <x:c r="F340" s="65" t="str">
        <x:v>p.6</x:v>
      </x:c>
      <x:c r="G340" s="92" t="n">
        <x:v>0.030625</x:v>
      </x:c>
      <x:c r="H340" s="65" t="str">
        <x:v>PP No. 22 Tahun 2021 — environmental protection and ambient air quality</x:v>
      </x:c>
      <x:c r="I340" s="65" t="str">
        <x:v>Pemerintah Republik Indonesia / Database Peraturan BPK</x:v>
      </x:c>
      <x:c r="J340" s="65" t="str">
        <x:v>This is a rule-on-paper source. It does not establish that Jakarta inspected every regulated source, that a sanction was imposed in a particular case, or that implementation changed a measured concentration. Those claims require dated implementation records.</x:v>
      </x:c>
      <x:c r="K340" s="65" t="str">
        <x:v>https://peraturan.bpk.go.id/Details/161852/pp-no-22tahun-2021</x:v>
      </x:c>
      <x:c r="L340" s="65" t="n">
        <x:v>0</x:v>
      </x:c>
      <x:c r="M340" s="65" t="str">
        <x:v>Machine-suggested near-miss; human review required.</x:v>
      </x:c>
    </x:row>
    <x:row r="341" ht="42" customHeight="1">
      <x:c r="A341" s="65" t="str">
        <x:v>gold30-017</x:v>
      </x:c>
      <x:c r="B341" s="65" t="str">
        <x:v>hybrid_rerank</x:v>
      </x:c>
      <x:c r="C341" s="88" t="n">
        <x:v>1</x:v>
      </x:c>
      <x:c r="D341" s="65" t="str">
        <x:v>ma-jakarta-air-lawsuit-record</x:v>
      </x:c>
      <x:c r="E341" s="65" t="str">
        <x:v>ma-jakarta-air-lawsuit-record:structure:1</x:v>
      </x:c>
      <x:c r="F341" s="65" t="str">
        <x:v>p.2</x:v>
      </x:c>
      <x:c r="G341" s="92" t="n">
        <x:v>0.64629806</x:v>
      </x:c>
      <x:c r="H341" s="65" t="str">
        <x:v>Mahkamah Agung record — Jakarta air-pollution citizen lawsuit</x:v>
      </x:c>
      <x:c r="I341" s="65" t="str">
        <x:v>Mahkamah Agung Republik Indonesia</x:v>
      </x:c>
      <x:c r="J341" s="65" t="str">
        <x:v>A judgment or order can establish what a court directed or declared. It does not by itself establish that every direction was implemented, funded, monitored or completed. Those claims require subsequent official execution, government-response or monitoring records with dates.</x:v>
      </x:c>
      <x:c r="K341" s="65" t="str">
        <x:v>https://putusan3.mahkamahagung.go.id/pengadilan/profil/pengadilan/pn-jakarta-pusat.html</x:v>
      </x:c>
      <x:c r="L341" s="65" t="n">
        <x:v>3</x:v>
      </x:c>
      <x:c r="M341" s="65" t="str">
        <x:v>Expected source for this question.</x:v>
      </x:c>
    </x:row>
    <x:row r="342" ht="42" customHeight="1">
      <x:c r="A342" s="65" t="str">
        <x:v>gold30-017</x:v>
      </x:c>
      <x:c r="B342" s="65" t="str">
        <x:v>hybrid_rerank</x:v>
      </x:c>
      <x:c r="C342" s="88" t="n">
        <x:v>2</x:v>
      </x:c>
      <x:c r="D342" s="65" t="str">
        <x:v>jakarta-court-air-quality</x:v>
      </x:c>
      <x:c r="E342" s="65" t="str">
        <x:v>jakarta-court-air-quality:structure:1</x:v>
      </x:c>
      <x:c r="F342" s="65" t="str">
        <x:v>p.2</x:v>
      </x:c>
      <x:c r="G342" s="92" t="n">
        <x:v>0.45522874</x:v>
      </x:c>
      <x:c r="H342" s="65" t="str">
        <x:v>Jakarta air-pollution citizen lawsuit: what the court record establishes</x:v>
      </x:c>
      <x:c r="I342" s="65" t="str">
        <x:v>Mahkamah Agung Republik Indonesia</x:v>
      </x:c>
      <x:c r="J34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42" s="65" t="str">
        <x:v>https://putusan3.mahkamahagung.go.id/pengadilan/profil/pengadilan/pn-jakarta-pusat.html</x:v>
      </x:c>
      <x:c r="L342" s="65" t="n">
        <x:v>3</x:v>
      </x:c>
      <x:c r="M342" s="65" t="str">
        <x:v>Expected source for this question.</x:v>
      </x:c>
    </x:row>
    <x:row r="343" ht="42" customHeight="1">
      <x:c r="A343" s="65" t="str">
        <x:v>gold30-017</x:v>
      </x:c>
      <x:c r="B343" s="65" t="str">
        <x:v>hybrid_rerank</x:v>
      </x:c>
      <x:c r="C343" s="88" t="n">
        <x:v>3</x:v>
      </x:c>
      <x:c r="D343" s="65" t="str">
        <x:v>jakarta-policy-implementation</x:v>
      </x:c>
      <x:c r="E343" s="65" t="str">
        <x:v>jakarta-policy-implementation:structure:4</x:v>
      </x:c>
      <x:c r="F343" s="65" t="str">
        <x:v>p.5</x:v>
      </x:c>
      <x:c r="G343" s="92" t="n">
        <x:v>0.45507359</x:v>
      </x:c>
      <x:c r="H343" s="65" t="str">
        <x:v>Why rules can coexist with poor air: implementation evidence</x:v>
      </x:c>
      <x:c r="I343" s="65" t="str">
        <x:v>Pemerintah Provinsi DKI Jakarta; Dinas Lingkungan Hidup DKI Jakarta; Mahkamah Agung</x:v>
      </x:c>
      <x:c r="J343"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343" s="65" t="str">
        <x:v>https://www.jakarta.go.id/siaran-pers/4802-SP-HMS-06-2024</x:v>
      </x:c>
      <x:c r="L343" s="65" t="n">
        <x:v>0</x:v>
      </x:c>
      <x:c r="M343" s="65" t="str">
        <x:v>Machine-suggested near-miss; human review required.</x:v>
      </x:c>
    </x:row>
    <x:row r="344" ht="42" customHeight="1">
      <x:c r="A344" s="65" t="str">
        <x:v>gold30-017</x:v>
      </x:c>
      <x:c r="B344" s="65" t="str">
        <x:v>hybrid_rerank</x:v>
      </x:c>
      <x:c r="C344" s="88" t="n">
        <x:v>4</x:v>
      </x:c>
      <x:c r="D344" s="65" t="str">
        <x:v>pp-22-2021-air-quality</x:v>
      </x:c>
      <x:c r="E344" s="65" t="str">
        <x:v>pp-22-2021-air-quality:structure:5</x:v>
      </x:c>
      <x:c r="F344" s="65" t="str">
        <x:v>p.6</x:v>
      </x:c>
      <x:c r="G344" s="92" t="n">
        <x:v>0.39100568</x:v>
      </x:c>
      <x:c r="H344" s="65" t="str">
        <x:v>PP No. 22 Tahun 2021 — environmental protection and ambient air quality</x:v>
      </x:c>
      <x:c r="I344" s="65" t="str">
        <x:v>Pemerintah Republik Indonesia / Database Peraturan BPK</x:v>
      </x:c>
      <x:c r="J344" s="65" t="str">
        <x:v>This is a rule-on-paper source. It does not establish that Jakarta inspected every regulated source, that a sanction was imposed in a particular case, or that implementation changed a measured concentration. Those claims require dated implementation records.</x:v>
      </x:c>
      <x:c r="K344" s="65" t="str">
        <x:v>https://peraturan.bpk.go.id/Details/161852/pp-no-22tahun-2021</x:v>
      </x:c>
      <x:c r="L344" s="65" t="n">
        <x:v>0</x:v>
      </x:c>
      <x:c r="M344" s="65" t="str">
        <x:v>Machine-suggested near-miss; human review required.</x:v>
      </x:c>
    </x:row>
    <x:row r="345" ht="42" customHeight="1">
      <x:c r="A345" s="65" t="str">
        <x:v>gold30-017</x:v>
      </x:c>
      <x:c r="B345" s="65" t="str">
        <x:v>hybrid_rerank</x:v>
      </x:c>
      <x:c r="C345" s="88" t="n">
        <x:v>5</x:v>
      </x:c>
      <x:c r="D345" s="65" t="str">
        <x:v>jakarta-policy-status</x:v>
      </x:c>
      <x:c r="E345" s="65" t="str">
        <x:v>jakarta-policy-status:structure:2</x:v>
      </x:c>
      <x:c r="F345" s="65" t="str">
        <x:v>p.3</x:v>
      </x:c>
      <x:c r="G345" s="92" t="n">
        <x:v>0.32757845</x:v>
      </x:c>
      <x:c r="H345" s="65" t="str">
        <x:v>Policy proposals and implementation gaps</x:v>
      </x:c>
      <x:c r="I345" s="65" t="str">
        <x:v>Pemerintah Provinsi DKI Jakarta / JDIH</x:v>
      </x:c>
      <x:c r="J345" s="65" t="str">
        <x:v>The Jakarta citizen lawsuit and later court decisions are evidence about public duties and legal findings, not proof that every recommended intervention has been implemented.</x:v>
      </x:c>
      <x:c r="K345" s="65" t="str">
        <x:v>https://www.jakarta.go.id/siaran-pers/3850-SP-HMS-01-2023</x:v>
      </x:c>
      <x:c r="L345" s="65" t="n">
        <x:v>0</x:v>
      </x:c>
      <x:c r="M345" s="65" t="str">
        <x:v>Machine-suggested near-miss; human review required.</x:v>
      </x:c>
    </x:row>
    <x:row r="346" ht="42" customHeight="1">
      <x:c r="A346" s="65" t="str">
        <x:v>gold30-018</x:v>
      </x:c>
      <x:c r="B346" s="65" t="str">
        <x:v>bm25</x:v>
      </x:c>
      <x:c r="C346" s="88" t="n">
        <x:v>1</x:v>
      </x:c>
      <x:c r="D346" s="65" t="str">
        <x:v>jakarta-improvements</x:v>
      </x:c>
      <x:c r="E346" s="65" t="str">
        <x:v>jakarta-improvements:structure:0</x:v>
      </x:c>
      <x:c r="F346" s="65" t="str">
        <x:v>p.1</x:v>
      </x:c>
      <x:c r="G346" s="92" t="n">
        <x:v>0.3</x:v>
      </x:c>
      <x:c r="H346" s="65" t="str">
        <x:v>Ways to improve Jakarta air quality</x:v>
      </x:c>
      <x:c r="I346" s="65" t="str">
        <x:v>Pemerintah Provinsi DKI Jakarta / Dinas Lingkungan Hidup</x:v>
      </x:c>
      <x:c r="J34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46" s="65" t="str">
        <x:v>https://www.jakarta.go.id/page/upaya-bersama-jaga-kualitas-udara-jakarta</x:v>
      </x:c>
      <x:c r="L346" s="65" t="n">
        <x:v>0</x:v>
      </x:c>
      <x:c r="M346" s="65" t="str">
        <x:v>Machine-suggested near-miss; human review required.</x:v>
      </x:c>
    </x:row>
    <x:row r="347" ht="42" customHeight="1">
      <x:c r="A347" s="65" t="str">
        <x:v>gold30-018</x:v>
      </x:c>
      <x:c r="B347" s="65" t="str">
        <x:v>bm25</x:v>
      </x:c>
      <x:c r="C347" s="88" t="n">
        <x:v>2</x:v>
      </x:c>
      <x:c r="D347" s="65" t="str">
        <x:v>jakarta-seasonal-exposure</x:v>
      </x:c>
      <x:c r="E347" s="65" t="str">
        <x:v>jakarta-seasonal-exposure:structure:0</x:v>
      </x:c>
      <x:c r="F347" s="65" t="str">
        <x:v>p.1</x:v>
      </x:c>
      <x:c r="G347" s="92" t="n">
        <x:v>0.3</x:v>
      </x:c>
      <x:c r="H347" s="65" t="str">
        <x:v>Jakarta timing and local exposure context</x:v>
      </x:c>
      <x:c r="I347" s="65" t="str">
        <x:v>Dinas Lingkungan Hidup DKI Jakarta</x:v>
      </x:c>
      <x:c r="J347" s="65" t="str">
        <x:v>Published: 2024-04-06 Status as of: 2026-09-07 (official seasonal notice; not a current forecast) Document type: official_public_guidance Tags: topic=exposure-protection; audience=Jakarta-resident; action=protect-now; pollutant=PM2.5</x:v>
      </x:c>
      <x:c r="K347" s="65" t="str">
        <x:v>https://lingkunganhidup.jakarta.go.id/detail-artikel/masuki-musim-kemarau-pemprov-dki-minta-masyarakat-waspadai-penurunan-kualitas-udara</x:v>
      </x:c>
      <x:c r="L347" s="65" t="n">
        <x:v>0</x:v>
      </x:c>
      <x:c r="M347" s="65" t="str">
        <x:v>Machine-suggested near-miss; human review required.</x:v>
      </x:c>
    </x:row>
    <x:row r="348" ht="42" customHeight="1">
      <x:c r="A348" s="65" t="str">
        <x:v>gold30-018</x:v>
      </x:c>
      <x:c r="B348" s="65" t="str">
        <x:v>bm25</x:v>
      </x:c>
      <x:c r="C348" s="88" t="n">
        <x:v>3</x:v>
      </x:c>
      <x:c r="D348" s="65" t="str">
        <x:v>bad-air-day-protection</x:v>
      </x:c>
      <x:c r="E348" s="65" t="str">
        <x:v>bad-air-day-protection:structure:0</x:v>
      </x:c>
      <x:c r="F348" s="65" t="str">
        <x:v>p.1</x:v>
      </x:c>
      <x:c r="G348" s="92" t="n">
        <x:v>0.1</x:v>
      </x:c>
      <x:c r="H348" s="65" t="str">
        <x:v>Bad-air-day protection playbook</x:v>
      </x:c>
      <x:c r="I348" s="65" t="str">
        <x:v>World Health Organization, Regional Office for Europe</x:v>
      </x:c>
      <x:c r="J348" s="65" t="str">
        <x:v>Published: 2024-10-04 Status as of: 2026-09-07 (health guidance; not Indonesian law) Document type: health_guidance Tags: topic=exposure-protection; audience=Jakarta-resident; action=protect-now; pollutant=ambient-particles</x:v>
      </x:c>
      <x:c r="K348" s="65" t="str">
        <x:v>https://www.who.int/news-room/questions-and-answers/item/air-pollution-personal-interventions-and-risk-communication</x:v>
      </x:c>
      <x:c r="L348" s="65" t="n">
        <x:v>0</x:v>
      </x:c>
      <x:c r="M348" s="65" t="str">
        <x:v>Machine-suggested near-miss; human review required.</x:v>
      </x:c>
    </x:row>
    <x:row r="349" ht="42" customHeight="1">
      <x:c r="A349" s="65" t="str">
        <x:v>gold30-018</x:v>
      </x:c>
      <x:c r="B349" s="65" t="str">
        <x:v>bm25</x:v>
      </x:c>
      <x:c r="C349" s="88" t="n">
        <x:v>4</x:v>
      </x:c>
      <x:c r="D349" s="65" t="str">
        <x:v>clean-air-room</x:v>
      </x:c>
      <x:c r="E349" s="65" t="str">
        <x:v>clean-air-room:structure:1</x:v>
      </x:c>
      <x:c r="F349" s="65" t="str">
        <x:v>p.2</x:v>
      </x:c>
      <x:c r="G349" s="92" t="n">
        <x:v>0.1</x:v>
      </x:c>
      <x:c r="H349" s="65" t="str">
        <x:v>Indoor filtration and a clean-air room</x:v>
      </x:c>
      <x:c r="I349" s="65" t="str">
        <x:v>United States Environmental Protection Agency</x:v>
      </x:c>
      <x:c r="J349"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49" s="65" t="str">
        <x:v>https://www.epa.gov/indoor-air-quality-iaq/guide-air-cleaners-home</x:v>
      </x:c>
      <x:c r="L349" s="65" t="n">
        <x:v>0</x:v>
      </x:c>
      <x:c r="M349" s="65" t="str">
        <x:v>Machine-suggested near-miss; human review required.</x:v>
      </x:c>
    </x:row>
    <x:row r="350" ht="42" customHeight="1">
      <x:c r="A350" s="65" t="str">
        <x:v>gold30-018</x:v>
      </x:c>
      <x:c r="B350" s="65" t="str">
        <x:v>bm25</x:v>
      </x:c>
      <x:c r="C350" s="88" t="n">
        <x:v>5</x:v>
      </x:c>
      <x:c r="D350" s="65" t="str">
        <x:v>epa-air-cleaners-home-2026</x:v>
      </x:c>
      <x:c r="E350" s="65" t="str">
        <x:v>epa-air-cleaners-home-2026:structure:0</x:v>
      </x:c>
      <x:c r="F350" s="65" t="str">
        <x:v>p.1</x:v>
      </x:c>
      <x:c r="G350" s="92" t="n">
        <x:v>0.1</x:v>
      </x:c>
      <x:c r="H350" s="65" t="str">
        <x:v>US EPA Guide to Air Cleaners in the Home (2nd edition)</x:v>
      </x:c>
      <x:c r="I350" s="65" t="str">
        <x:v>United States Environmental Protection Agency</x:v>
      </x:c>
      <x:c r="J350" s="65" t="str">
        <x:v>The EPA guide discusses portable air cleaners, heating/ventilation and air-conditioning filters, indoor pollutant sources and practical limits. It is technical household guidance and should not be presented as a Jakarta regulation.</x:v>
      </x:c>
      <x:c r="K350" s="65" t="str">
        <x:v>https://www.epa.gov/indoor-air-quality-iaq/guide-air-cleaners-home</x:v>
      </x:c>
      <x:c r="L350" s="65" t="n">
        <x:v>0</x:v>
      </x:c>
      <x:c r="M350" s="65" t="str">
        <x:v>Machine-suggested near-miss; human review required.</x:v>
      </x:c>
    </x:row>
    <x:row r="351" ht="42" customHeight="1">
      <x:c r="A351" s="65" t="str">
        <x:v>gold30-018</x:v>
      </x:c>
      <x:c r="B351" s="65" t="str">
        <x:v>dense</x:v>
      </x:c>
      <x:c r="C351" s="88" t="n">
        <x:v>1</x:v>
      </x:c>
      <x:c r="D351" s="65" t="str">
        <x:v>jakarta-sppu-official-status-2024</x:v>
      </x:c>
      <x:c r="E351" s="65" t="str">
        <x:v>jakarta-sppu-official-status-2024:structure:1</x:v>
      </x:c>
      <x:c r="F351" s="65" t="str">
        <x:v>p.2</x:v>
      </x:c>
      <x:c r="G351" s="92" t="n">
        <x:v>0.21824366</x:v>
      </x:c>
      <x:c r="H351" s="65" t="str">
        <x:v>Jakarta SPPU and air-quality implementation status (official statement, 2024)</x:v>
      </x:c>
      <x:c r="I351" s="65" t="str">
        <x:v>Pemerintah Provinsi DKI Jakarta / Dinas Lingkungan Hidup DKI Jakarta</x:v>
      </x:c>
      <x:c r="J351"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351" s="65" t="str">
        <x:v>https://www.jakarta.go.id/siaran-pers/4802-SP-HMS-06-2024</x:v>
      </x:c>
      <x:c r="L351" s="65" t="n">
        <x:v>0</x:v>
      </x:c>
      <x:c r="M351" s="65" t="str">
        <x:v>Machine-suggested near-miss; human review required.</x:v>
      </x:c>
    </x:row>
    <x:row r="352" ht="42" customHeight="1">
      <x:c r="A352" s="65" t="str">
        <x:v>gold30-018</x:v>
      </x:c>
      <x:c r="B352" s="65" t="str">
        <x:v>dense</x:v>
      </x:c>
      <x:c r="C352" s="88" t="n">
        <x:v>2</x:v>
      </x:c>
      <x:c r="D352" s="65" t="str">
        <x:v>jakarta-monitoring</x:v>
      </x:c>
      <x:c r="E352" s="65" t="str">
        <x:v>jakarta-monitoring:structure:0</x:v>
      </x:c>
      <x:c r="F352" s="65" t="str">
        <x:v>p.1</x:v>
      </x:c>
      <x:c r="G352" s="92" t="n">
        <x:v>0.2107567</x:v>
      </x:c>
      <x:c r="H352" s="65" t="str">
        <x:v>Jakarta monitoring stations</x:v>
      </x:c>
      <x:c r="I352" s="65" t="str">
        <x:v>Dinas Lingkungan Hidup Provinsi DKI Jakarta</x:v>
      </x:c>
      <x:c r="J352" s="65" t="str">
        <x:v>Jakarta's official monitoring portal publishes station locations, pollutant parameters, current readings, and timestamps. A station observation describes that station and observation time; it should not automatically be generalized to all of Jakarta.</x:v>
      </x:c>
      <x:c r="K352" s="65" t="str">
        <x:v>https://udara.jakarta.go.id/lokasi-spku</x:v>
      </x:c>
      <x:c r="L352" s="65" t="n">
        <x:v>0</x:v>
      </x:c>
      <x:c r="M352" s="65" t="str">
        <x:v>Machine-suggested near-miss; human review required.</x:v>
      </x:c>
    </x:row>
    <x:row r="353" ht="42" customHeight="1">
      <x:c r="A353" s="65" t="str">
        <x:v>gold30-018</x:v>
      </x:c>
      <x:c r="B353" s="65" t="str">
        <x:v>dense</x:v>
      </x:c>
      <x:c r="C353" s="88" t="n">
        <x:v>3</x:v>
      </x:c>
      <x:c r="D353" s="65" t="str">
        <x:v>jakarta-improvements</x:v>
      </x:c>
      <x:c r="E353" s="65" t="str">
        <x:v>jakarta-improvements:structure:0</x:v>
      </x:c>
      <x:c r="F353" s="65" t="str">
        <x:v>p.1</x:v>
      </x:c>
      <x:c r="G353" s="92" t="n">
        <x:v>0.20537721</x:v>
      </x:c>
      <x:c r="H353" s="65" t="str">
        <x:v>Ways to improve Jakarta air quality</x:v>
      </x:c>
      <x:c r="I353" s="65" t="str">
        <x:v>Pemerintah Provinsi DKI Jakarta / Dinas Lingkungan Hidup</x:v>
      </x:c>
      <x:c r="J353"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53" s="65" t="str">
        <x:v>https://www.jakarta.go.id/page/upaya-bersama-jaga-kualitas-udara-jakarta</x:v>
      </x:c>
      <x:c r="L353" s="65" t="n">
        <x:v>0</x:v>
      </x:c>
      <x:c r="M353" s="65" t="str">
        <x:v>Machine-suggested near-miss; human review required.</x:v>
      </x:c>
    </x:row>
    <x:row r="354" ht="42" customHeight="1">
      <x:c r="A354" s="65" t="str">
        <x:v>gold30-018</x:v>
      </x:c>
      <x:c r="B354" s="65" t="str">
        <x:v>dense</x:v>
      </x:c>
      <x:c r="C354" s="88" t="n">
        <x:v>4</x:v>
      </x:c>
      <x:c r="D354" s="65" t="str">
        <x:v>jakarta-seasonal-exposure</x:v>
      </x:c>
      <x:c r="E354" s="65" t="str">
        <x:v>jakarta-seasonal-exposure:structure:0</x:v>
      </x:c>
      <x:c r="F354" s="65" t="str">
        <x:v>p.1</x:v>
      </x:c>
      <x:c r="G354" s="92" t="n">
        <x:v>0.19668698</x:v>
      </x:c>
      <x:c r="H354" s="65" t="str">
        <x:v>Jakarta timing and local exposure context</x:v>
      </x:c>
      <x:c r="I354" s="65" t="str">
        <x:v>Dinas Lingkungan Hidup DKI Jakarta</x:v>
      </x:c>
      <x:c r="J354" s="65" t="str">
        <x:v>Published: 2024-04-06 Status as of: 2026-09-07 (official seasonal notice; not a current forecast) Document type: official_public_guidance Tags: topic=exposure-protection; audience=Jakarta-resident; action=protect-now; pollutant=PM2.5</x:v>
      </x:c>
      <x:c r="K354" s="65" t="str">
        <x:v>https://lingkunganhidup.jakarta.go.id/detail-artikel/masuki-musim-kemarau-pemprov-dki-minta-masyarakat-waspadai-penurunan-kualitas-udara</x:v>
      </x:c>
      <x:c r="L354" s="65" t="n">
        <x:v>0</x:v>
      </x:c>
      <x:c r="M354" s="65" t="str">
        <x:v>Machine-suggested near-miss; human review required.</x:v>
      </x:c>
    </x:row>
    <x:row r="355" ht="42" customHeight="1">
      <x:c r="A355" s="65" t="str">
        <x:v>gold30-018</x:v>
      </x:c>
      <x:c r="B355" s="65" t="str">
        <x:v>dense</x:v>
      </x:c>
      <x:c r="C355" s="88" t="n">
        <x:v>5</x:v>
      </x:c>
      <x:c r="D355" s="65" t="str">
        <x:v>pp-22-2021-air-quality</x:v>
      </x:c>
      <x:c r="E355" s="65" t="str">
        <x:v>pp-22-2021-air-quality:structure:5</x:v>
      </x:c>
      <x:c r="F355" s="65" t="str">
        <x:v>p.6</x:v>
      </x:c>
      <x:c r="G355" s="92" t="n">
        <x:v>0.18836761</x:v>
      </x:c>
      <x:c r="H355" s="65" t="str">
        <x:v>PP No. 22 Tahun 2021 — environmental protection and ambient air quality</x:v>
      </x:c>
      <x:c r="I355" s="65" t="str">
        <x:v>Pemerintah Republik Indonesia / Database Peraturan BPK</x:v>
      </x:c>
      <x:c r="J355" s="65" t="str">
        <x:v>This is a rule-on-paper source. It does not establish that Jakarta inspected every regulated source, that a sanction was imposed in a particular case, or that implementation changed a measured concentration. Those claims require dated implementation records.</x:v>
      </x:c>
      <x:c r="K355" s="65" t="str">
        <x:v>https://peraturan.bpk.go.id/Details/161852/pp-no-22tahun-2021</x:v>
      </x:c>
      <x:c r="L355" s="65" t="n">
        <x:v>0</x:v>
      </x:c>
      <x:c r="M355" s="65" t="str">
        <x:v>Machine-suggested near-miss; human review required.</x:v>
      </x:c>
    </x:row>
    <x:row r="356" ht="42" customHeight="1">
      <x:c r="A356" s="65" t="str">
        <x:v>gold30-018</x:v>
      </x:c>
      <x:c r="B356" s="65" t="str">
        <x:v>hybrid</x:v>
      </x:c>
      <x:c r="C356" s="88" t="n">
        <x:v>1</x:v>
      </x:c>
      <x:c r="D356" s="65" t="str">
        <x:v>jakarta-improvements</x:v>
      </x:c>
      <x:c r="E356" s="65" t="str">
        <x:v>jakarta-improvements:structure:0</x:v>
      </x:c>
      <x:c r="F356" s="65" t="str">
        <x:v>p.1</x:v>
      </x:c>
      <x:c r="G356" s="92" t="n">
        <x:v>0.03258392</x:v>
      </x:c>
      <x:c r="H356" s="65" t="str">
        <x:v>Ways to improve Jakarta air quality</x:v>
      </x:c>
      <x:c r="I356" s="65" t="str">
        <x:v>Pemerintah Provinsi DKI Jakarta / Dinas Lingkungan Hidup</x:v>
      </x:c>
      <x:c r="J35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56" s="65" t="str">
        <x:v>https://www.jakarta.go.id/page/upaya-bersama-jaga-kualitas-udara-jakarta</x:v>
      </x:c>
      <x:c r="L356" s="65" t="n">
        <x:v>0</x:v>
      </x:c>
      <x:c r="M356" s="65" t="str">
        <x:v>Machine-suggested near-miss; human review required.</x:v>
      </x:c>
    </x:row>
    <x:row r="357" ht="42" customHeight="1">
      <x:c r="A357" s="65" t="str">
        <x:v>gold30-018</x:v>
      </x:c>
      <x:c r="B357" s="65" t="str">
        <x:v>hybrid</x:v>
      </x:c>
      <x:c r="C357" s="88" t="n">
        <x:v>2</x:v>
      </x:c>
      <x:c r="D357" s="65" t="str">
        <x:v>jakarta-seasonal-exposure</x:v>
      </x:c>
      <x:c r="E357" s="65" t="str">
        <x:v>jakarta-seasonal-exposure:structure:0</x:v>
      </x:c>
      <x:c r="F357" s="65" t="str">
        <x:v>p.1</x:v>
      </x:c>
      <x:c r="G357" s="92" t="n">
        <x:v>0.03206653</x:v>
      </x:c>
      <x:c r="H357" s="65" t="str">
        <x:v>Jakarta timing and local exposure context</x:v>
      </x:c>
      <x:c r="I357" s="65" t="str">
        <x:v>Dinas Lingkungan Hidup DKI Jakarta</x:v>
      </x:c>
      <x:c r="J357" s="65" t="str">
        <x:v>Published: 2024-04-06 Status as of: 2026-09-07 (official seasonal notice; not a current forecast) Document type: official_public_guidance Tags: topic=exposure-protection; audience=Jakarta-resident; action=protect-now; pollutant=PM2.5</x:v>
      </x:c>
      <x:c r="K357" s="65" t="str">
        <x:v>https://lingkunganhidup.jakarta.go.id/detail-artikel/masuki-musim-kemarau-pemprov-dki-minta-masyarakat-waspadai-penurunan-kualitas-udara</x:v>
      </x:c>
      <x:c r="L357" s="65" t="n">
        <x:v>0</x:v>
      </x:c>
      <x:c r="M357" s="65" t="str">
        <x:v>Machine-suggested near-miss; human review required.</x:v>
      </x:c>
    </x:row>
    <x:row r="358" ht="42" customHeight="1">
      <x:c r="A358" s="65" t="str">
        <x:v>gold30-018</x:v>
      </x:c>
      <x:c r="B358" s="65" t="str">
        <x:v>hybrid</x:v>
      </x:c>
      <x:c r="C358" s="88" t="n">
        <x:v>3</x:v>
      </x:c>
      <x:c r="D358" s="65" t="str">
        <x:v>jakarta-sppu-official-status-2024</x:v>
      </x:c>
      <x:c r="E358" s="65" t="str">
        <x:v>jakarta-sppu-official-status-2024:structure:1</x:v>
      </x:c>
      <x:c r="F358" s="65" t="str">
        <x:v>p.2</x:v>
      </x:c>
      <x:c r="G358" s="92" t="n">
        <x:v>0.01672131</x:v>
      </x:c>
      <x:c r="H358" s="65" t="str">
        <x:v>Jakarta SPPU and air-quality implementation status (official statement, 2024)</x:v>
      </x:c>
      <x:c r="I358" s="65" t="str">
        <x:v>Pemerintah Provinsi DKI Jakarta / Dinas Lingkungan Hidup DKI Jakarta</x:v>
      </x:c>
      <x:c r="J358"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358" s="65" t="str">
        <x:v>https://www.jakarta.go.id/siaran-pers/4802-SP-HMS-06-2024</x:v>
      </x:c>
      <x:c r="L358" s="65" t="n">
        <x:v>0</x:v>
      </x:c>
      <x:c r="M358" s="65" t="str">
        <x:v>Machine-suggested near-miss; human review required.</x:v>
      </x:c>
    </x:row>
    <x:row r="359" ht="42" customHeight="1">
      <x:c r="A359" s="65" t="str">
        <x:v>gold30-018</x:v>
      </x:c>
      <x:c r="B359" s="65" t="str">
        <x:v>hybrid</x:v>
      </x:c>
      <x:c r="C359" s="88" t="n">
        <x:v>4</x:v>
      </x:c>
      <x:c r="D359" s="65" t="str">
        <x:v>jakarta-monitoring</x:v>
      </x:c>
      <x:c r="E359" s="65" t="str">
        <x:v>jakarta-monitoring:structure:0</x:v>
      </x:c>
      <x:c r="F359" s="65" t="str">
        <x:v>p.1</x:v>
      </x:c>
      <x:c r="G359" s="92" t="n">
        <x:v>0.01645161</x:v>
      </x:c>
      <x:c r="H359" s="65" t="str">
        <x:v>Jakarta monitoring stations</x:v>
      </x:c>
      <x:c r="I359" s="65" t="str">
        <x:v>Dinas Lingkungan Hidup Provinsi DKI Jakarta</x:v>
      </x:c>
      <x:c r="J359" s="65" t="str">
        <x:v>Jakarta's official monitoring portal publishes station locations, pollutant parameters, current readings, and timestamps. A station observation describes that station and observation time; it should not automatically be generalized to all of Jakarta.</x:v>
      </x:c>
      <x:c r="K359" s="65" t="str">
        <x:v>https://udara.jakarta.go.id/lokasi-spku</x:v>
      </x:c>
      <x:c r="L359" s="65" t="n">
        <x:v>0</x:v>
      </x:c>
      <x:c r="M359" s="65" t="str">
        <x:v>Machine-suggested near-miss; human review required.</x:v>
      </x:c>
    </x:row>
    <x:row r="360" ht="42" customHeight="1">
      <x:c r="A360" s="65" t="str">
        <x:v>gold30-018</x:v>
      </x:c>
      <x:c r="B360" s="65" t="str">
        <x:v>hybrid</x:v>
      </x:c>
      <x:c r="C360" s="88" t="n">
        <x:v>5</x:v>
      </x:c>
      <x:c r="D360" s="65" t="str">
        <x:v>bad-air-day-protection</x:v>
      </x:c>
      <x:c r="E360" s="65" t="str">
        <x:v>bad-air-day-protection:structure:0</x:v>
      </x:c>
      <x:c r="F360" s="65" t="str">
        <x:v>p.1</x:v>
      </x:c>
      <x:c r="G360" s="92" t="n">
        <x:v>0.01587302</x:v>
      </x:c>
      <x:c r="H360" s="65" t="str">
        <x:v>Bad-air-day protection playbook</x:v>
      </x:c>
      <x:c r="I360" s="65" t="str">
        <x:v>World Health Organization, Regional Office for Europe</x:v>
      </x:c>
      <x:c r="J360" s="65" t="str">
        <x:v>Published: 2024-10-04 Status as of: 2026-09-07 (health guidance; not Indonesian law) Document type: health_guidance Tags: topic=exposure-protection; audience=Jakarta-resident; action=protect-now; pollutant=ambient-particles</x:v>
      </x:c>
      <x:c r="K360" s="65" t="str">
        <x:v>https://www.who.int/news-room/questions-and-answers/item/air-pollution-personal-interventions-and-risk-communication</x:v>
      </x:c>
      <x:c r="L360" s="65" t="n">
        <x:v>0</x:v>
      </x:c>
      <x:c r="M360" s="65" t="str">
        <x:v>Machine-suggested near-miss; human review required.</x:v>
      </x:c>
    </x:row>
    <x:row r="361" ht="42" customHeight="1">
      <x:c r="A361" s="65" t="str">
        <x:v>gold30-018</x:v>
      </x:c>
      <x:c r="B361" s="65" t="str">
        <x:v>hybrid_rerank</x:v>
      </x:c>
      <x:c r="C361" s="88" t="n">
        <x:v>1</x:v>
      </x:c>
      <x:c r="D361" s="65" t="str">
        <x:v>jakarta-improvements</x:v>
      </x:c>
      <x:c r="E361" s="65" t="str">
        <x:v>jakarta-improvements:structure:0</x:v>
      </x:c>
      <x:c r="F361" s="65" t="str">
        <x:v>p.1</x:v>
      </x:c>
      <x:c r="G361" s="92" t="n">
        <x:v>0.21977518</x:v>
      </x:c>
      <x:c r="H361" s="65" t="str">
        <x:v>Ways to improve Jakarta air quality</x:v>
      </x:c>
      <x:c r="I361" s="65" t="str">
        <x:v>Pemerintah Provinsi DKI Jakarta / Dinas Lingkungan Hidup</x:v>
      </x:c>
      <x:c r="J361"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61" s="65" t="str">
        <x:v>https://www.jakarta.go.id/page/upaya-bersama-jaga-kualitas-udara-jakarta</x:v>
      </x:c>
      <x:c r="L361" s="65" t="n">
        <x:v>0</x:v>
      </x:c>
      <x:c r="M361" s="65" t="str">
        <x:v>Machine-suggested near-miss; human review required.</x:v>
      </x:c>
    </x:row>
    <x:row r="362" ht="42" customHeight="1">
      <x:c r="A362" s="65" t="str">
        <x:v>gold30-018</x:v>
      </x:c>
      <x:c r="B362" s="65" t="str">
        <x:v>hybrid_rerank</x:v>
      </x:c>
      <x:c r="C362" s="88" t="n">
        <x:v>2</x:v>
      </x:c>
      <x:c r="D362" s="65" t="str">
        <x:v>jakarta-seasonal-exposure</x:v>
      </x:c>
      <x:c r="E362" s="65" t="str">
        <x:v>jakarta-seasonal-exposure:structure:0</x:v>
      </x:c>
      <x:c r="F362" s="65" t="str">
        <x:v>p.1</x:v>
      </x:c>
      <x:c r="G362" s="92" t="n">
        <x:v>0.21961996</x:v>
      </x:c>
      <x:c r="H362" s="65" t="str">
        <x:v>Jakarta timing and local exposure context</x:v>
      </x:c>
      <x:c r="I362" s="65" t="str">
        <x:v>Dinas Lingkungan Hidup DKI Jakarta</x:v>
      </x:c>
      <x:c r="J362" s="65" t="str">
        <x:v>Published: 2024-04-06 Status as of: 2026-09-07 (official seasonal notice; not a current forecast) Document type: official_public_guidance Tags: topic=exposure-protection; audience=Jakarta-resident; action=protect-now; pollutant=PM2.5</x:v>
      </x:c>
      <x:c r="K362" s="65" t="str">
        <x:v>https://lingkunganhidup.jakarta.go.id/detail-artikel/masuki-musim-kemarau-pemprov-dki-minta-masyarakat-waspadai-penurunan-kualitas-udara</x:v>
      </x:c>
      <x:c r="L362" s="65" t="n">
        <x:v>0</x:v>
      </x:c>
      <x:c r="M362" s="65" t="str">
        <x:v>Machine-suggested near-miss; human review required.</x:v>
      </x:c>
    </x:row>
    <x:row r="363" ht="42" customHeight="1">
      <x:c r="A363" s="65" t="str">
        <x:v>gold30-018</x:v>
      </x:c>
      <x:c r="B363" s="65" t="str">
        <x:v>hybrid_rerank</x:v>
      </x:c>
      <x:c r="C363" s="88" t="n">
        <x:v>3</x:v>
      </x:c>
      <x:c r="D363" s="65" t="str">
        <x:v>jakarta-sppu-official-status-2024</x:v>
      </x:c>
      <x:c r="E363" s="65" t="str">
        <x:v>jakarta-sppu-official-status-2024:structure:1</x:v>
      </x:c>
      <x:c r="F363" s="65" t="str">
        <x:v>p.2</x:v>
      </x:c>
      <x:c r="G363" s="92" t="n">
        <x:v>0.07501639</x:v>
      </x:c>
      <x:c r="H363" s="65" t="str">
        <x:v>Jakarta SPPU and air-quality implementation status (official statement, 2024)</x:v>
      </x:c>
      <x:c r="I363" s="65" t="str">
        <x:v>Pemerintah Provinsi DKI Jakarta / Dinas Lingkungan Hidup DKI Jakarta</x:v>
      </x:c>
      <x:c r="J363"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363" s="65" t="str">
        <x:v>https://www.jakarta.go.id/siaran-pers/4802-SP-HMS-06-2024</x:v>
      </x:c>
      <x:c r="L363" s="65" t="n">
        <x:v>0</x:v>
      </x:c>
      <x:c r="M363" s="65" t="str">
        <x:v>Machine-suggested near-miss; human review required.</x:v>
      </x:c>
    </x:row>
    <x:row r="364" ht="42" customHeight="1">
      <x:c r="A364" s="65" t="str">
        <x:v>gold30-018</x:v>
      </x:c>
      <x:c r="B364" s="65" t="str">
        <x:v>hybrid_rerank</x:v>
      </x:c>
      <x:c r="C364" s="88" t="n">
        <x:v>4</x:v>
      </x:c>
      <x:c r="D364" s="65" t="str">
        <x:v>jakarta-monitoring</x:v>
      </x:c>
      <x:c r="E364" s="65" t="str">
        <x:v>jakarta-monitoring:structure:0</x:v>
      </x:c>
      <x:c r="F364" s="65" t="str">
        <x:v>p.1</x:v>
      </x:c>
      <x:c r="G364" s="92" t="n">
        <x:v>0.07493548</x:v>
      </x:c>
      <x:c r="H364" s="65" t="str">
        <x:v>Jakarta monitoring stations</x:v>
      </x:c>
      <x:c r="I364" s="65" t="str">
        <x:v>Dinas Lingkungan Hidup Provinsi DKI Jakarta</x:v>
      </x:c>
      <x:c r="J364" s="65" t="str">
        <x:v>Jakarta's official monitoring portal publishes station locations, pollutant parameters, current readings, and timestamps. A station observation describes that station and observation time; it should not automatically be generalized to all of Jakarta.</x:v>
      </x:c>
      <x:c r="K364" s="65" t="str">
        <x:v>https://udara.jakarta.go.id/lokasi-spku</x:v>
      </x:c>
      <x:c r="L364" s="65" t="n">
        <x:v>0</x:v>
      </x:c>
      <x:c r="M364" s="65" t="str">
        <x:v>Machine-suggested near-miss; human review required.</x:v>
      </x:c>
    </x:row>
    <x:row r="365" ht="42" customHeight="1">
      <x:c r="A365" s="65" t="str">
        <x:v>gold30-018</x:v>
      </x:c>
      <x:c r="B365" s="65" t="str">
        <x:v>hybrid_rerank</x:v>
      </x:c>
      <x:c r="C365" s="88" t="n">
        <x:v>5</x:v>
      </x:c>
      <x:c r="D365" s="65" t="str">
        <x:v>bad-air-day-protection</x:v>
      </x:c>
      <x:c r="E365" s="65" t="str">
        <x:v>bad-air-day-protection:structure:0</x:v>
      </x:c>
      <x:c r="F365" s="65" t="str">
        <x:v>p.1</x:v>
      </x:c>
      <x:c r="G365" s="92" t="n">
        <x:v>0.0747619</x:v>
      </x:c>
      <x:c r="H365" s="65" t="str">
        <x:v>Bad-air-day protection playbook</x:v>
      </x:c>
      <x:c r="I365" s="65" t="str">
        <x:v>World Health Organization, Regional Office for Europe</x:v>
      </x:c>
      <x:c r="J365" s="65" t="str">
        <x:v>Published: 2024-10-04 Status as of: 2026-09-07 (health guidance; not Indonesian law) Document type: health_guidance Tags: topic=exposure-protection; audience=Jakarta-resident; action=protect-now; pollutant=ambient-particles</x:v>
      </x:c>
      <x:c r="K365" s="65" t="str">
        <x:v>https://www.who.int/news-room/questions-and-answers/item/air-pollution-personal-interventions-and-risk-communication</x:v>
      </x:c>
      <x:c r="L365" s="65" t="n">
        <x:v>0</x:v>
      </x:c>
      <x:c r="M365" s="65" t="str">
        <x:v>Machine-suggested near-miss; human review required.</x:v>
      </x:c>
    </x:row>
    <x:row r="366" ht="42" customHeight="1">
      <x:c r="A366" s="65" t="str">
        <x:v>gold30-019</x:v>
      </x:c>
      <x:c r="B366" s="65" t="str">
        <x:v>bm25</x:v>
      </x:c>
      <x:c r="C366" s="88" t="n">
        <x:v>1</x:v>
      </x:c>
      <x:c r="D366" s="65" t="str">
        <x:v>bad-air-day-protection</x:v>
      </x:c>
      <x:c r="E366" s="65" t="str">
        <x:v>bad-air-day-protection:structure:3</x:v>
      </x:c>
      <x:c r="F366" s="65" t="str">
        <x:v>p.4</x:v>
      </x:c>
      <x:c r="G366" s="92" t="n">
        <x:v>0.77777778</x:v>
      </x:c>
      <x:c r="H366" s="65" t="str">
        <x:v>Bad-air-day protection playbook</x:v>
      </x:c>
      <x:c r="I366" s="65" t="str">
        <x:v>World Health Organization, Regional Office for Europe</x:v>
      </x:c>
      <x:c r="J366" s="65" t="str">
        <x:v>Personal protection reduces a person's dose. It does not reduce Jakarta's emissions and cannot replace enforcement or clean-air policy. [bad-air-day-protection]</x:v>
      </x:c>
      <x:c r="K366" s="65" t="str">
        <x:v>https://www.who.int/news-room/questions-and-answers/item/air-pollution-personal-interventions-and-risk-communication</x:v>
      </x:c>
      <x:c r="L366" s="65" t="n">
        <x:v>3</x:v>
      </x:c>
      <x:c r="M366" s="65" t="str">
        <x:v>Expected source for this question.</x:v>
      </x:c>
    </x:row>
    <x:row r="367" ht="42" customHeight="1">
      <x:c r="A367" s="65" t="str">
        <x:v>gold30-019</x:v>
      </x:c>
      <x:c r="B367" s="65" t="str">
        <x:v>bm25</x:v>
      </x:c>
      <x:c r="C367" s="88" t="n">
        <x:v>2</x:v>
      </x:c>
      <x:c r="D367" s="65" t="str">
        <x:v>who-personal-interventions-2024</x:v>
      </x:c>
      <x:c r="E367" s="65" t="str">
        <x:v>who-personal-interventions-2024:structure:0</x:v>
      </x:c>
      <x:c r="F367" s="65" t="str">
        <x:v>p.1</x:v>
      </x:c>
      <x:c r="G367" s="92" t="n">
        <x:v>0.55555556</x:v>
      </x:c>
      <x:c r="H367" s="65" t="str">
        <x:v>WHO personal interventions and risk communication (2024)</x:v>
      </x:c>
      <x:c r="I367" s="65" t="str">
        <x:v>World Health Organization</x:v>
      </x:c>
      <x:c r="J367" s="65" t="str">
        <x:v>The WHO Q&amp;A addresses personal interventions and risk communication for air pollution. It presents exposure-reduction options as public-health advice and does not replace emission-control policy or clinical care.</x:v>
      </x:c>
      <x:c r="K367" s="65" t="str">
        <x:v>https://www.who.int/news-room/questions-and-answers/item/air-pollution-personal-interventions-and-risk-communication</x:v>
      </x:c>
      <x:c r="L367" s="65" t="n">
        <x:v>0</x:v>
      </x:c>
      <x:c r="M367" s="65" t="str">
        <x:v>Machine-suggested near-miss; human review required.</x:v>
      </x:c>
    </x:row>
    <x:row r="368" ht="42" customHeight="1">
      <x:c r="A368" s="65" t="str">
        <x:v>gold30-019</x:v>
      </x:c>
      <x:c r="B368" s="65" t="str">
        <x:v>bm25</x:v>
      </x:c>
      <x:c r="C368" s="88" t="n">
        <x:v>3</x:v>
      </x:c>
      <x:c r="D368" s="65" t="str">
        <x:v>clean-air-room</x:v>
      </x:c>
      <x:c r="E368" s="65" t="str">
        <x:v>clean-air-room:structure:1</x:v>
      </x:c>
      <x:c r="F368" s="65" t="str">
        <x:v>p.2</x:v>
      </x:c>
      <x:c r="G368" s="92" t="n">
        <x:v>0.44444444</x:v>
      </x:c>
      <x:c r="H368" s="65" t="str">
        <x:v>Indoor filtration and a clean-air room</x:v>
      </x:c>
      <x:c r="I368" s="65" t="str">
        <x:v>United States Environmental Protection Agency</x:v>
      </x:c>
      <x:c r="J368"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68" s="65" t="str">
        <x:v>https://www.epa.gov/indoor-air-quality-iaq/guide-air-cleaners-home</x:v>
      </x:c>
      <x:c r="L368" s="65" t="n">
        <x:v>0</x:v>
      </x:c>
      <x:c r="M368" s="65" t="str">
        <x:v>Machine-suggested near-miss; human review required.</x:v>
      </x:c>
    </x:row>
    <x:row r="369" ht="42" customHeight="1">
      <x:c r="A369" s="65" t="str">
        <x:v>gold30-019</x:v>
      </x:c>
      <x:c r="B369" s="65" t="str">
        <x:v>bm25</x:v>
      </x:c>
      <x:c r="C369" s="88" t="n">
        <x:v>4</x:v>
      </x:c>
      <x:c r="D369" s="65" t="str">
        <x:v>epa-air-cleaners-home-2026</x:v>
      </x:c>
      <x:c r="E369" s="65" t="str">
        <x:v>epa-air-cleaners-home-2026:structure:0</x:v>
      </x:c>
      <x:c r="F369" s="65" t="str">
        <x:v>p.1</x:v>
      </x:c>
      <x:c r="G369" s="92" t="n">
        <x:v>0.44444444</x:v>
      </x:c>
      <x:c r="H369" s="65" t="str">
        <x:v>US EPA Guide to Air Cleaners in the Home (2nd edition)</x:v>
      </x:c>
      <x:c r="I369" s="65" t="str">
        <x:v>United States Environmental Protection Agency</x:v>
      </x:c>
      <x:c r="J369" s="65" t="str">
        <x:v>The EPA guide discusses portable air cleaners, heating/ventilation and air-conditioning filters, indoor pollutant sources and practical limits. It is technical household guidance and should not be presented as a Jakarta regulation.</x:v>
      </x:c>
      <x:c r="K369" s="65" t="str">
        <x:v>https://www.epa.gov/indoor-air-quality-iaq/guide-air-cleaners-home</x:v>
      </x:c>
      <x:c r="L369" s="65" t="n">
        <x:v>0</x:v>
      </x:c>
      <x:c r="M369" s="65" t="str">
        <x:v>Machine-suggested near-miss; human review required.</x:v>
      </x:c>
    </x:row>
    <x:row r="370" ht="42" customHeight="1">
      <x:c r="A370" s="65" t="str">
        <x:v>gold30-019</x:v>
      </x:c>
      <x:c r="B370" s="65" t="str">
        <x:v>bm25</x:v>
      </x:c>
      <x:c r="C370" s="88" t="n">
        <x:v>5</x:v>
      </x:c>
      <x:c r="D370" s="65" t="str">
        <x:v>individual-emission-actions</x:v>
      </x:c>
      <x:c r="E370" s="65" t="str">
        <x:v>individual-emission-actions:structure:3</x:v>
      </x:c>
      <x:c r="F370" s="65" t="str">
        <x:v>p.4</x:v>
      </x:c>
      <x:c r="G370" s="92" t="n">
        <x:v>0.44444444</x:v>
      </x:c>
      <x:c r="H370" s="65" t="str">
        <x:v>What an individual can do to reduce emissions and improve accountability</x:v>
      </x:c>
      <x:c r="I370" s="65" t="str">
        <x:v>World Health Organization; Pemerintah Provinsi DKI Jakarta</x:v>
      </x:c>
      <x:c r="J370"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370" s="65" t="str">
        <x:v>https://www.who.int/europe/publications/m/item/personal-level-actions-to-reduce-air-pollution-exposure</x:v>
      </x:c>
      <x:c r="L370" s="65" t="n">
        <x:v>0</x:v>
      </x:c>
      <x:c r="M370" s="65" t="str">
        <x:v>Machine-suggested near-miss; human review required.</x:v>
      </x:c>
    </x:row>
    <x:row r="371" ht="42" customHeight="1">
      <x:c r="A371" s="65" t="str">
        <x:v>gold30-019</x:v>
      </x:c>
      <x:c r="B371" s="65" t="str">
        <x:v>dense</x:v>
      </x:c>
      <x:c r="C371" s="88" t="n">
        <x:v>1</x:v>
      </x:c>
      <x:c r="D371" s="65" t="str">
        <x:v>clean-air-room</x:v>
      </x:c>
      <x:c r="E371" s="65" t="str">
        <x:v>clean-air-room:structure:1</x:v>
      </x:c>
      <x:c r="F371" s="65" t="str">
        <x:v>p.2</x:v>
      </x:c>
      <x:c r="G371" s="92" t="n">
        <x:v>0.28576636</x:v>
      </x:c>
      <x:c r="H371" s="65" t="str">
        <x:v>Indoor filtration and a clean-air room</x:v>
      </x:c>
      <x:c r="I371" s="65" t="str">
        <x:v>United States Environmental Protection Agency</x:v>
      </x:c>
      <x:c r="J371"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71" s="65" t="str">
        <x:v>https://www.epa.gov/indoor-air-quality-iaq/guide-air-cleaners-home</x:v>
      </x:c>
      <x:c r="L371" s="65" t="n">
        <x:v>0</x:v>
      </x:c>
      <x:c r="M371" s="65" t="str">
        <x:v>Machine-suggested near-miss; human review required.</x:v>
      </x:c>
    </x:row>
    <x:row r="372" ht="42" customHeight="1">
      <x:c r="A372" s="65" t="str">
        <x:v>gold30-019</x:v>
      </x:c>
      <x:c r="B372" s="65" t="str">
        <x:v>dense</x:v>
      </x:c>
      <x:c r="C372" s="88" t="n">
        <x:v>2</x:v>
      </x:c>
      <x:c r="D372" s="65" t="str">
        <x:v>bad-air-day-protection</x:v>
      </x:c>
      <x:c r="E372" s="65" t="str">
        <x:v>bad-air-day-protection:structure:3</x:v>
      </x:c>
      <x:c r="F372" s="65" t="str">
        <x:v>p.4</x:v>
      </x:c>
      <x:c r="G372" s="92" t="n">
        <x:v>0.27229613</x:v>
      </x:c>
      <x:c r="H372" s="65" t="str">
        <x:v>Bad-air-day protection playbook</x:v>
      </x:c>
      <x:c r="I372" s="65" t="str">
        <x:v>World Health Organization, Regional Office for Europe</x:v>
      </x:c>
      <x:c r="J372" s="65" t="str">
        <x:v>Personal protection reduces a person's dose. It does not reduce Jakarta's emissions and cannot replace enforcement or clean-air policy. [bad-air-day-protection]</x:v>
      </x:c>
      <x:c r="K372" s="65" t="str">
        <x:v>https://www.who.int/news-room/questions-and-answers/item/air-pollution-personal-interventions-and-risk-communication</x:v>
      </x:c>
      <x:c r="L372" s="65" t="n">
        <x:v>3</x:v>
      </x:c>
      <x:c r="M372" s="65" t="str">
        <x:v>Expected source for this question.</x:v>
      </x:c>
    </x:row>
    <x:row r="373" ht="42" customHeight="1">
      <x:c r="A373" s="65" t="str">
        <x:v>gold30-019</x:v>
      </x:c>
      <x:c r="B373" s="65" t="str">
        <x:v>dense</x:v>
      </x:c>
      <x:c r="C373" s="88" t="n">
        <x:v>3</x:v>
      </x:c>
      <x:c r="D373" s="65" t="str">
        <x:v>epa-air-cleaners-home-2026</x:v>
      </x:c>
      <x:c r="E373" s="65" t="str">
        <x:v>epa-air-cleaners-home-2026:structure:0</x:v>
      </x:c>
      <x:c r="F373" s="65" t="str">
        <x:v>p.1</x:v>
      </x:c>
      <x:c r="G373" s="92" t="n">
        <x:v>0.22876235</x:v>
      </x:c>
      <x:c r="H373" s="65" t="str">
        <x:v>US EPA Guide to Air Cleaners in the Home (2nd edition)</x:v>
      </x:c>
      <x:c r="I373" s="65" t="str">
        <x:v>United States Environmental Protection Agency</x:v>
      </x:c>
      <x:c r="J373" s="65" t="str">
        <x:v>The EPA guide discusses portable air cleaners, heating/ventilation and air-conditioning filters, indoor pollutant sources and practical limits. It is technical household guidance and should not be presented as a Jakarta regulation.</x:v>
      </x:c>
      <x:c r="K373" s="65" t="str">
        <x:v>https://www.epa.gov/indoor-air-quality-iaq/guide-air-cleaners-home</x:v>
      </x:c>
      <x:c r="L373" s="65" t="n">
        <x:v>0</x:v>
      </x:c>
      <x:c r="M373" s="65" t="str">
        <x:v>Machine-suggested near-miss; human review required.</x:v>
      </x:c>
    </x:row>
    <x:row r="374" ht="42" customHeight="1">
      <x:c r="A374" s="65" t="str">
        <x:v>gold30-019</x:v>
      </x:c>
      <x:c r="B374" s="65" t="str">
        <x:v>dense</x:v>
      </x:c>
      <x:c r="C374" s="88" t="n">
        <x:v>4</x:v>
      </x:c>
      <x:c r="D374" s="65" t="str">
        <x:v>who-personal-interventions-2024</x:v>
      </x:c>
      <x:c r="E374" s="65" t="str">
        <x:v>who-personal-interventions-2024:structure:0</x:v>
      </x:c>
      <x:c r="F374" s="65" t="str">
        <x:v>p.1</x:v>
      </x:c>
      <x:c r="G374" s="92" t="n">
        <x:v>0.19053904</x:v>
      </x:c>
      <x:c r="H374" s="65" t="str">
        <x:v>WHO personal interventions and risk communication (2024)</x:v>
      </x:c>
      <x:c r="I374" s="65" t="str">
        <x:v>World Health Organization</x:v>
      </x:c>
      <x:c r="J374" s="65" t="str">
        <x:v>The WHO Q&amp;A addresses personal interventions and risk communication for air pollution. It presents exposure-reduction options as public-health advice and does not replace emission-control policy or clinical care.</x:v>
      </x:c>
      <x:c r="K374" s="65" t="str">
        <x:v>https://www.who.int/news-room/questions-and-answers/item/air-pollution-personal-interventions-and-risk-communication</x:v>
      </x:c>
      <x:c r="L374" s="65" t="n">
        <x:v>0</x:v>
      </x:c>
      <x:c r="M374" s="65" t="str">
        <x:v>Machine-suggested near-miss; human review required.</x:v>
      </x:c>
    </x:row>
    <x:row r="375" ht="42" customHeight="1">
      <x:c r="A375" s="65" t="str">
        <x:v>gold30-019</x:v>
      </x:c>
      <x:c r="B375" s="65" t="str">
        <x:v>dense</x:v>
      </x:c>
      <x:c r="C375" s="88" t="n">
        <x:v>5</x:v>
      </x:c>
      <x:c r="D375" s="65" t="str">
        <x:v>individual-emission-actions</x:v>
      </x:c>
      <x:c r="E375" s="65" t="str">
        <x:v>individual-emission-actions:structure:3</x:v>
      </x:c>
      <x:c r="F375" s="65" t="str">
        <x:v>p.4</x:v>
      </x:c>
      <x:c r="G375" s="92" t="n">
        <x:v>0.15798641</x:v>
      </x:c>
      <x:c r="H375" s="65" t="str">
        <x:v>What an individual can do to reduce emissions and improve accountability</x:v>
      </x:c>
      <x:c r="I375" s="65" t="str">
        <x:v>World Health Organization; Pemerintah Provinsi DKI Jakarta</x:v>
      </x:c>
      <x:c r="J375"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375" s="65" t="str">
        <x:v>https://www.who.int/europe/publications/m/item/personal-level-actions-to-reduce-air-pollution-exposure</x:v>
      </x:c>
      <x:c r="L375" s="65" t="n">
        <x:v>0</x:v>
      </x:c>
      <x:c r="M375" s="65" t="str">
        <x:v>Machine-suggested near-miss; human review required.</x:v>
      </x:c>
    </x:row>
    <x:row r="376" ht="42" customHeight="1">
      <x:c r="A376" s="65" t="str">
        <x:v>gold30-019</x:v>
      </x:c>
      <x:c r="B376" s="65" t="str">
        <x:v>hybrid</x:v>
      </x:c>
      <x:c r="C376" s="88" t="n">
        <x:v>1</x:v>
      </x:c>
      <x:c r="D376" s="65" t="str">
        <x:v>bad-air-day-protection</x:v>
      </x:c>
      <x:c r="E376" s="65" t="str">
        <x:v>bad-air-day-protection:structure:3</x:v>
      </x:c>
      <x:c r="F376" s="65" t="str">
        <x:v>p.4</x:v>
      </x:c>
      <x:c r="G376" s="92" t="n">
        <x:v>0.03284506</x:v>
      </x:c>
      <x:c r="H376" s="65" t="str">
        <x:v>Bad-air-day protection playbook</x:v>
      </x:c>
      <x:c r="I376" s="65" t="str">
        <x:v>World Health Organization, Regional Office for Europe</x:v>
      </x:c>
      <x:c r="J376" s="65" t="str">
        <x:v>Personal protection reduces a person's dose. It does not reduce Jakarta's emissions and cannot replace enforcement or clean-air policy. [bad-air-day-protection]</x:v>
      </x:c>
      <x:c r="K376" s="65" t="str">
        <x:v>https://www.who.int/news-room/questions-and-answers/item/air-pollution-personal-interventions-and-risk-communication</x:v>
      </x:c>
      <x:c r="L376" s="65" t="n">
        <x:v>3</x:v>
      </x:c>
      <x:c r="M376" s="65" t="str">
        <x:v>Expected source for this question.</x:v>
      </x:c>
    </x:row>
    <x:row r="377" ht="42" customHeight="1">
      <x:c r="A377" s="65" t="str">
        <x:v>gold30-019</x:v>
      </x:c>
      <x:c r="B377" s="65" t="str">
        <x:v>hybrid</x:v>
      </x:c>
      <x:c r="C377" s="88" t="n">
        <x:v>2</x:v>
      </x:c>
      <x:c r="D377" s="65" t="str">
        <x:v>clean-air-room</x:v>
      </x:c>
      <x:c r="E377" s="65" t="str">
        <x:v>clean-air-room:structure:1</x:v>
      </x:c>
      <x:c r="F377" s="65" t="str">
        <x:v>p.2</x:v>
      </x:c>
      <x:c r="G377" s="92" t="n">
        <x:v>0.03259433</x:v>
      </x:c>
      <x:c r="H377" s="65" t="str">
        <x:v>Indoor filtration and a clean-air room</x:v>
      </x:c>
      <x:c r="I377" s="65" t="str">
        <x:v>United States Environmental Protection Agency</x:v>
      </x:c>
      <x:c r="J377"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77" s="65" t="str">
        <x:v>https://www.epa.gov/indoor-air-quality-iaq/guide-air-cleaners-home</x:v>
      </x:c>
      <x:c r="L377" s="65" t="n">
        <x:v>0</x:v>
      </x:c>
      <x:c r="M377" s="65" t="str">
        <x:v>Machine-suggested near-miss; human review required.</x:v>
      </x:c>
    </x:row>
    <x:row r="378" ht="42" customHeight="1">
      <x:c r="A378" s="65" t="str">
        <x:v>gold30-019</x:v>
      </x:c>
      <x:c r="B378" s="65" t="str">
        <x:v>hybrid</x:v>
      </x:c>
      <x:c r="C378" s="88" t="n">
        <x:v>3</x:v>
      </x:c>
      <x:c r="D378" s="65" t="str">
        <x:v>who-personal-interventions-2024</x:v>
      </x:c>
      <x:c r="E378" s="65" t="str">
        <x:v>who-personal-interventions-2024:structure:0</x:v>
      </x:c>
      <x:c r="F378" s="65" t="str">
        <x:v>p.1</x:v>
      </x:c>
      <x:c r="G378" s="92" t="n">
        <x:v>0.03206653</x:v>
      </x:c>
      <x:c r="H378" s="65" t="str">
        <x:v>WHO personal interventions and risk communication (2024)</x:v>
      </x:c>
      <x:c r="I378" s="65" t="str">
        <x:v>World Health Organization</x:v>
      </x:c>
      <x:c r="J378" s="65" t="str">
        <x:v>The WHO Q&amp;A addresses personal interventions and risk communication for air pollution. It presents exposure-reduction options as public-health advice and does not replace emission-control policy or clinical care.</x:v>
      </x:c>
      <x:c r="K378" s="65" t="str">
        <x:v>https://www.who.int/news-room/questions-and-answers/item/air-pollution-personal-interventions-and-risk-communication</x:v>
      </x:c>
      <x:c r="L378" s="65" t="n">
        <x:v>0</x:v>
      </x:c>
      <x:c r="M378" s="65" t="str">
        <x:v>Machine-suggested near-miss; human review required.</x:v>
      </x:c>
    </x:row>
    <x:row r="379" ht="42" customHeight="1">
      <x:c r="A379" s="65" t="str">
        <x:v>gold30-019</x:v>
      </x:c>
      <x:c r="B379" s="65" t="str">
        <x:v>hybrid</x:v>
      </x:c>
      <x:c r="C379" s="88" t="n">
        <x:v>4</x:v>
      </x:c>
      <x:c r="D379" s="65" t="str">
        <x:v>epa-air-cleaners-home-2026</x:v>
      </x:c>
      <x:c r="E379" s="65" t="str">
        <x:v>epa-air-cleaners-home-2026:structure:0</x:v>
      </x:c>
      <x:c r="F379" s="65" t="str">
        <x:v>p.1</x:v>
      </x:c>
      <x:c r="G379" s="92" t="n">
        <x:v>0.03181548</x:v>
      </x:c>
      <x:c r="H379" s="65" t="str">
        <x:v>US EPA Guide to Air Cleaners in the Home (2nd edition)</x:v>
      </x:c>
      <x:c r="I379" s="65" t="str">
        <x:v>United States Environmental Protection Agency</x:v>
      </x:c>
      <x:c r="J379" s="65" t="str">
        <x:v>The EPA guide discusses portable air cleaners, heating/ventilation and air-conditioning filters, indoor pollutant sources and practical limits. It is technical household guidance and should not be presented as a Jakarta regulation.</x:v>
      </x:c>
      <x:c r="K379" s="65" t="str">
        <x:v>https://www.epa.gov/indoor-air-quality-iaq/guide-air-cleaners-home</x:v>
      </x:c>
      <x:c r="L379" s="65" t="n">
        <x:v>0</x:v>
      </x:c>
      <x:c r="M379" s="65" t="str">
        <x:v>Machine-suggested near-miss; human review required.</x:v>
      </x:c>
    </x:row>
    <x:row r="380" ht="42" customHeight="1">
      <x:c r="A380" s="65" t="str">
        <x:v>gold30-019</x:v>
      </x:c>
      <x:c r="B380" s="65" t="str">
        <x:v>hybrid</x:v>
      </x:c>
      <x:c r="C380" s="88" t="n">
        <x:v>5</x:v>
      </x:c>
      <x:c r="D380" s="65" t="str">
        <x:v>individual-emission-actions</x:v>
      </x:c>
      <x:c r="E380" s="65" t="str">
        <x:v>individual-emission-actions:structure:3</x:v>
      </x:c>
      <x:c r="F380" s="65" t="str">
        <x:v>p.4</x:v>
      </x:c>
      <x:c r="G380" s="92" t="n">
        <x:v>0.03107692</x:v>
      </x:c>
      <x:c r="H380" s="65" t="str">
        <x:v>What an individual can do to reduce emissions and improve accountability</x:v>
      </x:c>
      <x:c r="I380" s="65" t="str">
        <x:v>World Health Organization; Pemerintah Provinsi DKI Jakarta</x:v>
      </x:c>
      <x:c r="J380"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380" s="65" t="str">
        <x:v>https://www.who.int/europe/publications/m/item/personal-level-actions-to-reduce-air-pollution-exposure</x:v>
      </x:c>
      <x:c r="L380" s="65" t="n">
        <x:v>0</x:v>
      </x:c>
      <x:c r="M380" s="65" t="str">
        <x:v>Machine-suggested near-miss; human review required.</x:v>
      </x:c>
    </x:row>
    <x:row r="381" ht="42" customHeight="1">
      <x:c r="A381" s="65" t="str">
        <x:v>gold30-019</x:v>
      </x:c>
      <x:c r="B381" s="65" t="str">
        <x:v>hybrid_rerank</x:v>
      </x:c>
      <x:c r="C381" s="88" t="n">
        <x:v>1</x:v>
      </x:c>
      <x:c r="D381" s="65" t="str">
        <x:v>bad-air-day-protection</x:v>
      </x:c>
      <x:c r="E381" s="65" t="str">
        <x:v>bad-air-day-protection:structure:3</x:v>
      </x:c>
      <x:c r="F381" s="65" t="str">
        <x:v>p.4</x:v>
      </x:c>
      <x:c r="G381" s="92" t="n">
        <x:v>0.55429796</x:v>
      </x:c>
      <x:c r="H381" s="65" t="str">
        <x:v>Bad-air-day protection playbook</x:v>
      </x:c>
      <x:c r="I381" s="65" t="str">
        <x:v>World Health Organization, Regional Office for Europe</x:v>
      </x:c>
      <x:c r="J381" s="65" t="str">
        <x:v>Personal protection reduces a person's dose. It does not reduce Jakarta's emissions and cannot replace enforcement or clean-air policy. [bad-air-day-protection]</x:v>
      </x:c>
      <x:c r="K381" s="65" t="str">
        <x:v>https://www.who.int/news-room/questions-and-answers/item/air-pollution-personal-interventions-and-risk-communication</x:v>
      </x:c>
      <x:c r="L381" s="65" t="n">
        <x:v>3</x:v>
      </x:c>
      <x:c r="M381" s="65" t="str">
        <x:v>Expected source for this question.</x:v>
      </x:c>
    </x:row>
    <x:row r="382" ht="42" customHeight="1">
      <x:c r="A382" s="65" t="str">
        <x:v>gold30-019</x:v>
      </x:c>
      <x:c r="B382" s="65" t="str">
        <x:v>hybrid_rerank</x:v>
      </x:c>
      <x:c r="C382" s="88" t="n">
        <x:v>2</x:v>
      </x:c>
      <x:c r="D382" s="65" t="str">
        <x:v>who-personal-interventions-2024</x:v>
      </x:c>
      <x:c r="E382" s="65" t="str">
        <x:v>who-personal-interventions-2024:structure:0</x:v>
      </x:c>
      <x:c r="F382" s="65" t="str">
        <x:v>p.1</x:v>
      </x:c>
      <x:c r="G382" s="92" t="n">
        <x:v>0.39850885</x:v>
      </x:c>
      <x:c r="H382" s="65" t="str">
        <x:v>WHO personal interventions and risk communication (2024)</x:v>
      </x:c>
      <x:c r="I382" s="65" t="str">
        <x:v>World Health Organization</x:v>
      </x:c>
      <x:c r="J382" s="65" t="str">
        <x:v>The WHO Q&amp;A addresses personal interventions and risk communication for air pollution. It presents exposure-reduction options as public-health advice and does not replace emission-control policy or clinical care.</x:v>
      </x:c>
      <x:c r="K382" s="65" t="str">
        <x:v>https://www.who.int/news-room/questions-and-answers/item/air-pollution-personal-interventions-and-risk-communication</x:v>
      </x:c>
      <x:c r="L382" s="65" t="n">
        <x:v>0</x:v>
      </x:c>
      <x:c r="M382" s="65" t="str">
        <x:v>Machine-suggested near-miss; human review required.</x:v>
      </x:c>
    </x:row>
    <x:row r="383" ht="42" customHeight="1">
      <x:c r="A383" s="65" t="str">
        <x:v>gold30-019</x:v>
      </x:c>
      <x:c r="B383" s="65" t="str">
        <x:v>hybrid_rerank</x:v>
      </x:c>
      <x:c r="C383" s="88" t="n">
        <x:v>3</x:v>
      </x:c>
      <x:c r="D383" s="65" t="str">
        <x:v>clean-air-room</x:v>
      </x:c>
      <x:c r="E383" s="65" t="str">
        <x:v>clean-air-room:structure:1</x:v>
      </x:c>
      <x:c r="F383" s="65" t="str">
        <x:v>p.2</x:v>
      </x:c>
      <x:c r="G383" s="92" t="n">
        <x:v>0.32088941</x:v>
      </x:c>
      <x:c r="H383" s="65" t="str">
        <x:v>Indoor filtration and a clean-air room</x:v>
      </x:c>
      <x:c r="I383" s="65" t="str">
        <x:v>United States Environmental Protection Agency</x:v>
      </x:c>
      <x:c r="J383"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83" s="65" t="str">
        <x:v>https://www.epa.gov/indoor-air-quality-iaq/guide-air-cleaners-home</x:v>
      </x:c>
      <x:c r="L383" s="65" t="n">
        <x:v>0</x:v>
      </x:c>
      <x:c r="M383" s="65" t="str">
        <x:v>Machine-suggested near-miss; human review required.</x:v>
      </x:c>
    </x:row>
    <x:row r="384" ht="42" customHeight="1">
      <x:c r="A384" s="65" t="str">
        <x:v>gold30-019</x:v>
      </x:c>
      <x:c r="B384" s="65" t="str">
        <x:v>hybrid_rerank</x:v>
      </x:c>
      <x:c r="C384" s="88" t="n">
        <x:v>4</x:v>
      </x:c>
      <x:c r="D384" s="65" t="str">
        <x:v>epa-air-cleaners-home-2026</x:v>
      </x:c>
      <x:c r="E384" s="65" t="str">
        <x:v>epa-air-cleaners-home-2026:structure:0</x:v>
      </x:c>
      <x:c r="F384" s="65" t="str">
        <x:v>p.1</x:v>
      </x:c>
      <x:c r="G384" s="92" t="n">
        <x:v>0.32065575</x:v>
      </x:c>
      <x:c r="H384" s="65" t="str">
        <x:v>US EPA Guide to Air Cleaners in the Home (2nd edition)</x:v>
      </x:c>
      <x:c r="I384" s="65" t="str">
        <x:v>United States Environmental Protection Agency</x:v>
      </x:c>
      <x:c r="J384" s="65" t="str">
        <x:v>The EPA guide discusses portable air cleaners, heating/ventilation and air-conditioning filters, indoor pollutant sources and practical limits. It is technical household guidance and should not be presented as a Jakarta regulation.</x:v>
      </x:c>
      <x:c r="K384" s="65" t="str">
        <x:v>https://www.epa.gov/indoor-air-quality-iaq/guide-air-cleaners-home</x:v>
      </x:c>
      <x:c r="L384" s="65" t="n">
        <x:v>0</x:v>
      </x:c>
      <x:c r="M384" s="65" t="str">
        <x:v>Machine-suggested near-miss; human review required.</x:v>
      </x:c>
    </x:row>
    <x:row r="385" ht="42" customHeight="1">
      <x:c r="A385" s="65" t="str">
        <x:v>gold30-019</x:v>
      </x:c>
      <x:c r="B385" s="65" t="str">
        <x:v>hybrid_rerank</x:v>
      </x:c>
      <x:c r="C385" s="88" t="n">
        <x:v>5</x:v>
      </x:c>
      <x:c r="D385" s="65" t="str">
        <x:v>individual-emission-actions</x:v>
      </x:c>
      <x:c r="E385" s="65" t="str">
        <x:v>individual-emission-actions:structure:3</x:v>
      </x:c>
      <x:c r="F385" s="65" t="str">
        <x:v>p.4</x:v>
      </x:c>
      <x:c r="G385" s="92" t="n">
        <x:v>0.32043419</x:v>
      </x:c>
      <x:c r="H385" s="65" t="str">
        <x:v>What an individual can do to reduce emissions and improve accountability</x:v>
      </x:c>
      <x:c r="I385" s="65" t="str">
        <x:v>World Health Organization; Pemerintah Provinsi DKI Jakarta</x:v>
      </x:c>
      <x:c r="J385"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385" s="65" t="str">
        <x:v>https://www.who.int/europe/publications/m/item/personal-level-actions-to-reduce-air-pollution-exposure</x:v>
      </x:c>
      <x:c r="L385" s="65" t="n">
        <x:v>0</x:v>
      </x:c>
      <x:c r="M385" s="65" t="str">
        <x:v>Machine-suggested near-miss; human review required.</x:v>
      </x:c>
    </x:row>
    <x:row r="386" ht="42" customHeight="1">
      <x:c r="A386" s="65" t="str">
        <x:v>gold30-020</x:v>
      </x:c>
      <x:c r="B386" s="65" t="str">
        <x:v>bm25</x:v>
      </x:c>
      <x:c r="C386" s="88" t="n">
        <x:v>1</x:v>
      </x:c>
      <x:c r="D386" s="65" t="str">
        <x:v>jakarta-historical-city-series</x:v>
      </x:c>
      <x:c r="E386" s="65" t="str">
        <x:v>jakarta-historical-city-series:structure:4</x:v>
      </x:c>
      <x:c r="F386" s="65" t="str">
        <x:v>p.5</x:v>
      </x:c>
      <x:c r="G386" s="92" t="n">
        <x:v>0.14285714</x:v>
      </x:c>
      <x:c r="H386" s="65" t="str">
        <x:v>Jakarta historical PM2.5 and PM10 series: provenance and quality</x:v>
      </x:c>
      <x:c r="I386" s="65" t="str">
        <x:v>Open-Meteo / CAMS Global; deposited dataset by Nitiraj Kulkarni and Jagadish Tawade</x:v>
      </x:c>
      <x:c r="J386"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386" s="65" t="str">
        <x:v>https://zenodo.org/records/18673885</x:v>
      </x:c>
      <x:c r="L386" s="65" t="n">
        <x:v>0</x:v>
      </x:c>
      <x:c r="M386" s="65" t="str">
        <x:v>Machine-suggested near-miss; human review required.</x:v>
      </x:c>
    </x:row>
    <x:row r="387" ht="42" customHeight="1">
      <x:c r="A387" s="65" t="str">
        <x:v>gold30-020</x:v>
      </x:c>
      <x:c r="B387" s="65" t="str">
        <x:v>bm25</x:v>
      </x:c>
      <x:c r="C387" s="88" t="n">
        <x:v>2</x:v>
      </x:c>
      <x:c r="D387" s="65" t="str">
        <x:v>jakarta-improvements</x:v>
      </x:c>
      <x:c r="E387" s="65" t="str">
        <x:v>jakarta-improvements:structure:0</x:v>
      </x:c>
      <x:c r="F387" s="65" t="str">
        <x:v>p.1</x:v>
      </x:c>
      <x:c r="G387" s="92" t="n">
        <x:v>0.14285714</x:v>
      </x:c>
      <x:c r="H387" s="65" t="str">
        <x:v>Ways to improve Jakarta air quality</x:v>
      </x:c>
      <x:c r="I387" s="65" t="str">
        <x:v>Pemerintah Provinsi DKI Jakarta / Dinas Lingkungan Hidup</x:v>
      </x:c>
      <x:c r="J387"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87" s="65" t="str">
        <x:v>https://www.jakarta.go.id/page/upaya-bersama-jaga-kualitas-udara-jakarta</x:v>
      </x:c>
      <x:c r="L387" s="65" t="n">
        <x:v>0</x:v>
      </x:c>
      <x:c r="M387" s="65" t="str">
        <x:v>Machine-suggested near-miss; human review required.</x:v>
      </x:c>
    </x:row>
    <x:row r="388" ht="42" customHeight="1">
      <x:c r="A388" s="65" t="str">
        <x:v>gold30-020</x:v>
      </x:c>
      <x:c r="B388" s="65" t="str">
        <x:v>bm25</x:v>
      </x:c>
      <x:c r="C388" s="88" t="n">
        <x:v>3</x:v>
      </x:c>
      <x:c r="D388" s="65" t="str">
        <x:v>jakarta-seasonal-exposure</x:v>
      </x:c>
      <x:c r="E388" s="65" t="str">
        <x:v>jakarta-seasonal-exposure:structure:0</x:v>
      </x:c>
      <x:c r="F388" s="65" t="str">
        <x:v>p.1</x:v>
      </x:c>
      <x:c r="G388" s="92" t="n">
        <x:v>0.14285714</x:v>
      </x:c>
      <x:c r="H388" s="65" t="str">
        <x:v>Jakarta timing and local exposure context</x:v>
      </x:c>
      <x:c r="I388" s="65" t="str">
        <x:v>Dinas Lingkungan Hidup DKI Jakarta</x:v>
      </x:c>
      <x:c r="J388" s="65" t="str">
        <x:v>Published: 2024-04-06 Status as of: 2026-09-07 (official seasonal notice; not a current forecast) Document type: official_public_guidance Tags: topic=exposure-protection; audience=Jakarta-resident; action=protect-now; pollutant=PM2.5</x:v>
      </x:c>
      <x:c r="K388" s="65" t="str">
        <x:v>https://lingkunganhidup.jakarta.go.id/detail-artikel/masuki-musim-kemarau-pemprov-dki-minta-masyarakat-waspadai-penurunan-kualitas-udara</x:v>
      </x:c>
      <x:c r="L388" s="65" t="n">
        <x:v>0</x:v>
      </x:c>
      <x:c r="M388" s="65" t="str">
        <x:v>Machine-suggested near-miss; human review required.</x:v>
      </x:c>
    </x:row>
    <x:row r="389" ht="42" customHeight="1">
      <x:c r="A389" s="65" t="str">
        <x:v>gold30-020</x:v>
      </x:c>
      <x:c r="B389" s="65" t="str">
        <x:v>bm25</x:v>
      </x:c>
      <x:c r="C389" s="88" t="n">
        <x:v>4</x:v>
      </x:c>
      <x:c r="D389" s="65" t="str">
        <x:v>bad-air-day-protection</x:v>
      </x:c>
      <x:c r="E389" s="65" t="str">
        <x:v>bad-air-day-protection:structure:0</x:v>
      </x:c>
      <x:c r="F389" s="65" t="str">
        <x:v>p.1</x:v>
      </x:c>
      <x:c r="G389" s="92" t="n">
        <x:v>0</x:v>
      </x:c>
      <x:c r="H389" s="65" t="str">
        <x:v>Bad-air-day protection playbook</x:v>
      </x:c>
      <x:c r="I389" s="65" t="str">
        <x:v>World Health Organization, Regional Office for Europe</x:v>
      </x:c>
      <x:c r="J389" s="65" t="str">
        <x:v>Published: 2024-10-04 Status as of: 2026-09-07 (health guidance; not Indonesian law) Document type: health_guidance Tags: topic=exposure-protection; audience=Jakarta-resident; action=protect-now; pollutant=ambient-particles</x:v>
      </x:c>
      <x:c r="K389" s="65" t="str">
        <x:v>https://www.who.int/news-room/questions-and-answers/item/air-pollution-personal-interventions-and-risk-communication</x:v>
      </x:c>
      <x:c r="L389" s="65" t="n">
        <x:v>0</x:v>
      </x:c>
      <x:c r="M389" s="65" t="str">
        <x:v>Machine-suggested near-miss; human review required.</x:v>
      </x:c>
    </x:row>
    <x:row r="390" ht="42" customHeight="1">
      <x:c r="A390" s="65" t="str">
        <x:v>gold30-020</x:v>
      </x:c>
      <x:c r="B390" s="65" t="str">
        <x:v>bm25</x:v>
      </x:c>
      <x:c r="C390" s="88" t="n">
        <x:v>5</x:v>
      </x:c>
      <x:c r="D390" s="65" t="str">
        <x:v>clean-air-room</x:v>
      </x:c>
      <x:c r="E390" s="65" t="str">
        <x:v>clean-air-room:structure:0</x:v>
      </x:c>
      <x:c r="F390" s="65" t="str">
        <x:v>p.1</x:v>
      </x:c>
      <x:c r="G390" s="92" t="n">
        <x:v>0</x:v>
      </x:c>
      <x:c r="H390" s="65" t="str">
        <x:v>Indoor filtration and a clean-air room</x:v>
      </x:c>
      <x:c r="I390" s="65" t="str">
        <x:v>United States Environmental Protection Agency</x:v>
      </x:c>
      <x:c r="J390" s="65" t="str">
        <x:v>Published: not stated; page last updated 2026-02-17 (accessed 2026-09-07) Status as of: 2026-09-07 (technical guidance; not Indonesian law) Document type: indoor_air_guidance Tags: topic=indoor-filtration; audience=household; action=protect-now; pollutant=particles</x:v>
      </x:c>
      <x:c r="K390" s="65" t="str">
        <x:v>https://www.epa.gov/indoor-air-quality-iaq/guide-air-cleaners-home</x:v>
      </x:c>
      <x:c r="L390" s="65" t="n">
        <x:v>3</x:v>
      </x:c>
      <x:c r="M390" s="65" t="str">
        <x:v>Expected source for this question.</x:v>
      </x:c>
    </x:row>
    <x:row r="391" ht="42" customHeight="1">
      <x:c r="A391" s="65" t="str">
        <x:v>gold30-020</x:v>
      </x:c>
      <x:c r="B391" s="65" t="str">
        <x:v>dense</x:v>
      </x:c>
      <x:c r="C391" s="88" t="n">
        <x:v>1</x:v>
      </x:c>
      <x:c r="D391" s="65" t="str">
        <x:v>pergub-66-2020-vehicle-testing</x:v>
      </x:c>
      <x:c r="E391" s="65" t="str">
        <x:v>pergub-66-2020-vehicle-testing:structure:0</x:v>
      </x:c>
      <x:c r="F391" s="65" t="str">
        <x:v>p.1</x:v>
      </x:c>
      <x:c r="G391" s="92" t="n">
        <x:v>0.08732801</x:v>
      </x:c>
      <x:c r="H391" s="65" t="str">
        <x:v>Pergub DKI Jakarta No. 66 Tahun 2020 — motor-vehicle emission testing</x:v>
      </x:c>
      <x:c r="I391" s="65" t="str">
        <x:v>Pemerintah Provinsi DKI Jakarta / Database Peraturan BPK</x:v>
      </x:c>
      <x:c r="J391" s="65" t="str">
        <x:v>Peraturan Gubernur Provinsi DKI Jakarta Nomor 66 Tahun 2020 is titled Uji Emisi Gas Buang Kendaraan Bermotor. The BPK record gives the adoption date as 22 July 2020, promulgation date as 24 July 2020, and effective date as 24 December 2020.</x:v>
      </x:c>
      <x:c r="K391" s="65" t="str">
        <x:v>https://peraturan.bpk.go.id/Details/153923/pergub-prov-dki-jakarta-no-66-tahun-2020</x:v>
      </x:c>
      <x:c r="L391" s="65" t="n">
        <x:v>0</x:v>
      </x:c>
      <x:c r="M391" s="65" t="str">
        <x:v>Machine-suggested near-miss; human review required.</x:v>
      </x:c>
    </x:row>
    <x:row r="392" ht="42" customHeight="1">
      <x:c r="A392" s="65" t="str">
        <x:v>gold30-020</x:v>
      </x:c>
      <x:c r="B392" s="65" t="str">
        <x:v>dense</x:v>
      </x:c>
      <x:c r="C392" s="88" t="n">
        <x:v>2</x:v>
      </x:c>
      <x:c r="D392" s="65" t="str">
        <x:v>permen-lhk-13-2021-cems</x:v>
      </x:c>
      <x:c r="E392" s="65" t="str">
        <x:v>permen-lhk-13-2021-cems:structure:0</x:v>
      </x:c>
      <x:c r="F392" s="65" t="str">
        <x:v>p.1</x:v>
      </x:c>
      <x:c r="G392" s="92" t="n">
        <x:v>0.0705291</x:v>
      </x:c>
      <x:c r="H392" s="65" t="str">
        <x:v>Permen LHK No. 13 Tahun 2021 — CEMS connectivity and emission monitoring</x:v>
      </x:c>
      <x:c r="I392" s="65" t="str">
        <x:v>Kementerian Lingkungan Hidup dan Kehutanan / Database Peraturan BPK</x:v>
      </x:c>
      <x:c r="J392" s="65" t="str">
        <x:v>The official BPK download URL identifies a 2021 Ministerial Environment and Forestry regulation. The PDF search extract exposes a CEMS connectivity test table with fields for stack code, emission source, CEMS brand, parameters and pass/fail connectivity result.</x:v>
      </x:c>
      <x:c r="K392" s="65" t="str">
        <x:v>https://peraturan.bpk.go.id/Download/288590/Permen%20LHK%20Nomor%2013%20Tahun%202021.pdf</x:v>
      </x:c>
      <x:c r="L392" s="65" t="n">
        <x:v>0</x:v>
      </x:c>
      <x:c r="M392" s="65" t="str">
        <x:v>Machine-suggested near-miss; human review required.</x:v>
      </x:c>
    </x:row>
    <x:row r="393" ht="42" customHeight="1">
      <x:c r="A393" s="65" t="str">
        <x:v>gold30-020</x:v>
      </x:c>
      <x:c r="B393" s="65" t="str">
        <x:v>dense</x:v>
      </x:c>
      <x:c r="C393" s="88" t="n">
        <x:v>3</x:v>
      </x:c>
      <x:c r="D393" s="65" t="str">
        <x:v>jakarta-regulations</x:v>
      </x:c>
      <x:c r="E393" s="65" t="str">
        <x:v>jakarta-regulations:structure:0</x:v>
      </x:c>
      <x:c r="F393" s="65" t="str">
        <x:v>p.1</x:v>
      </x:c>
      <x:c r="G393" s="92" t="n">
        <x:v>0.06577382</x:v>
      </x:c>
      <x:c r="H393" s="65" t="str">
        <x:v>Jakarta and Indonesian air-quality regulations</x:v>
      </x:c>
      <x:c r="I393" s="65" t="str">
        <x:v>JDIH DKI Jakarta / Government of Indonesia</x:v>
      </x:c>
      <x:c r="J393"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93" s="65" t="str">
        <x:v>https://udara.jakarta.go.id/regulasi</x:v>
      </x:c>
      <x:c r="L393" s="65" t="n">
        <x:v>0</x:v>
      </x:c>
      <x:c r="M393" s="65" t="str">
        <x:v>Machine-suggested near-miss; human review required.</x:v>
      </x:c>
    </x:row>
    <x:row r="394" ht="42" customHeight="1">
      <x:c r="A394" s="65" t="str">
        <x:v>gold30-020</x:v>
      </x:c>
      <x:c r="B394" s="65" t="str">
        <x:v>dense</x:v>
      </x:c>
      <x:c r="C394" s="88" t="n">
        <x:v>4</x:v>
      </x:c>
      <x:c r="D394" s="65" t="str">
        <x:v>jakarta-policy-implementation</x:v>
      </x:c>
      <x:c r="E394" s="65" t="str">
        <x:v>jakarta-policy-implementation:structure:0</x:v>
      </x:c>
      <x:c r="F394" s="65" t="str">
        <x:v>p.1</x:v>
      </x:c>
      <x:c r="G394" s="92" t="n">
        <x:v>0.05864974</x:v>
      </x:c>
      <x:c r="H394" s="65" t="str">
        <x:v>Why rules can coexist with poor air: implementation evidence</x:v>
      </x:c>
      <x:c r="I394" s="65" t="str">
        <x:v>Pemerintah Provinsi DKI Jakarta; Dinas Lingkungan Hidup DKI Jakarta; Mahkamah Agung</x:v>
      </x:c>
      <x:c r="J394" s="65" t="str">
        <x:v>Published: 2024-06-19; court record dated 2021-09-16 Status as of: 2026-09-07 (status is date-bounded; verify later changes in JDIH) Document type: implementation_evidence Tags: topic=regulation-implementation; audience=Jakarta-resident; action=accountability; status=implementat…</x:v>
      </x:c>
      <x:c r="K394" s="65" t="str">
        <x:v>https://www.jakarta.go.id/siaran-pers/4802-SP-HMS-06-2024</x:v>
      </x:c>
      <x:c r="L394" s="65" t="n">
        <x:v>0</x:v>
      </x:c>
      <x:c r="M394" s="65" t="str">
        <x:v>Machine-suggested near-miss; human review required.</x:v>
      </x:c>
    </x:row>
    <x:row r="395" ht="42" customHeight="1">
      <x:c r="A395" s="65" t="str">
        <x:v>gold30-020</x:v>
      </x:c>
      <x:c r="B395" s="65" t="str">
        <x:v>dense</x:v>
      </x:c>
      <x:c r="C395" s="88" t="n">
        <x:v>5</x:v>
      </x:c>
      <x:c r="D395" s="65" t="str">
        <x:v>permen-lhk-8-2023-vehicle-emissions</x:v>
      </x:c>
      <x:c r="E395" s="65" t="str">
        <x:v>permen-lhk-8-2023-vehicle-emissions:structure:0</x:v>
      </x:c>
      <x:c r="F395" s="65" t="str">
        <x:v>p.1</x:v>
      </x:c>
      <x:c r="G395" s="92" t="n">
        <x:v>0.05761859</x:v>
      </x:c>
      <x:c r="H395" s="65" t="str">
        <x:v>Permen LHK No. 8 Tahun 2023 — vehicle emission standards and testing</x:v>
      </x:c>
      <x:c r="I395" s="65" t="str">
        <x:v>Kementerian Lingkungan Hidup dan Kehutanan / Database Peraturan BPK</x:v>
      </x:c>
      <x:c r="J395"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395" s="65" t="str">
        <x:v>https://peraturan.bpk.go.id/Details/262504/permen-lhk-no-8-tahun-2023</x:v>
      </x:c>
      <x:c r="L395" s="65" t="n">
        <x:v>0</x:v>
      </x:c>
      <x:c r="M395" s="65" t="str">
        <x:v>Machine-suggested near-miss; human review required.</x:v>
      </x:c>
    </x:row>
    <x:row r="396" ht="42" customHeight="1">
      <x:c r="A396" s="65" t="str">
        <x:v>gold30-020</x:v>
      </x:c>
      <x:c r="B396" s="65" t="str">
        <x:v>hybrid</x:v>
      </x:c>
      <x:c r="C396" s="88" t="n">
        <x:v>1</x:v>
      </x:c>
      <x:c r="D396" s="65" t="str">
        <x:v>jakarta-improvements</x:v>
      </x:c>
      <x:c r="E396" s="65" t="str">
        <x:v>jakarta-improvements:structure:0</x:v>
      </x:c>
      <x:c r="F396" s="65" t="str">
        <x:v>p.1</x:v>
      </x:c>
      <x:c r="G396" s="92" t="n">
        <x:v>0.03112903</x:v>
      </x:c>
      <x:c r="H396" s="65" t="str">
        <x:v>Ways to improve Jakarta air quality</x:v>
      </x:c>
      <x:c r="I396" s="65" t="str">
        <x:v>Pemerintah Provinsi DKI Jakarta / Dinas Lingkungan Hidup</x:v>
      </x:c>
      <x:c r="J39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96" s="65" t="str">
        <x:v>https://www.jakarta.go.id/page/upaya-bersama-jaga-kualitas-udara-jakarta</x:v>
      </x:c>
      <x:c r="L396" s="65" t="n">
        <x:v>0</x:v>
      </x:c>
      <x:c r="M396" s="65" t="str">
        <x:v>Machine-suggested near-miss; human review required.</x:v>
      </x:c>
    </x:row>
    <x:row r="397" ht="42" customHeight="1">
      <x:c r="A397" s="65" t="str">
        <x:v>gold30-020</x:v>
      </x:c>
      <x:c r="B397" s="65" t="str">
        <x:v>hybrid</x:v>
      </x:c>
      <x:c r="C397" s="88" t="n">
        <x:v>2</x:v>
      </x:c>
      <x:c r="D397" s="65" t="str">
        <x:v>ispu</x:v>
      </x:c>
      <x:c r="E397" s="65" t="str">
        <x:v>ispu:structure:0</x:v>
      </x:c>
      <x:c r="F397" s="65" t="str">
        <x:v>p.1</x:v>
      </x:c>
      <x:c r="G397" s="92" t="n">
        <x:v>0.02906832</x:v>
      </x:c>
      <x:c r="H397" s="65" t="str">
        <x:v>Indonesian ISPU categories</x:v>
      </x:c>
      <x:c r="I397" s="65" t="str">
        <x:v>Ministry of Environment and Forestry</x:v>
      </x:c>
      <x:c r="J397" s="65" t="str">
        <x:v>The Indonesian ISPU categories used in this demo are Baik (1-50), Sedang (51-100), Tidak Sehat (101-200), Sangat Tidak Sehat (201-300), and Berbahaya (301 or higher). ISPU is an index without a physical concentration unit.</x:v>
      </x:c>
      <x:c r="K397" s="65" t="str">
        <x:v>https://peraturan.bpk.go.id/Details/163466/permen-lhk-no-14-tahun-2020</x:v>
      </x:c>
      <x:c r="L397" s="65" t="n">
        <x:v>0</x:v>
      </x:c>
      <x:c r="M397" s="65" t="str">
        <x:v>Machine-suggested near-miss; human review required.</x:v>
      </x:c>
    </x:row>
    <x:row r="398" ht="42" customHeight="1">
      <x:c r="A398" s="65" t="str">
        <x:v>gold30-020</x:v>
      </x:c>
      <x:c r="B398" s="65" t="str">
        <x:v>hybrid</x:v>
      </x:c>
      <x:c r="C398" s="88" t="n">
        <x:v>3</x:v>
      </x:c>
      <x:c r="D398" s="65" t="str">
        <x:v>pergub-66-2020-vehicle-testing</x:v>
      </x:c>
      <x:c r="E398" s="65" t="str">
        <x:v>pergub-66-2020-vehicle-testing:structure:0</x:v>
      </x:c>
      <x:c r="F398" s="65" t="str">
        <x:v>p.1</x:v>
      </x:c>
      <x:c r="G398" s="92" t="n">
        <x:v>0.01672131</x:v>
      </x:c>
      <x:c r="H398" s="65" t="str">
        <x:v>Pergub DKI Jakarta No. 66 Tahun 2020 — motor-vehicle emission testing</x:v>
      </x:c>
      <x:c r="I398" s="65" t="str">
        <x:v>Pemerintah Provinsi DKI Jakarta / Database Peraturan BPK</x:v>
      </x:c>
      <x:c r="J398" s="65" t="str">
        <x:v>Peraturan Gubernur Provinsi DKI Jakarta Nomor 66 Tahun 2020 is titled Uji Emisi Gas Buang Kendaraan Bermotor. The BPK record gives the adoption date as 22 July 2020, promulgation date as 24 July 2020, and effective date as 24 December 2020.</x:v>
      </x:c>
      <x:c r="K398" s="65" t="str">
        <x:v>https://peraturan.bpk.go.id/Details/153923/pergub-prov-dki-jakarta-no-66-tahun-2020</x:v>
      </x:c>
      <x:c r="L398" s="65" t="n">
        <x:v>0</x:v>
      </x:c>
      <x:c r="M398" s="65" t="str">
        <x:v>Machine-suggested near-miss; human review required.</x:v>
      </x:c>
    </x:row>
    <x:row r="399" ht="42" customHeight="1">
      <x:c r="A399" s="65" t="str">
        <x:v>gold30-020</x:v>
      </x:c>
      <x:c r="B399" s="65" t="str">
        <x:v>hybrid</x:v>
      </x:c>
      <x:c r="C399" s="88" t="n">
        <x:v>4</x:v>
      </x:c>
      <x:c r="D399" s="65" t="str">
        <x:v>permen-lhk-13-2021-cems</x:v>
      </x:c>
      <x:c r="E399" s="65" t="str">
        <x:v>permen-lhk-13-2021-cems:structure:0</x:v>
      </x:c>
      <x:c r="F399" s="65" t="str">
        <x:v>p.1</x:v>
      </x:c>
      <x:c r="G399" s="92" t="n">
        <x:v>0.01645161</x:v>
      </x:c>
      <x:c r="H399" s="65" t="str">
        <x:v>Permen LHK No. 13 Tahun 2021 — CEMS connectivity and emission monitoring</x:v>
      </x:c>
      <x:c r="I399" s="65" t="str">
        <x:v>Kementerian Lingkungan Hidup dan Kehutanan / Database Peraturan BPK</x:v>
      </x:c>
      <x:c r="J399" s="65" t="str">
        <x:v>The official BPK download URL identifies a 2021 Ministerial Environment and Forestry regulation. The PDF search extract exposes a CEMS connectivity test table with fields for stack code, emission source, CEMS brand, parameters and pass/fail connectivity result.</x:v>
      </x:c>
      <x:c r="K399" s="65" t="str">
        <x:v>https://peraturan.bpk.go.id/Download/288590/Permen%20LHK%20Nomor%2013%20Tahun%202021.pdf</x:v>
      </x:c>
      <x:c r="L399" s="65" t="n">
        <x:v>0</x:v>
      </x:c>
      <x:c r="M399" s="65" t="str">
        <x:v>Machine-suggested near-miss; human review required.</x:v>
      </x:c>
    </x:row>
    <x:row r="400" ht="42" customHeight="1">
      <x:c r="A400" s="65" t="str">
        <x:v>gold30-020</x:v>
      </x:c>
      <x:c r="B400" s="65" t="str">
        <x:v>hybrid</x:v>
      </x:c>
      <x:c r="C400" s="88" t="n">
        <x:v>5</x:v>
      </x:c>
      <x:c r="D400" s="65" t="str">
        <x:v>jakarta-historical-city-series</x:v>
      </x:c>
      <x:c r="E400" s="65" t="str">
        <x:v>jakarta-historical-city-series:structure:4</x:v>
      </x:c>
      <x:c r="F400" s="65" t="str">
        <x:v>p.5</x:v>
      </x:c>
      <x:c r="G400" s="92" t="n">
        <x:v>0.01639344</x:v>
      </x:c>
      <x:c r="H400" s="65" t="str">
        <x:v>Jakarta historical PM2.5 and PM10 series: provenance and quality</x:v>
      </x:c>
      <x:c r="I400" s="65" t="str">
        <x:v>Open-Meteo / CAMS Global; deposited dataset by Nitiraj Kulkarni and Jagadish Tawade</x:v>
      </x:c>
      <x:c r="J400"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400" s="65" t="str">
        <x:v>https://zenodo.org/records/18673885</x:v>
      </x:c>
      <x:c r="L400" s="65" t="n">
        <x:v>0</x:v>
      </x:c>
      <x:c r="M400" s="65" t="str">
        <x:v>Machine-suggested near-miss; human review required.</x:v>
      </x:c>
    </x:row>
    <x:row r="401" ht="42" customHeight="1">
      <x:c r="A401" s="65" t="str">
        <x:v>gold30-020</x:v>
      </x:c>
      <x:c r="B401" s="65" t="str">
        <x:v>hybrid_rerank</x:v>
      </x:c>
      <x:c r="C401" s="88" t="n">
        <x:v>1</x:v>
      </x:c>
      <x:c r="D401" s="65" t="str">
        <x:v>jakarta-improvements</x:v>
      </x:c>
      <x:c r="E401" s="65" t="str">
        <x:v>jakarta-improvements:structure:0</x:v>
      </x:c>
      <x:c r="F401" s="65" t="str">
        <x:v>p.1</x:v>
      </x:c>
      <x:c r="G401" s="92" t="n">
        <x:v>0.10933871</x:v>
      </x:c>
      <x:c r="H401" s="65" t="str">
        <x:v>Ways to improve Jakarta air quality</x:v>
      </x:c>
      <x:c r="I401" s="65" t="str">
        <x:v>Pemerintah Provinsi DKI Jakarta / Dinas Lingkungan Hidup</x:v>
      </x:c>
      <x:c r="J401"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01" s="65" t="str">
        <x:v>https://www.jakarta.go.id/page/upaya-bersama-jaga-kualitas-udara-jakarta</x:v>
      </x:c>
      <x:c r="L401" s="65" t="n">
        <x:v>0</x:v>
      </x:c>
      <x:c r="M401" s="65" t="str">
        <x:v>Machine-suggested near-miss; human review required.</x:v>
      </x:c>
    </x:row>
    <x:row r="402" ht="42" customHeight="1">
      <x:c r="A402" s="65" t="str">
        <x:v>gold30-020</x:v>
      </x:c>
      <x:c r="B402" s="65" t="str">
        <x:v>hybrid_rerank</x:v>
      </x:c>
      <x:c r="C402" s="88" t="n">
        <x:v>2</x:v>
      </x:c>
      <x:c r="D402" s="65" t="str">
        <x:v>jakarta-historical-city-series</x:v>
      </x:c>
      <x:c r="E402" s="65" t="str">
        <x:v>jakarta-historical-city-series:structure:4</x:v>
      </x:c>
      <x:c r="F402" s="65" t="str">
        <x:v>p.5</x:v>
      </x:c>
      <x:c r="G402" s="92" t="n">
        <x:v>0.10491803</x:v>
      </x:c>
      <x:c r="H402" s="65" t="str">
        <x:v>Jakarta historical PM2.5 and PM10 series: provenance and quality</x:v>
      </x:c>
      <x:c r="I402" s="65" t="str">
        <x:v>Open-Meteo / CAMS Global; deposited dataset by Nitiraj Kulkarni and Jagadish Tawade</x:v>
      </x:c>
      <x:c r="J402"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402" s="65" t="str">
        <x:v>https://zenodo.org/records/18673885</x:v>
      </x:c>
      <x:c r="L402" s="65" t="n">
        <x:v>0</x:v>
      </x:c>
      <x:c r="M402" s="65" t="str">
        <x:v>Machine-suggested near-miss; human review required.</x:v>
      </x:c>
    </x:row>
    <x:row r="403" ht="42" customHeight="1">
      <x:c r="A403" s="65" t="str">
        <x:v>gold30-020</x:v>
      </x:c>
      <x:c r="B403" s="65" t="str">
        <x:v>hybrid_rerank</x:v>
      </x:c>
      <x:c r="C403" s="88" t="n">
        <x:v>3</x:v>
      </x:c>
      <x:c r="D403" s="65" t="str">
        <x:v>jakarta-seasonal-exposure</x:v>
      </x:c>
      <x:c r="E403" s="65" t="str">
        <x:v>jakarta-seasonal-exposure:structure:0</x:v>
      </x:c>
      <x:c r="F403" s="65" t="str">
        <x:v>p.1</x:v>
      </x:c>
      <x:c r="G403" s="92" t="n">
        <x:v>0.1047619</x:v>
      </x:c>
      <x:c r="H403" s="65" t="str">
        <x:v>Jakarta timing and local exposure context</x:v>
      </x:c>
      <x:c r="I403" s="65" t="str">
        <x:v>Dinas Lingkungan Hidup DKI Jakarta</x:v>
      </x:c>
      <x:c r="J403" s="65" t="str">
        <x:v>Published: 2024-04-06 Status as of: 2026-09-07 (official seasonal notice; not a current forecast) Document type: official_public_guidance Tags: topic=exposure-protection; audience=Jakarta-resident; action=protect-now; pollutant=PM2.5</x:v>
      </x:c>
      <x:c r="K403" s="65" t="str">
        <x:v>https://lingkunganhidup.jakarta.go.id/detail-artikel/masuki-musim-kemarau-pemprov-dki-minta-masyarakat-waspadai-penurunan-kualitas-udara</x:v>
      </x:c>
      <x:c r="L403" s="65" t="n">
        <x:v>0</x:v>
      </x:c>
      <x:c r="M403" s="65" t="str">
        <x:v>Machine-suggested near-miss; human review required.</x:v>
      </x:c>
    </x:row>
    <x:row r="404" ht="42" customHeight="1">
      <x:c r="A404" s="65" t="str">
        <x:v>gold30-020</x:v>
      </x:c>
      <x:c r="B404" s="65" t="str">
        <x:v>hybrid_rerank</x:v>
      </x:c>
      <x:c r="C404" s="88" t="n">
        <x:v>4</x:v>
      </x:c>
      <x:c r="D404" s="65" t="str">
        <x:v>ispu</x:v>
      </x:c>
      <x:c r="E404" s="65" t="str">
        <x:v>ispu:structure:0</x:v>
      </x:c>
      <x:c r="F404" s="65" t="str">
        <x:v>p.1</x:v>
      </x:c>
      <x:c r="G404" s="92" t="n">
        <x:v>0.0087205</x:v>
      </x:c>
      <x:c r="H404" s="65" t="str">
        <x:v>Indonesian ISPU categories</x:v>
      </x:c>
      <x:c r="I404" s="65" t="str">
        <x:v>Ministry of Environment and Forestry</x:v>
      </x:c>
      <x:c r="J404" s="65" t="str">
        <x:v>The Indonesian ISPU categories used in this demo are Baik (1-50), Sedang (51-100), Tidak Sehat (101-200), Sangat Tidak Sehat (201-300), and Berbahaya (301 or higher). ISPU is an index without a physical concentration unit.</x:v>
      </x:c>
      <x:c r="K404" s="65" t="str">
        <x:v>https://peraturan.bpk.go.id/Details/163466/permen-lhk-no-14-tahun-2020</x:v>
      </x:c>
      <x:c r="L404" s="65" t="n">
        <x:v>0</x:v>
      </x:c>
      <x:c r="M404" s="65" t="str">
        <x:v>Machine-suggested near-miss; human review required.</x:v>
      </x:c>
    </x:row>
    <x:row r="405" ht="42" customHeight="1">
      <x:c r="A405" s="65" t="str">
        <x:v>gold30-020</x:v>
      </x:c>
      <x:c r="B405" s="65" t="str">
        <x:v>hybrid_rerank</x:v>
      </x:c>
      <x:c r="C405" s="88" t="n">
        <x:v>5</x:v>
      </x:c>
      <x:c r="D405" s="65" t="str">
        <x:v>pergub-66-2020-vehicle-testing</x:v>
      </x:c>
      <x:c r="E405" s="65" t="str">
        <x:v>pergub-66-2020-vehicle-testing:structure:0</x:v>
      </x:c>
      <x:c r="F405" s="65" t="str">
        <x:v>p.1</x:v>
      </x:c>
      <x:c r="G405" s="92" t="n">
        <x:v>0.00501639</x:v>
      </x:c>
      <x:c r="H405" s="65" t="str">
        <x:v>Pergub DKI Jakarta No. 66 Tahun 2020 — motor-vehicle emission testing</x:v>
      </x:c>
      <x:c r="I405" s="65" t="str">
        <x:v>Pemerintah Provinsi DKI Jakarta / Database Peraturan BPK</x:v>
      </x:c>
      <x:c r="J405" s="65" t="str">
        <x:v>Peraturan Gubernur Provinsi DKI Jakarta Nomor 66 Tahun 2020 is titled Uji Emisi Gas Buang Kendaraan Bermotor. The BPK record gives the adoption date as 22 July 2020, promulgation date as 24 July 2020, and effective date as 24 December 2020.</x:v>
      </x:c>
      <x:c r="K405" s="65" t="str">
        <x:v>https://peraturan.bpk.go.id/Details/153923/pergub-prov-dki-jakarta-no-66-tahun-2020</x:v>
      </x:c>
      <x:c r="L405" s="65" t="n">
        <x:v>0</x:v>
      </x:c>
      <x:c r="M405" s="65" t="str">
        <x:v>Machine-suggested near-miss; human review required.</x:v>
      </x:c>
    </x:row>
    <x:row r="406" ht="42" customHeight="1">
      <x:c r="A406" s="65" t="str">
        <x:v>gold30-021</x:v>
      </x:c>
      <x:c r="B406" s="65" t="str">
        <x:v>bm25</x:v>
      </x:c>
      <x:c r="C406" s="88" t="n">
        <x:v>1</x:v>
      </x:c>
      <x:c r="D406" s="65" t="str">
        <x:v>bad-air-day-protection</x:v>
      </x:c>
      <x:c r="E406" s="65" t="str">
        <x:v>bad-air-day-protection:structure:1</x:v>
      </x:c>
      <x:c r="F406" s="65" t="str">
        <x:v>p.2</x:v>
      </x:c>
      <x:c r="G406" s="92" t="n">
        <x:v>0.75</x:v>
      </x:c>
      <x:c r="H406" s="65" t="str">
        <x:v>Bad-air-day protection playbook</x:v>
      </x:c>
      <x:c r="I406" s="65" t="str">
        <x:v>World Health Organization, Regional Office for Europe</x:v>
      </x:c>
      <x:c r="J406"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406" s="65" t="str">
        <x:v>https://www.who.int/news-room/questions-and-answers/item/air-pollution-personal-interventions-and-risk-communication</x:v>
      </x:c>
      <x:c r="L406" s="65" t="n">
        <x:v>0</x:v>
      </x:c>
      <x:c r="M406" s="65" t="str">
        <x:v>Machine-suggested near-miss; human review required.</x:v>
      </x:c>
    </x:row>
    <x:row r="407" ht="42" customHeight="1">
      <x:c r="A407" s="65" t="str">
        <x:v>gold30-021</x:v>
      </x:c>
      <x:c r="B407" s="65" t="str">
        <x:v>bm25</x:v>
      </x:c>
      <x:c r="C407" s="88" t="n">
        <x:v>2</x:v>
      </x:c>
      <x:c r="D407" s="65" t="str">
        <x:v>who-personal-interventions-2024</x:v>
      </x:c>
      <x:c r="E407" s="65" t="str">
        <x:v>who-personal-interventions-2024:structure:3</x:v>
      </x:c>
      <x:c r="F407" s="65" t="str">
        <x:v>p.4</x:v>
      </x:c>
      <x:c r="G407" s="92" t="n">
        <x:v>0.625</x:v>
      </x:c>
      <x:c r="H407" s="65" t="str">
        <x:v>WHO personal interventions and risk communication (2024)</x:v>
      </x:c>
      <x:c r="I407" s="65" t="str">
        <x:v>World Health Organization</x:v>
      </x:c>
      <x:c r="J407" s="65" t="str">
        <x:v>Particulate respirators can reduce inhaled particles when they are appropriate for the pollutant and fit well. They do not filter every gas, fit varies, and they are not a substitute for reducing emissions. Advice for people with heart or lung disease should be individualized by…</x:v>
      </x:c>
      <x:c r="K407" s="65" t="str">
        <x:v>https://www.who.int/news-room/questions-and-answers/item/air-pollution-personal-interventions-and-risk-communication</x:v>
      </x:c>
      <x:c r="L407" s="65" t="n">
        <x:v>3</x:v>
      </x:c>
      <x:c r="M407" s="65" t="str">
        <x:v>Expected source for this question.</x:v>
      </x:c>
    </x:row>
    <x:row r="408" ht="42" customHeight="1">
      <x:c r="A408" s="65" t="str">
        <x:v>gold30-021</x:v>
      </x:c>
      <x:c r="B408" s="65" t="str">
        <x:v>bm25</x:v>
      </x:c>
      <x:c r="C408" s="88" t="n">
        <x:v>3</x:v>
      </x:c>
      <x:c r="D408" s="65" t="str">
        <x:v>clean-air-room</x:v>
      </x:c>
      <x:c r="E408" s="65" t="str">
        <x:v>clean-air-room:structure:2</x:v>
      </x:c>
      <x:c r="F408" s="65" t="str">
        <x:v>p.3</x:v>
      </x:c>
      <x:c r="G408" s="92" t="n">
        <x:v>0.5</x:v>
      </x:c>
      <x:c r="H408" s="65" t="str">
        <x:v>Indoor filtration and a clean-air room</x:v>
      </x:c>
      <x:c r="I408" s="65" t="str">
        <x:v>United States Environmental Protection Agency</x:v>
      </x:c>
      <x:c r="J408" s="65" t="str">
        <x:v>CADR is a particle-cleaning rate, not proof that a device removes gases. A particle filter/HEPA unit will not remove all pollutants; activated carbon can help with some gases only when there is enough sorbent material, and there is no widely used gas-performance rating. Avoid oz…</x:v>
      </x:c>
      <x:c r="K408" s="65" t="str">
        <x:v>https://www.epa.gov/indoor-air-quality-iaq/guide-air-cleaners-home</x:v>
      </x:c>
      <x:c r="L408" s="65" t="n">
        <x:v>0</x:v>
      </x:c>
      <x:c r="M408" s="65" t="str">
        <x:v>Machine-suggested near-miss; human review required.</x:v>
      </x:c>
    </x:row>
    <x:row r="409" ht="42" customHeight="1">
      <x:c r="A409" s="65" t="str">
        <x:v>gold30-021</x:v>
      </x:c>
      <x:c r="B409" s="65" t="str">
        <x:v>bm25</x:v>
      </x:c>
      <x:c r="C409" s="88" t="n">
        <x:v>4</x:v>
      </x:c>
      <x:c r="D409" s="65" t="str">
        <x:v>epa-air-cleaners-home-2026</x:v>
      </x:c>
      <x:c r="E409" s="65" t="str">
        <x:v>epa-air-cleaners-home-2026:structure:0</x:v>
      </x:c>
      <x:c r="F409" s="65" t="str">
        <x:v>p.1</x:v>
      </x:c>
      <x:c r="G409" s="92" t="n">
        <x:v>0.375</x:v>
      </x:c>
      <x:c r="H409" s="65" t="str">
        <x:v>US EPA Guide to Air Cleaners in the Home (2nd edition)</x:v>
      </x:c>
      <x:c r="I409" s="65" t="str">
        <x:v>United States Environmental Protection Agency</x:v>
      </x:c>
      <x:c r="J409" s="65" t="str">
        <x:v>The EPA guide discusses portable air cleaners, heating/ventilation and air-conditioning filters, indoor pollutant sources and practical limits. It is technical household guidance and should not be presented as a Jakarta regulation.</x:v>
      </x:c>
      <x:c r="K409" s="65" t="str">
        <x:v>https://www.epa.gov/indoor-air-quality-iaq/guide-air-cleaners-home</x:v>
      </x:c>
      <x:c r="L409" s="65" t="n">
        <x:v>0</x:v>
      </x:c>
      <x:c r="M409" s="65" t="str">
        <x:v>Machine-suggested near-miss; human review required.</x:v>
      </x:c>
    </x:row>
    <x:row r="410" ht="42" customHeight="1">
      <x:c r="A410" s="65" t="str">
        <x:v>gold30-021</x:v>
      </x:c>
      <x:c r="B410" s="65" t="str">
        <x:v>bm25</x:v>
      </x:c>
      <x:c r="C410" s="88" t="n">
        <x:v>5</x:v>
      </x:c>
      <x:c r="D410" s="65" t="str">
        <x:v>exposure-protection</x:v>
      </x:c>
      <x:c r="E410" s="65" t="str">
        <x:v>exposure-protection:structure:1</x:v>
      </x:c>
      <x:c r="F410" s="65" t="str">
        <x:v>p.2</x:v>
      </x:c>
      <x:c r="G410" s="92" t="n">
        <x:v>0.375</x:v>
      </x:c>
      <x:c r="H410" s="65" t="str">
        <x:v>Reducing personal exposure to air pollution</x:v>
      </x:c>
      <x:c r="I410" s="65" t="str">
        <x:v>World Health Organization</x:v>
      </x:c>
      <x:c r="J410"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410" s="65" t="str">
        <x:v>https://www.who.int/publications/i/item/9789240000278</x:v>
      </x:c>
      <x:c r="L410" s="65" t="n">
        <x:v>3</x:v>
      </x:c>
      <x:c r="M410" s="65" t="str">
        <x:v>Expected source for this question.</x:v>
      </x:c>
    </x:row>
    <x:row r="411" ht="42" customHeight="1">
      <x:c r="A411" s="65" t="str">
        <x:v>gold30-021</x:v>
      </x:c>
      <x:c r="B411" s="65" t="str">
        <x:v>dense</x:v>
      </x:c>
      <x:c r="C411" s="88" t="n">
        <x:v>1</x:v>
      </x:c>
      <x:c r="D411" s="65" t="str">
        <x:v>bad-air-day-protection</x:v>
      </x:c>
      <x:c r="E411" s="65" t="str">
        <x:v>bad-air-day-protection:structure:1</x:v>
      </x:c>
      <x:c r="F411" s="65" t="str">
        <x:v>p.2</x:v>
      </x:c>
      <x:c r="G411" s="92" t="n">
        <x:v>0.41856736</x:v>
      </x:c>
      <x:c r="H411" s="65" t="str">
        <x:v>Bad-air-day protection playbook</x:v>
      </x:c>
      <x:c r="I411" s="65" t="str">
        <x:v>World Health Organization, Regional Office for Europe</x:v>
      </x:c>
      <x:c r="J411"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411" s="65" t="str">
        <x:v>https://www.who.int/news-room/questions-and-answers/item/air-pollution-personal-interventions-and-risk-communication</x:v>
      </x:c>
      <x:c r="L411" s="65" t="n">
        <x:v>0</x:v>
      </x:c>
      <x:c r="M411" s="65" t="str">
        <x:v>Machine-suggested near-miss; human review required.</x:v>
      </x:c>
    </x:row>
    <x:row r="412" ht="42" customHeight="1">
      <x:c r="A412" s="65" t="str">
        <x:v>gold30-021</x:v>
      </x:c>
      <x:c r="B412" s="65" t="str">
        <x:v>dense</x:v>
      </x:c>
      <x:c r="C412" s="88" t="n">
        <x:v>2</x:v>
      </x:c>
      <x:c r="D412" s="65" t="str">
        <x:v>who-personal-interventions-2024</x:v>
      </x:c>
      <x:c r="E412" s="65" t="str">
        <x:v>who-personal-interventions-2024:structure:3</x:v>
      </x:c>
      <x:c r="F412" s="65" t="str">
        <x:v>p.4</x:v>
      </x:c>
      <x:c r="G412" s="92" t="n">
        <x:v>0.36396077</x:v>
      </x:c>
      <x:c r="H412" s="65" t="str">
        <x:v>WHO personal interventions and risk communication (2024)</x:v>
      </x:c>
      <x:c r="I412" s="65" t="str">
        <x:v>World Health Organization</x:v>
      </x:c>
      <x:c r="J412" s="65" t="str">
        <x:v>Particulate respirators can reduce inhaled particles when they are appropriate for the pollutant and fit well. They do not filter every gas, fit varies, and they are not a substitute for reducing emissions. Advice for people with heart or lung disease should be individualized by…</x:v>
      </x:c>
      <x:c r="K412" s="65" t="str">
        <x:v>https://www.who.int/news-room/questions-and-answers/item/air-pollution-personal-interventions-and-risk-communication</x:v>
      </x:c>
      <x:c r="L412" s="65" t="n">
        <x:v>3</x:v>
      </x:c>
      <x:c r="M412" s="65" t="str">
        <x:v>Expected source for this question.</x:v>
      </x:c>
    </x:row>
    <x:row r="413" ht="42" customHeight="1">
      <x:c r="A413" s="65" t="str">
        <x:v>gold30-021</x:v>
      </x:c>
      <x:c r="B413" s="65" t="str">
        <x:v>dense</x:v>
      </x:c>
      <x:c r="C413" s="88" t="n">
        <x:v>3</x:v>
      </x:c>
      <x:c r="D413" s="65" t="str">
        <x:v>exposure-protection</x:v>
      </x:c>
      <x:c r="E413" s="65" t="str">
        <x:v>exposure-protection:structure:1</x:v>
      </x:c>
      <x:c r="F413" s="65" t="str">
        <x:v>p.2</x:v>
      </x:c>
      <x:c r="G413" s="92" t="n">
        <x:v>0.33064397</x:v>
      </x:c>
      <x:c r="H413" s="65" t="str">
        <x:v>Reducing personal exposure to air pollution</x:v>
      </x:c>
      <x:c r="I413" s="65" t="str">
        <x:v>World Health Organization</x:v>
      </x:c>
      <x:c r="J413"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413" s="65" t="str">
        <x:v>https://www.who.int/publications/i/item/9789240000278</x:v>
      </x:c>
      <x:c r="L413" s="65" t="n">
        <x:v>3</x:v>
      </x:c>
      <x:c r="M413" s="65" t="str">
        <x:v>Expected source for this question.</x:v>
      </x:c>
    </x:row>
    <x:row r="414" ht="42" customHeight="1">
      <x:c r="A414" s="65" t="str">
        <x:v>gold30-021</x:v>
      </x:c>
      <x:c r="B414" s="65" t="str">
        <x:v>dense</x:v>
      </x:c>
      <x:c r="C414" s="88" t="n">
        <x:v>4</x:v>
      </x:c>
      <x:c r="D414" s="65" t="str">
        <x:v>pergub-66-2020-vehicle-testing</x:v>
      </x:c>
      <x:c r="E414" s="65" t="str">
        <x:v>pergub-66-2020-vehicle-testing:structure:2</x:v>
      </x:c>
      <x:c r="F414" s="65" t="str">
        <x:v>p.3</x:v>
      </x:c>
      <x:c r="G414" s="92" t="n">
        <x:v>0.3277634</x:v>
      </x:c>
      <x:c r="H414" s="65" t="str">
        <x:v>Pergub DKI Jakarta No. 66 Tahun 2020 — motor-vehicle emission testing</x:v>
      </x:c>
      <x:c r="I414" s="65" t="str">
        <x:v>Pemerintah Provinsi DKI Jakarta / Database Peraturan BPK</x:v>
      </x:c>
      <x:c r="J414" s="65" t="str">
        <x:v>The abstract says the regulation governs emission testing and exhaust gas by every motor-vehicle owner, together with inspection, supervision and control by the emission-test team. Its delayed effective date is six months after promulgation, rather than the promulgation date its…</x:v>
      </x:c>
      <x:c r="K414" s="65" t="str">
        <x:v>https://peraturan.bpk.go.id/Details/153923/pergub-prov-dki-jakarta-no-66-tahun-2020</x:v>
      </x:c>
      <x:c r="L414" s="65" t="n">
        <x:v>0</x:v>
      </x:c>
      <x:c r="M414" s="65" t="str">
        <x:v>Machine-suggested near-miss; human review required.</x:v>
      </x:c>
    </x:row>
    <x:row r="415" ht="42" customHeight="1">
      <x:c r="A415" s="65" t="str">
        <x:v>gold30-021</x:v>
      </x:c>
      <x:c r="B415" s="65" t="str">
        <x:v>dense</x:v>
      </x:c>
      <x:c r="C415" s="88" t="n">
        <x:v>5</x:v>
      </x:c>
      <x:c r="D415" s="65" t="str">
        <x:v>clean-air-room</x:v>
      </x:c>
      <x:c r="E415" s="65" t="str">
        <x:v>clean-air-room:structure:2</x:v>
      </x:c>
      <x:c r="F415" s="65" t="str">
        <x:v>p.3</x:v>
      </x:c>
      <x:c r="G415" s="92" t="n">
        <x:v>0.31668933</x:v>
      </x:c>
      <x:c r="H415" s="65" t="str">
        <x:v>Indoor filtration and a clean-air room</x:v>
      </x:c>
      <x:c r="I415" s="65" t="str">
        <x:v>United States Environmental Protection Agency</x:v>
      </x:c>
      <x:c r="J415" s="65" t="str">
        <x:v>CADR is a particle-cleaning rate, not proof that a device removes gases. A particle filter/HEPA unit will not remove all pollutants; activated carbon can help with some gases only when there is enough sorbent material, and there is no widely used gas-performance rating. Avoid oz…</x:v>
      </x:c>
      <x:c r="K415" s="65" t="str">
        <x:v>https://www.epa.gov/indoor-air-quality-iaq/guide-air-cleaners-home</x:v>
      </x:c>
      <x:c r="L415" s="65" t="n">
        <x:v>0</x:v>
      </x:c>
      <x:c r="M415" s="65" t="str">
        <x:v>Machine-suggested near-miss; human review required.</x:v>
      </x:c>
    </x:row>
    <x:row r="416" ht="42" customHeight="1">
      <x:c r="A416" s="65" t="str">
        <x:v>gold30-021</x:v>
      </x:c>
      <x:c r="B416" s="65" t="str">
        <x:v>hybrid</x:v>
      </x:c>
      <x:c r="C416" s="88" t="n">
        <x:v>1</x:v>
      </x:c>
      <x:c r="D416" s="65" t="str">
        <x:v>bad-air-day-protection</x:v>
      </x:c>
      <x:c r="E416" s="65" t="str">
        <x:v>bad-air-day-protection:structure:1</x:v>
      </x:c>
      <x:c r="F416" s="65" t="str">
        <x:v>p.2</x:v>
      </x:c>
      <x:c r="G416" s="92" t="n">
        <x:v>0.03311475</x:v>
      </x:c>
      <x:c r="H416" s="65" t="str">
        <x:v>Bad-air-day protection playbook</x:v>
      </x:c>
      <x:c r="I416" s="65" t="str">
        <x:v>World Health Organization, Regional Office for Europe</x:v>
      </x:c>
      <x:c r="J416"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416" s="65" t="str">
        <x:v>https://www.who.int/news-room/questions-and-answers/item/air-pollution-personal-interventions-and-risk-communication</x:v>
      </x:c>
      <x:c r="L416" s="65" t="n">
        <x:v>0</x:v>
      </x:c>
      <x:c r="M416" s="65" t="str">
        <x:v>Machine-suggested near-miss; human review required.</x:v>
      </x:c>
    </x:row>
    <x:row r="417" ht="42" customHeight="1">
      <x:c r="A417" s="65" t="str">
        <x:v>gold30-021</x:v>
      </x:c>
      <x:c r="B417" s="65" t="str">
        <x:v>hybrid</x:v>
      </x:c>
      <x:c r="C417" s="88" t="n">
        <x:v>2</x:v>
      </x:c>
      <x:c r="D417" s="65" t="str">
        <x:v>who-personal-interventions-2024</x:v>
      </x:c>
      <x:c r="E417" s="65" t="str">
        <x:v>who-personal-interventions-2024:structure:3</x:v>
      </x:c>
      <x:c r="F417" s="65" t="str">
        <x:v>p.4</x:v>
      </x:c>
      <x:c r="G417" s="92" t="n">
        <x:v>0.03258065</x:v>
      </x:c>
      <x:c r="H417" s="65" t="str">
        <x:v>WHO personal interventions and risk communication (2024)</x:v>
      </x:c>
      <x:c r="I417" s="65" t="str">
        <x:v>World Health Organization</x:v>
      </x:c>
      <x:c r="J417" s="65" t="str">
        <x:v>Particulate respirators can reduce inhaled particles when they are appropriate for the pollutant and fit well. They do not filter every gas, fit varies, and they are not a substitute for reducing emissions. Advice for people with heart or lung disease should be individualized by…</x:v>
      </x:c>
      <x:c r="K417" s="65" t="str">
        <x:v>https://www.who.int/news-room/questions-and-answers/item/air-pollution-personal-interventions-and-risk-communication</x:v>
      </x:c>
      <x:c r="L417" s="65" t="n">
        <x:v>3</x:v>
      </x:c>
      <x:c r="M417" s="65" t="str">
        <x:v>Expected source for this question.</x:v>
      </x:c>
    </x:row>
    <x:row r="418" ht="42" customHeight="1">
      <x:c r="A418" s="65" t="str">
        <x:v>gold30-021</x:v>
      </x:c>
      <x:c r="B418" s="65" t="str">
        <x:v>hybrid</x:v>
      </x:c>
      <x:c r="C418" s="88" t="n">
        <x:v>3</x:v>
      </x:c>
      <x:c r="D418" s="65" t="str">
        <x:v>exposure-protection</x:v>
      </x:c>
      <x:c r="E418" s="65" t="str">
        <x:v>exposure-protection:structure:1</x:v>
      </x:c>
      <x:c r="F418" s="65" t="str">
        <x:v>p.2</x:v>
      </x:c>
      <x:c r="G418" s="92" t="n">
        <x:v>0.03157509</x:v>
      </x:c>
      <x:c r="H418" s="65" t="str">
        <x:v>Reducing personal exposure to air pollution</x:v>
      </x:c>
      <x:c r="I418" s="65" t="str">
        <x:v>World Health Organization</x:v>
      </x:c>
      <x:c r="J418"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418" s="65" t="str">
        <x:v>https://www.who.int/publications/i/item/9789240000278</x:v>
      </x:c>
      <x:c r="L418" s="65" t="n">
        <x:v>3</x:v>
      </x:c>
      <x:c r="M418" s="65" t="str">
        <x:v>Expected source for this question.</x:v>
      </x:c>
    </x:row>
    <x:row r="419" ht="42" customHeight="1">
      <x:c r="A419" s="65" t="str">
        <x:v>gold30-021</x:v>
      </x:c>
      <x:c r="B419" s="65" t="str">
        <x:v>hybrid</x:v>
      </x:c>
      <x:c r="C419" s="88" t="n">
        <x:v>4</x:v>
      </x:c>
      <x:c r="D419" s="65" t="str">
        <x:v>clean-air-room</x:v>
      </x:c>
      <x:c r="E419" s="65" t="str">
        <x:v>clean-air-room:structure:2</x:v>
      </x:c>
      <x:c r="F419" s="65" t="str">
        <x:v>p.3</x:v>
      </x:c>
      <x:c r="G419" s="92" t="n">
        <x:v>0.03156532</x:v>
      </x:c>
      <x:c r="H419" s="65" t="str">
        <x:v>Indoor filtration and a clean-air room</x:v>
      </x:c>
      <x:c r="I419" s="65" t="str">
        <x:v>United States Environmental Protection Agency</x:v>
      </x:c>
      <x:c r="J419" s="65" t="str">
        <x:v>CADR is a particle-cleaning rate, not proof that a device removes gases. A particle filter/HEPA unit will not remove all pollutants; activated carbon can help with some gases only when there is enough sorbent material, and there is no widely used gas-performance rating. Avoid oz…</x:v>
      </x:c>
      <x:c r="K419" s="65" t="str">
        <x:v>https://www.epa.gov/indoor-air-quality-iaq/guide-air-cleaners-home</x:v>
      </x:c>
      <x:c r="L419" s="65" t="n">
        <x:v>0</x:v>
      </x:c>
      <x:c r="M419" s="65" t="str">
        <x:v>Machine-suggested near-miss; human review required.</x:v>
      </x:c>
    </x:row>
    <x:row r="420" ht="42" customHeight="1">
      <x:c r="A420" s="65" t="str">
        <x:v>gold30-021</x:v>
      </x:c>
      <x:c r="B420" s="65" t="str">
        <x:v>hybrid</x:v>
      </x:c>
      <x:c r="C420" s="88" t="n">
        <x:v>5</x:v>
      </x:c>
      <x:c r="D420" s="65" t="str">
        <x:v>policy-improvements-evidence</x:v>
      </x:c>
      <x:c r="E420" s="65" t="str">
        <x:v>policy-improvements-evidence:structure:2</x:v>
      </x:c>
      <x:c r="F420" s="65" t="str">
        <x:v>p.3</x:v>
      </x:c>
      <x:c r="G420" s="92" t="n">
        <x:v>0.0299473</x:v>
      </x:c>
      <x:c r="H420" s="65" t="str">
        <x:v>Evidence-based policy improvements for Jakarta</x:v>
      </x:c>
      <x:c r="I420" s="65" t="str">
        <x:v>Dinas Lingkungan Hidup DKI Jakarta; World Health Organization</x:v>
      </x:c>
      <x:c r="J42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420" s="65" t="str">
        <x:v>https://www.jakarta.go.id/siaran-pers/4802-SP-HMS-06-2024</x:v>
      </x:c>
      <x:c r="L420" s="65" t="n">
        <x:v>0</x:v>
      </x:c>
      <x:c r="M420" s="65" t="str">
        <x:v>Machine-suggested near-miss; human review required.</x:v>
      </x:c>
    </x:row>
    <x:row r="421" ht="42" customHeight="1">
      <x:c r="A421" s="65" t="str">
        <x:v>gold30-021</x:v>
      </x:c>
      <x:c r="B421" s="65" t="str">
        <x:v>hybrid_rerank</x:v>
      </x:c>
      <x:c r="C421" s="88" t="n">
        <x:v>1</x:v>
      </x:c>
      <x:c r="D421" s="65" t="str">
        <x:v>bad-air-day-protection</x:v>
      </x:c>
      <x:c r="E421" s="65" t="str">
        <x:v>bad-air-day-protection:structure:1</x:v>
      </x:c>
      <x:c r="F421" s="65" t="str">
        <x:v>p.2</x:v>
      </x:c>
      <x:c r="G421" s="92" t="n">
        <x:v>0.53493443</x:v>
      </x:c>
      <x:c r="H421" s="65" t="str">
        <x:v>Bad-air-day protection playbook</x:v>
      </x:c>
      <x:c r="I421" s="65" t="str">
        <x:v>World Health Organization, Regional Office for Europe</x:v>
      </x:c>
      <x:c r="J421"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421" s="65" t="str">
        <x:v>https://www.who.int/news-room/questions-and-answers/item/air-pollution-personal-interventions-and-risk-communication</x:v>
      </x:c>
      <x:c r="L421" s="65" t="n">
        <x:v>0</x:v>
      </x:c>
      <x:c r="M421" s="65" t="str">
        <x:v>Machine-suggested near-miss; human review required.</x:v>
      </x:c>
    </x:row>
    <x:row r="422" ht="42" customHeight="1">
      <x:c r="A422" s="65" t="str">
        <x:v>gold30-021</x:v>
      </x:c>
      <x:c r="B422" s="65" t="str">
        <x:v>hybrid_rerank</x:v>
      </x:c>
      <x:c r="C422" s="88" t="n">
        <x:v>2</x:v>
      </x:c>
      <x:c r="D422" s="65" t="str">
        <x:v>who-personal-interventions-2024</x:v>
      </x:c>
      <x:c r="E422" s="65" t="str">
        <x:v>who-personal-interventions-2024:structure:3</x:v>
      </x:c>
      <x:c r="F422" s="65" t="str">
        <x:v>p.4</x:v>
      </x:c>
      <x:c r="G422" s="92" t="n">
        <x:v>0.44727419</x:v>
      </x:c>
      <x:c r="H422" s="65" t="str">
        <x:v>WHO personal interventions and risk communication (2024)</x:v>
      </x:c>
      <x:c r="I422" s="65" t="str">
        <x:v>World Health Organization</x:v>
      </x:c>
      <x:c r="J422" s="65" t="str">
        <x:v>Particulate respirators can reduce inhaled particles when they are appropriate for the pollutant and fit well. They do not filter every gas, fit varies, and they are not a substitute for reducing emissions. Advice for people with heart or lung disease should be individualized by…</x:v>
      </x:c>
      <x:c r="K422" s="65" t="str">
        <x:v>https://www.who.int/news-room/questions-and-answers/item/air-pollution-personal-interventions-and-risk-communication</x:v>
      </x:c>
      <x:c r="L422" s="65" t="n">
        <x:v>3</x:v>
      </x:c>
      <x:c r="M422" s="65" t="str">
        <x:v>Expected source for this question.</x:v>
      </x:c>
    </x:row>
    <x:row r="423" ht="42" customHeight="1">
      <x:c r="A423" s="65" t="str">
        <x:v>gold30-021</x:v>
      </x:c>
      <x:c r="B423" s="65" t="str">
        <x:v>hybrid_rerank</x:v>
      </x:c>
      <x:c r="C423" s="88" t="n">
        <x:v>3</x:v>
      </x:c>
      <x:c r="D423" s="65" t="str">
        <x:v>clean-air-room</x:v>
      </x:c>
      <x:c r="E423" s="65" t="str">
        <x:v>clean-air-room:structure:2</x:v>
      </x:c>
      <x:c r="F423" s="65" t="str">
        <x:v>p.3</x:v>
      </x:c>
      <x:c r="G423" s="92" t="n">
        <x:v>0.3594696</x:v>
      </x:c>
      <x:c r="H423" s="65" t="str">
        <x:v>Indoor filtration and a clean-air room</x:v>
      </x:c>
      <x:c r="I423" s="65" t="str">
        <x:v>United States Environmental Protection Agency</x:v>
      </x:c>
      <x:c r="J423" s="65" t="str">
        <x:v>CADR is a particle-cleaning rate, not proof that a device removes gases. A particle filter/HEPA unit will not remove all pollutants; activated carbon can help with some gases only when there is enough sorbent material, and there is no widely used gas-performance rating. Avoid oz…</x:v>
      </x:c>
      <x:c r="K423" s="65" t="str">
        <x:v>https://www.epa.gov/indoor-air-quality-iaq/guide-air-cleaners-home</x:v>
      </x:c>
      <x:c r="L423" s="65" t="n">
        <x:v>0</x:v>
      </x:c>
      <x:c r="M423" s="65" t="str">
        <x:v>Machine-suggested near-miss; human review required.</x:v>
      </x:c>
    </x:row>
    <x:row r="424" ht="42" customHeight="1">
      <x:c r="A424" s="65" t="str">
        <x:v>gold30-021</x:v>
      </x:c>
      <x:c r="B424" s="65" t="str">
        <x:v>hybrid_rerank</x:v>
      </x:c>
      <x:c r="C424" s="88" t="n">
        <x:v>4</x:v>
      </x:c>
      <x:c r="D424" s="65" t="str">
        <x:v>exposure-protection</x:v>
      </x:c>
      <x:c r="E424" s="65" t="str">
        <x:v>exposure-protection:structure:1</x:v>
      </x:c>
      <x:c r="F424" s="65" t="str">
        <x:v>p.2</x:v>
      </x:c>
      <x:c r="G424" s="92" t="n">
        <x:v>0.27197253</x:v>
      </x:c>
      <x:c r="H424" s="65" t="str">
        <x:v>Reducing personal exposure to air pollution</x:v>
      </x:c>
      <x:c r="I424" s="65" t="str">
        <x:v>World Health Organization</x:v>
      </x:c>
      <x:c r="J424"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424" s="65" t="str">
        <x:v>https://www.who.int/publications/i/item/9789240000278</x:v>
      </x:c>
      <x:c r="L424" s="65" t="n">
        <x:v>3</x:v>
      </x:c>
      <x:c r="M424" s="65" t="str">
        <x:v>Expected source for this question.</x:v>
      </x:c>
    </x:row>
    <x:row r="425" ht="42" customHeight="1">
      <x:c r="A425" s="65" t="str">
        <x:v>gold30-021</x:v>
      </x:c>
      <x:c r="B425" s="65" t="str">
        <x:v>hybrid_rerank</x:v>
      </x:c>
      <x:c r="C425" s="88" t="n">
        <x:v>5</x:v>
      </x:c>
      <x:c r="D425" s="65" t="str">
        <x:v>pp-22-2021-air-quality</x:v>
      </x:c>
      <x:c r="E425" s="65" t="str">
        <x:v>pp-22-2021-air-quality:structure:0</x:v>
      </x:c>
      <x:c r="F425" s="65" t="str">
        <x:v>p.1</x:v>
      </x:c>
      <x:c r="G425" s="92" t="n">
        <x:v>0.27134904</x:v>
      </x:c>
      <x:c r="H425" s="65" t="str">
        <x:v>PP No. 22 Tahun 2021 — environmental protection and ambient air quality</x:v>
      </x:c>
      <x:c r="I425" s="65" t="str">
        <x:v>Pemerintah Republik Indonesia / Database Peraturan BPK</x:v>
      </x:c>
      <x:c r="J425"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425" s="65" t="str">
        <x:v>https://peraturan.bpk.go.id/Details/161852/pp-no-22tahun-2021</x:v>
      </x:c>
      <x:c r="L425" s="65" t="n">
        <x:v>0</x:v>
      </x:c>
      <x:c r="M425" s="65" t="str">
        <x:v>Machine-suggested near-miss; human review required.</x:v>
      </x:c>
    </x:row>
    <x:row r="426" ht="42" customHeight="1">
      <x:c r="A426" s="65" t="str">
        <x:v>gold30-022</x:v>
      </x:c>
      <x:c r="B426" s="65" t="str">
        <x:v>bm25</x:v>
      </x:c>
      <x:c r="C426" s="88" t="n">
        <x:v>1</x:v>
      </x:c>
      <x:c r="D426" s="65" t="str">
        <x:v>pergub-66-2020-vehicle-testing</x:v>
      </x:c>
      <x:c r="E426" s="65" t="str">
        <x:v>pergub-66-2020-vehicle-testing:structure:0</x:v>
      </x:c>
      <x:c r="F426" s="65" t="str">
        <x:v>p.1</x:v>
      </x:c>
      <x:c r="G426" s="92" t="n">
        <x:v>0.33333333</x:v>
      </x:c>
      <x:c r="H426" s="65" t="str">
        <x:v>Pergub DKI Jakarta No. 66 Tahun 2020 — motor-vehicle emission testing</x:v>
      </x:c>
      <x:c r="I426" s="65" t="str">
        <x:v>Pemerintah Provinsi DKI Jakarta / Database Peraturan BPK</x:v>
      </x:c>
      <x:c r="J426" s="65" t="str">
        <x:v>Peraturan Gubernur Provinsi DKI Jakarta Nomor 66 Tahun 2020 is titled Uji Emisi Gas Buang Kendaraan Bermotor. The BPK record gives the adoption date as 22 July 2020, promulgation date as 24 July 2020, and effective date as 24 December 2020.</x:v>
      </x:c>
      <x:c r="K426" s="65" t="str">
        <x:v>https://peraturan.bpk.go.id/Details/153923/pergub-prov-dki-jakarta-no-66-tahun-2020</x:v>
      </x:c>
      <x:c r="L426" s="65" t="n">
        <x:v>0</x:v>
      </x:c>
      <x:c r="M426" s="65" t="str">
        <x:v>Machine-suggested near-miss; human review required.</x:v>
      </x:c>
    </x:row>
    <x:row r="427" ht="42" customHeight="1">
      <x:c r="A427" s="65" t="str">
        <x:v>gold30-022</x:v>
      </x:c>
      <x:c r="B427" s="65" t="str">
        <x:v>bm25</x:v>
      </x:c>
      <x:c r="C427" s="88" t="n">
        <x:v>2</x:v>
      </x:c>
      <x:c r="D427" s="65" t="str">
        <x:v>bad-air-day-protection</x:v>
      </x:c>
      <x:c r="E427" s="65" t="str">
        <x:v>bad-air-day-protection:structure:0</x:v>
      </x:c>
      <x:c r="F427" s="65" t="str">
        <x:v>p.1</x:v>
      </x:c>
      <x:c r="G427" s="92" t="n">
        <x:v>0</x:v>
      </x:c>
      <x:c r="H427" s="65" t="str">
        <x:v>Bad-air-day protection playbook</x:v>
      </x:c>
      <x:c r="I427" s="65" t="str">
        <x:v>World Health Organization, Regional Office for Europe</x:v>
      </x:c>
      <x:c r="J427" s="65" t="str">
        <x:v>Published: 2024-10-04 Status as of: 2026-09-07 (health guidance; not Indonesian law) Document type: health_guidance Tags: topic=exposure-protection; audience=Jakarta-resident; action=protect-now; pollutant=ambient-particles</x:v>
      </x:c>
      <x:c r="K427" s="65" t="str">
        <x:v>https://www.who.int/news-room/questions-and-answers/item/air-pollution-personal-interventions-and-risk-communication</x:v>
      </x:c>
      <x:c r="L427" s="65" t="n">
        <x:v>0</x:v>
      </x:c>
      <x:c r="M427" s="65" t="str">
        <x:v>Machine-suggested near-miss; human review required.</x:v>
      </x:c>
    </x:row>
    <x:row r="428" ht="42" customHeight="1">
      <x:c r="A428" s="65" t="str">
        <x:v>gold30-022</x:v>
      </x:c>
      <x:c r="B428" s="65" t="str">
        <x:v>bm25</x:v>
      </x:c>
      <x:c r="C428" s="88" t="n">
        <x:v>3</x:v>
      </x:c>
      <x:c r="D428" s="65" t="str">
        <x:v>clean-air-room</x:v>
      </x:c>
      <x:c r="E428" s="65" t="str">
        <x:v>clean-air-room:structure:0</x:v>
      </x:c>
      <x:c r="F428" s="65" t="str">
        <x:v>p.1</x:v>
      </x:c>
      <x:c r="G428" s="92" t="n">
        <x:v>0</x:v>
      </x:c>
      <x:c r="H428" s="65" t="str">
        <x:v>Indoor filtration and a clean-air room</x:v>
      </x:c>
      <x:c r="I428" s="65" t="str">
        <x:v>United States Environmental Protection Agency</x:v>
      </x:c>
      <x:c r="J428" s="65" t="str">
        <x:v>Published: not stated; page last updated 2026-02-17 (accessed 2026-09-07) Status as of: 2026-09-07 (technical guidance; not Indonesian law) Document type: indoor_air_guidance Tags: topic=indoor-filtration; audience=household; action=protect-now; pollutant=particles</x:v>
      </x:c>
      <x:c r="K428" s="65" t="str">
        <x:v>https://www.epa.gov/indoor-air-quality-iaq/guide-air-cleaners-home</x:v>
      </x:c>
      <x:c r="L428" s="65" t="n">
        <x:v>0</x:v>
      </x:c>
      <x:c r="M428" s="65" t="str">
        <x:v>Machine-suggested near-miss; human review required.</x:v>
      </x:c>
    </x:row>
    <x:row r="429" ht="42" customHeight="1">
      <x:c r="A429" s="65" t="str">
        <x:v>gold30-022</x:v>
      </x:c>
      <x:c r="B429" s="65" t="str">
        <x:v>bm25</x:v>
      </x:c>
      <x:c r="C429" s="88" t="n">
        <x:v>4</x:v>
      </x:c>
      <x:c r="D429" s="65" t="str">
        <x:v>epa-air-cleaners-home-2026</x:v>
      </x:c>
      <x:c r="E429" s="65" t="str">
        <x:v>epa-air-cleaners-home-2026:structure:0</x:v>
      </x:c>
      <x:c r="F429" s="65" t="str">
        <x:v>p.1</x:v>
      </x:c>
      <x:c r="G429" s="92" t="n">
        <x:v>0</x:v>
      </x:c>
      <x:c r="H429" s="65" t="str">
        <x:v>US EPA Guide to Air Cleaners in the Home (2nd edition)</x:v>
      </x:c>
      <x:c r="I429" s="65" t="str">
        <x:v>United States Environmental Protection Agency</x:v>
      </x:c>
      <x:c r="J429" s="65" t="str">
        <x:v>The EPA guide discusses portable air cleaners, heating/ventilation and air-conditioning filters, indoor pollutant sources and practical limits. It is technical household guidance and should not be presented as a Jakarta regulation.</x:v>
      </x:c>
      <x:c r="K429" s="65" t="str">
        <x:v>https://www.epa.gov/indoor-air-quality-iaq/guide-air-cleaners-home</x:v>
      </x:c>
      <x:c r="L429" s="65" t="n">
        <x:v>0</x:v>
      </x:c>
      <x:c r="M429" s="65" t="str">
        <x:v>Machine-suggested near-miss; human review required.</x:v>
      </x:c>
    </x:row>
    <x:row r="430" ht="42" customHeight="1">
      <x:c r="A430" s="65" t="str">
        <x:v>gold30-022</x:v>
      </x:c>
      <x:c r="B430" s="65" t="str">
        <x:v>bm25</x:v>
      </x:c>
      <x:c r="C430" s="88" t="n">
        <x:v>5</x:v>
      </x:c>
      <x:c r="D430" s="65" t="str">
        <x:v>exposure-protection</x:v>
      </x:c>
      <x:c r="E430" s="65" t="str">
        <x:v>exposure-protection:structure:0</x:v>
      </x:c>
      <x:c r="F430" s="65" t="str">
        <x:v>p.1</x:v>
      </x:c>
      <x:c r="G430" s="92" t="n">
        <x:v>0</x:v>
      </x:c>
      <x:c r="H430" s="65" t="str">
        <x:v>Reducing personal exposure to air pollution</x:v>
      </x:c>
      <x:c r="I430" s="65" t="str">
        <x:v>World Health Organization</x:v>
      </x:c>
      <x:c r="J430"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30" s="65" t="str">
        <x:v>https://www.who.int/publications/i/item/9789240000278</x:v>
      </x:c>
      <x:c r="L430" s="65" t="n">
        <x:v>0</x:v>
      </x:c>
      <x:c r="M430" s="65" t="str">
        <x:v>Machine-suggested near-miss; human review required.</x:v>
      </x:c>
    </x:row>
    <x:row r="431" ht="42" customHeight="1">
      <x:c r="A431" s="65" t="str">
        <x:v>gold30-022</x:v>
      </x:c>
      <x:c r="B431" s="65" t="str">
        <x:v>dense</x:v>
      </x:c>
      <x:c r="C431" s="88" t="n">
        <x:v>1</x:v>
      </x:c>
      <x:c r="D431" s="65" t="str">
        <x:v>permen-lhk-8-2023-vehicle-emissions</x:v>
      </x:c>
      <x:c r="E431" s="65" t="str">
        <x:v>permen-lhk-8-2023-vehicle-emissions:structure:0</x:v>
      </x:c>
      <x:c r="F431" s="65" t="str">
        <x:v>p.1</x:v>
      </x:c>
      <x:c r="G431" s="92" t="n">
        <x:v>0.15135682</x:v>
      </x:c>
      <x:c r="H431" s="65" t="str">
        <x:v>Permen LHK No. 8 Tahun 2023 — vehicle emission standards and testing</x:v>
      </x:c>
      <x:c r="I431" s="65" t="str">
        <x:v>Kementerian Lingkungan Hidup dan Kehutanan / Database Peraturan BPK</x:v>
      </x:c>
      <x:c r="J431"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431" s="65" t="str">
        <x:v>https://peraturan.bpk.go.id/Details/262504/permen-lhk-no-8-tahun-2023</x:v>
      </x:c>
      <x:c r="L431" s="65" t="n">
        <x:v>0</x:v>
      </x:c>
      <x:c r="M431" s="65" t="str">
        <x:v>Machine-suggested near-miss; human review required.</x:v>
      </x:c>
    </x:row>
    <x:row r="432" ht="42" customHeight="1">
      <x:c r="A432" s="65" t="str">
        <x:v>gold30-022</x:v>
      </x:c>
      <x:c r="B432" s="65" t="str">
        <x:v>dense</x:v>
      </x:c>
      <x:c r="C432" s="88" t="n">
        <x:v>2</x:v>
      </x:c>
      <x:c r="D432" s="65" t="str">
        <x:v>jakarta-historical-city-series</x:v>
      </x:c>
      <x:c r="E432" s="65" t="str">
        <x:v>jakarta-historical-city-series:structure:0</x:v>
      </x:c>
      <x:c r="F432" s="65" t="str">
        <x:v>p.1</x:v>
      </x:c>
      <x:c r="G432" s="92" t="n">
        <x:v>0.13709387</x:v>
      </x:c>
      <x:c r="H432" s="65" t="str">
        <x:v>Jakarta historical PM2.5 and PM10 series: provenance and quality</x:v>
      </x:c>
      <x:c r="I432" s="65" t="str">
        <x:v>Open-Meteo / CAMS Global; deposited dataset by Nitiraj Kulkarni and Jagadish Tawade</x:v>
      </x:c>
      <x:c r="J432" s="65" t="str">
        <x:v>API source: https://air-quality-api.open-meteo.com/v1/air-quality Retrieved: 2026-09-07</x:v>
      </x:c>
      <x:c r="K432" s="65" t="str">
        <x:v>https://zenodo.org/records/18673885</x:v>
      </x:c>
      <x:c r="L432" s="65" t="n">
        <x:v>0</x:v>
      </x:c>
      <x:c r="M432" s="65" t="str">
        <x:v>Machine-suggested near-miss; human review required.</x:v>
      </x:c>
    </x:row>
    <x:row r="433" ht="42" customHeight="1">
      <x:c r="A433" s="65" t="str">
        <x:v>gold30-022</x:v>
      </x:c>
      <x:c r="B433" s="65" t="str">
        <x:v>dense</x:v>
      </x:c>
      <x:c r="C433" s="88" t="n">
        <x:v>3</x:v>
      </x:c>
      <x:c r="D433" s="65" t="str">
        <x:v>pp-22-2021-air-quality</x:v>
      </x:c>
      <x:c r="E433" s="65" t="str">
        <x:v>pp-22-2021-air-quality:structure:0</x:v>
      </x:c>
      <x:c r="F433" s="65" t="str">
        <x:v>p.1</x:v>
      </x:c>
      <x:c r="G433" s="92" t="n">
        <x:v>0.13092482</x:v>
      </x:c>
      <x:c r="H433" s="65" t="str">
        <x:v>PP No. 22 Tahun 2021 — environmental protection and ambient air quality</x:v>
      </x:c>
      <x:c r="I433" s="65" t="str">
        <x:v>Pemerintah Republik Indonesia / Database Peraturan BPK</x:v>
      </x:c>
      <x:c r="J433"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433" s="65" t="str">
        <x:v>https://peraturan.bpk.go.id/Details/161852/pp-no-22tahun-2021</x:v>
      </x:c>
      <x:c r="L433" s="65" t="n">
        <x:v>0</x:v>
      </x:c>
      <x:c r="M433" s="65" t="str">
        <x:v>Machine-suggested near-miss; human review required.</x:v>
      </x:c>
    </x:row>
    <x:row r="434" ht="42" customHeight="1">
      <x:c r="A434" s="65" t="str">
        <x:v>gold30-022</x:v>
      </x:c>
      <x:c r="B434" s="65" t="str">
        <x:v>dense</x:v>
      </x:c>
      <x:c r="C434" s="88" t="n">
        <x:v>4</x:v>
      </x:c>
      <x:c r="D434" s="65" t="str">
        <x:v>pergub-66-2020-vehicle-testing</x:v>
      </x:c>
      <x:c r="E434" s="65" t="str">
        <x:v>pergub-66-2020-vehicle-testing:structure:0</x:v>
      </x:c>
      <x:c r="F434" s="65" t="str">
        <x:v>p.1</x:v>
      </x:c>
      <x:c r="G434" s="92" t="n">
        <x:v>0.12833553</x:v>
      </x:c>
      <x:c r="H434" s="65" t="str">
        <x:v>Pergub DKI Jakarta No. 66 Tahun 2020 — motor-vehicle emission testing</x:v>
      </x:c>
      <x:c r="I434" s="65" t="str">
        <x:v>Pemerintah Provinsi DKI Jakarta / Database Peraturan BPK</x:v>
      </x:c>
      <x:c r="J434" s="65" t="str">
        <x:v>Peraturan Gubernur Provinsi DKI Jakarta Nomor 66 Tahun 2020 is titled Uji Emisi Gas Buang Kendaraan Bermotor. The BPK record gives the adoption date as 22 July 2020, promulgation date as 24 July 2020, and effective date as 24 December 2020.</x:v>
      </x:c>
      <x:c r="K434" s="65" t="str">
        <x:v>https://peraturan.bpk.go.id/Details/153923/pergub-prov-dki-jakarta-no-66-tahun-2020</x:v>
      </x:c>
      <x:c r="L434" s="65" t="n">
        <x:v>0</x:v>
      </x:c>
      <x:c r="M434" s="65" t="str">
        <x:v>Machine-suggested near-miss; human review required.</x:v>
      </x:c>
    </x:row>
    <x:row r="435" ht="42" customHeight="1">
      <x:c r="A435" s="65" t="str">
        <x:v>gold30-022</x:v>
      </x:c>
      <x:c r="B435" s="65" t="str">
        <x:v>dense</x:v>
      </x:c>
      <x:c r="C435" s="88" t="n">
        <x:v>5</x:v>
      </x:c>
      <x:c r="D435" s="65" t="str">
        <x:v>permen-lhk-13-2021-cems</x:v>
      </x:c>
      <x:c r="E435" s="65" t="str">
        <x:v>permen-lhk-13-2021-cems:structure:0</x:v>
      </x:c>
      <x:c r="F435" s="65" t="str">
        <x:v>p.1</x:v>
      </x:c>
      <x:c r="G435" s="92" t="n">
        <x:v>0.11528781</x:v>
      </x:c>
      <x:c r="H435" s="65" t="str">
        <x:v>Permen LHK No. 13 Tahun 2021 — CEMS connectivity and emission monitoring</x:v>
      </x:c>
      <x:c r="I435" s="65" t="str">
        <x:v>Kementerian Lingkungan Hidup dan Kehutanan / Database Peraturan BPK</x:v>
      </x:c>
      <x:c r="J435" s="65" t="str">
        <x:v>The official BPK download URL identifies a 2021 Ministerial Environment and Forestry regulation. The PDF search extract exposes a CEMS connectivity test table with fields for stack code, emission source, CEMS brand, parameters and pass/fail connectivity result.</x:v>
      </x:c>
      <x:c r="K435" s="65" t="str">
        <x:v>https://peraturan.bpk.go.id/Download/288590/Permen%20LHK%20Nomor%2013%20Tahun%202021.pdf</x:v>
      </x:c>
      <x:c r="L435" s="65" t="n">
        <x:v>0</x:v>
      </x:c>
      <x:c r="M435" s="65" t="str">
        <x:v>Machine-suggested near-miss; human review required.</x:v>
      </x:c>
    </x:row>
    <x:row r="436" ht="42" customHeight="1">
      <x:c r="A436" s="65" t="str">
        <x:v>gold30-022</x:v>
      </x:c>
      <x:c r="B436" s="65" t="str">
        <x:v>hybrid</x:v>
      </x:c>
      <x:c r="C436" s="88" t="n">
        <x:v>1</x:v>
      </x:c>
      <x:c r="D436" s="65" t="str">
        <x:v>pergub-66-2020-vehicle-testing</x:v>
      </x:c>
      <x:c r="E436" s="65" t="str">
        <x:v>pergub-66-2020-vehicle-testing:structure:0</x:v>
      </x:c>
      <x:c r="F436" s="65" t="str">
        <x:v>p.1</x:v>
      </x:c>
      <x:c r="G436" s="92" t="n">
        <x:v>0.03233094</x:v>
      </x:c>
      <x:c r="H436" s="65" t="str">
        <x:v>Pergub DKI Jakarta No. 66 Tahun 2020 — motor-vehicle emission testing</x:v>
      </x:c>
      <x:c r="I436" s="65" t="str">
        <x:v>Pemerintah Provinsi DKI Jakarta / Database Peraturan BPK</x:v>
      </x:c>
      <x:c r="J436" s="65" t="str">
        <x:v>Peraturan Gubernur Provinsi DKI Jakarta Nomor 66 Tahun 2020 is titled Uji Emisi Gas Buang Kendaraan Bermotor. The BPK record gives the adoption date as 22 July 2020, promulgation date as 24 July 2020, and effective date as 24 December 2020.</x:v>
      </x:c>
      <x:c r="K436" s="65" t="str">
        <x:v>https://peraturan.bpk.go.id/Details/153923/pergub-prov-dki-jakarta-no-66-tahun-2020</x:v>
      </x:c>
      <x:c r="L436" s="65" t="n">
        <x:v>0</x:v>
      </x:c>
      <x:c r="M436" s="65" t="str">
        <x:v>Machine-suggested near-miss; human review required.</x:v>
      </x:c>
    </x:row>
    <x:row r="437" ht="42" customHeight="1">
      <x:c r="A437" s="65" t="str">
        <x:v>gold30-022</x:v>
      </x:c>
      <x:c r="B437" s="65" t="str">
        <x:v>hybrid</x:v>
      </x:c>
      <x:c r="C437" s="88" t="n">
        <x:v>2</x:v>
      </x:c>
      <x:c r="D437" s="65" t="str">
        <x:v>jakarta-causes</x:v>
      </x:c>
      <x:c r="E437" s="65" t="str">
        <x:v>jakarta-causes:structure:0</x:v>
      </x:c>
      <x:c r="F437" s="65" t="str">
        <x:v>p.1</x:v>
      </x:c>
      <x:c r="G437" s="92" t="n">
        <x:v>0.02927536</x:v>
      </x:c>
      <x:c r="H437" s="65" t="str">
        <x:v>What causes Jakarta air pollution</x:v>
      </x:c>
      <x:c r="I437" s="65" t="str">
        <x:v>Dinas Lingkungan Hidup DKI Jakarta / Vital Strategies / ITB</x:v>
      </x:c>
      <x:c r="J437"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437" s="65" t="str">
        <x:v>https://rendahemisi.jakarta.go.id/learn</x:v>
      </x:c>
      <x:c r="L437" s="65" t="n">
        <x:v>0</x:v>
      </x:c>
      <x:c r="M437" s="65" t="str">
        <x:v>Machine-suggested near-miss; human review required.</x:v>
      </x:c>
    </x:row>
    <x:row r="438" ht="42" customHeight="1">
      <x:c r="A438" s="65" t="str">
        <x:v>gold30-022</x:v>
      </x:c>
      <x:c r="B438" s="65" t="str">
        <x:v>hybrid</x:v>
      </x:c>
      <x:c r="C438" s="88" t="n">
        <x:v>3</x:v>
      </x:c>
      <x:c r="D438" s="65" t="str">
        <x:v>permen-lhk-8-2023-vehicle-emissions</x:v>
      </x:c>
      <x:c r="E438" s="65" t="str">
        <x:v>permen-lhk-8-2023-vehicle-emissions:structure:0</x:v>
      </x:c>
      <x:c r="F438" s="65" t="str">
        <x:v>p.1</x:v>
      </x:c>
      <x:c r="G438" s="92" t="n">
        <x:v>0.01672131</x:v>
      </x:c>
      <x:c r="H438" s="65" t="str">
        <x:v>Permen LHK No. 8 Tahun 2023 — vehicle emission standards and testing</x:v>
      </x:c>
      <x:c r="I438" s="65" t="str">
        <x:v>Kementerian Lingkungan Hidup dan Kehutanan / Database Peraturan BPK</x:v>
      </x:c>
      <x:c r="J438"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438" s="65" t="str">
        <x:v>https://peraturan.bpk.go.id/Details/262504/permen-lhk-no-8-tahun-2023</x:v>
      </x:c>
      <x:c r="L438" s="65" t="n">
        <x:v>0</x:v>
      </x:c>
      <x:c r="M438" s="65" t="str">
        <x:v>Machine-suggested near-miss; human review required.</x:v>
      </x:c>
    </x:row>
    <x:row r="439" ht="42" customHeight="1">
      <x:c r="A439" s="65" t="str">
        <x:v>gold30-022</x:v>
      </x:c>
      <x:c r="B439" s="65" t="str">
        <x:v>hybrid</x:v>
      </x:c>
      <x:c r="C439" s="88" t="n">
        <x:v>4</x:v>
      </x:c>
      <x:c r="D439" s="65" t="str">
        <x:v>jakarta-historical-city-series</x:v>
      </x:c>
      <x:c r="E439" s="65" t="str">
        <x:v>jakarta-historical-city-series:structure:0</x:v>
      </x:c>
      <x:c r="F439" s="65" t="str">
        <x:v>p.1</x:v>
      </x:c>
      <x:c r="G439" s="92" t="n">
        <x:v>0.01645161</x:v>
      </x:c>
      <x:c r="H439" s="65" t="str">
        <x:v>Jakarta historical PM2.5 and PM10 series: provenance and quality</x:v>
      </x:c>
      <x:c r="I439" s="65" t="str">
        <x:v>Open-Meteo / CAMS Global; deposited dataset by Nitiraj Kulkarni and Jagadish Tawade</x:v>
      </x:c>
      <x:c r="J439" s="65" t="str">
        <x:v>API source: https://air-quality-api.open-meteo.com/v1/air-quality Retrieved: 2026-09-07</x:v>
      </x:c>
      <x:c r="K439" s="65" t="str">
        <x:v>https://zenodo.org/records/18673885</x:v>
      </x:c>
      <x:c r="L439" s="65" t="n">
        <x:v>0</x:v>
      </x:c>
      <x:c r="M439" s="65" t="str">
        <x:v>Machine-suggested near-miss; human review required.</x:v>
      </x:c>
    </x:row>
    <x:row r="440" ht="42" customHeight="1">
      <x:c r="A440" s="65" t="str">
        <x:v>gold30-022</x:v>
      </x:c>
      <x:c r="B440" s="65" t="str">
        <x:v>hybrid</x:v>
      </x:c>
      <x:c r="C440" s="88" t="n">
        <x:v>5</x:v>
      </x:c>
      <x:c r="D440" s="65" t="str">
        <x:v>pp-22-2021-air-quality</x:v>
      </x:c>
      <x:c r="E440" s="65" t="str">
        <x:v>pp-22-2021-air-quality:structure:0</x:v>
      </x:c>
      <x:c r="F440" s="65" t="str">
        <x:v>p.1</x:v>
      </x:c>
      <x:c r="G440" s="92" t="n">
        <x:v>0.01619048</x:v>
      </x:c>
      <x:c r="H440" s="65" t="str">
        <x:v>PP No. 22 Tahun 2021 — environmental protection and ambient air quality</x:v>
      </x:c>
      <x:c r="I440" s="65" t="str">
        <x:v>Pemerintah Republik Indonesia / Database Peraturan BPK</x:v>
      </x:c>
      <x:c r="J440"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440" s="65" t="str">
        <x:v>https://peraturan.bpk.go.id/Details/161852/pp-no-22tahun-2021</x:v>
      </x:c>
      <x:c r="L440" s="65" t="n">
        <x:v>0</x:v>
      </x:c>
      <x:c r="M440" s="65" t="str">
        <x:v>Machine-suggested near-miss; human review required.</x:v>
      </x:c>
    </x:row>
    <x:row r="441" ht="42" customHeight="1">
      <x:c r="A441" s="65" t="str">
        <x:v>gold30-022</x:v>
      </x:c>
      <x:c r="B441" s="65" t="str">
        <x:v>hybrid_rerank</x:v>
      </x:c>
      <x:c r="C441" s="88" t="n">
        <x:v>1</x:v>
      </x:c>
      <x:c r="D441" s="65" t="str">
        <x:v>pergub-66-2020-vehicle-testing</x:v>
      </x:c>
      <x:c r="E441" s="65" t="str">
        <x:v>pergub-66-2020-vehicle-testing:structure:0</x:v>
      </x:c>
      <x:c r="F441" s="65" t="str">
        <x:v>p.1</x:v>
      </x:c>
      <x:c r="G441" s="92" t="n">
        <x:v>0.24303262</x:v>
      </x:c>
      <x:c r="H441" s="65" t="str">
        <x:v>Pergub DKI Jakarta No. 66 Tahun 2020 — motor-vehicle emission testing</x:v>
      </x:c>
      <x:c r="I441" s="65" t="str">
        <x:v>Pemerintah Provinsi DKI Jakarta / Database Peraturan BPK</x:v>
      </x:c>
      <x:c r="J441" s="65" t="str">
        <x:v>Peraturan Gubernur Provinsi DKI Jakarta Nomor 66 Tahun 2020 is titled Uji Emisi Gas Buang Kendaraan Bermotor. The BPK record gives the adoption date as 22 July 2020, promulgation date as 24 July 2020, and effective date as 24 December 2020.</x:v>
      </x:c>
      <x:c r="K441" s="65" t="str">
        <x:v>https://peraturan.bpk.go.id/Details/153923/pergub-prov-dki-jakarta-no-66-tahun-2020</x:v>
      </x:c>
      <x:c r="L441" s="65" t="n">
        <x:v>0</x:v>
      </x:c>
      <x:c r="M441" s="65" t="str">
        <x:v>Machine-suggested near-miss; human review required.</x:v>
      </x:c>
    </x:row>
    <x:row r="442" ht="42" customHeight="1">
      <x:c r="A442" s="65" t="str">
        <x:v>gold30-022</x:v>
      </x:c>
      <x:c r="B442" s="65" t="str">
        <x:v>hybrid_rerank</x:v>
      </x:c>
      <x:c r="C442" s="88" t="n">
        <x:v>2</x:v>
      </x:c>
      <x:c r="D442" s="65" t="str">
        <x:v>jakarta-causes</x:v>
      </x:c>
      <x:c r="E442" s="65" t="str">
        <x:v>jakarta-causes:structure:0</x:v>
      </x:c>
      <x:c r="F442" s="65" t="str">
        <x:v>p.1</x:v>
      </x:c>
      <x:c r="G442" s="92" t="n">
        <x:v>0.00878261</x:v>
      </x:c>
      <x:c r="H442" s="65" t="str">
        <x:v>What causes Jakarta air pollution</x:v>
      </x:c>
      <x:c r="I442" s="65" t="str">
        <x:v>Dinas Lingkungan Hidup DKI Jakarta / Vital Strategies / ITB</x:v>
      </x:c>
      <x:c r="J44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442" s="65" t="str">
        <x:v>https://rendahemisi.jakarta.go.id/learn</x:v>
      </x:c>
      <x:c r="L442" s="65" t="n">
        <x:v>0</x:v>
      </x:c>
      <x:c r="M442" s="65" t="str">
        <x:v>Machine-suggested near-miss; human review required.</x:v>
      </x:c>
    </x:row>
    <x:row r="443" ht="42" customHeight="1">
      <x:c r="A443" s="65" t="str">
        <x:v>gold30-022</x:v>
      </x:c>
      <x:c r="B443" s="65" t="str">
        <x:v>hybrid_rerank</x:v>
      </x:c>
      <x:c r="C443" s="88" t="n">
        <x:v>3</x:v>
      </x:c>
      <x:c r="D443" s="65" t="str">
        <x:v>permen-lhk-8-2023-vehicle-emissions</x:v>
      </x:c>
      <x:c r="E443" s="65" t="str">
        <x:v>permen-lhk-8-2023-vehicle-emissions:structure:0</x:v>
      </x:c>
      <x:c r="F443" s="65" t="str">
        <x:v>p.1</x:v>
      </x:c>
      <x:c r="G443" s="92" t="n">
        <x:v>0.00501639</x:v>
      </x:c>
      <x:c r="H443" s="65" t="str">
        <x:v>Permen LHK No. 8 Tahun 2023 — vehicle emission standards and testing</x:v>
      </x:c>
      <x:c r="I443" s="65" t="str">
        <x:v>Kementerian Lingkungan Hidup dan Kehutanan / Database Peraturan BPK</x:v>
      </x:c>
      <x:c r="J443"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443" s="65" t="str">
        <x:v>https://peraturan.bpk.go.id/Details/262504/permen-lhk-no-8-tahun-2023</x:v>
      </x:c>
      <x:c r="L443" s="65" t="n">
        <x:v>0</x:v>
      </x:c>
      <x:c r="M443" s="65" t="str">
        <x:v>Machine-suggested near-miss; human review required.</x:v>
      </x:c>
    </x:row>
    <x:row r="444" ht="42" customHeight="1">
      <x:c r="A444" s="65" t="str">
        <x:v>gold30-022</x:v>
      </x:c>
      <x:c r="B444" s="65" t="str">
        <x:v>hybrid_rerank</x:v>
      </x:c>
      <x:c r="C444" s="88" t="n">
        <x:v>4</x:v>
      </x:c>
      <x:c r="D444" s="65" t="str">
        <x:v>jakarta-historical-city-series</x:v>
      </x:c>
      <x:c r="E444" s="65" t="str">
        <x:v>jakarta-historical-city-series:structure:0</x:v>
      </x:c>
      <x:c r="F444" s="65" t="str">
        <x:v>p.1</x:v>
      </x:c>
      <x:c r="G444" s="92" t="n">
        <x:v>0.00493548</x:v>
      </x:c>
      <x:c r="H444" s="65" t="str">
        <x:v>Jakarta historical PM2.5 and PM10 series: provenance and quality</x:v>
      </x:c>
      <x:c r="I444" s="65" t="str">
        <x:v>Open-Meteo / CAMS Global; deposited dataset by Nitiraj Kulkarni and Jagadish Tawade</x:v>
      </x:c>
      <x:c r="J444" s="65" t="str">
        <x:v>API source: https://air-quality-api.open-meteo.com/v1/air-quality Retrieved: 2026-09-07</x:v>
      </x:c>
      <x:c r="K444" s="65" t="str">
        <x:v>https://zenodo.org/records/18673885</x:v>
      </x:c>
      <x:c r="L444" s="65" t="n">
        <x:v>0</x:v>
      </x:c>
      <x:c r="M444" s="65" t="str">
        <x:v>Machine-suggested near-miss; human review required.</x:v>
      </x:c>
    </x:row>
    <x:row r="445" ht="42" customHeight="1">
      <x:c r="A445" s="65" t="str">
        <x:v>gold30-022</x:v>
      </x:c>
      <x:c r="B445" s="65" t="str">
        <x:v>hybrid_rerank</x:v>
      </x:c>
      <x:c r="C445" s="88" t="n">
        <x:v>5</x:v>
      </x:c>
      <x:c r="D445" s="65" t="str">
        <x:v>pp-22-2021-air-quality</x:v>
      </x:c>
      <x:c r="E445" s="65" t="str">
        <x:v>pp-22-2021-air-quality:structure:0</x:v>
      </x:c>
      <x:c r="F445" s="65" t="str">
        <x:v>p.1</x:v>
      </x:c>
      <x:c r="G445" s="92" t="n">
        <x:v>0.00485714</x:v>
      </x:c>
      <x:c r="H445" s="65" t="str">
        <x:v>PP No. 22 Tahun 2021 — environmental protection and ambient air quality</x:v>
      </x:c>
      <x:c r="I445" s="65" t="str">
        <x:v>Pemerintah Republik Indonesia / Database Peraturan BPK</x:v>
      </x:c>
      <x:c r="J445"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445" s="65" t="str">
        <x:v>https://peraturan.bpk.go.id/Details/161852/pp-no-22tahun-2021</x:v>
      </x:c>
      <x:c r="L445" s="65" t="n">
        <x:v>0</x:v>
      </x:c>
      <x:c r="M445" s="65" t="str">
        <x:v>Machine-suggested near-miss; human review required.</x:v>
      </x:c>
    </x:row>
    <x:row r="446" ht="42" customHeight="1">
      <x:c r="A446" s="65" t="str">
        <x:v>gold30-023</x:v>
      </x:c>
      <x:c r="B446" s="65" t="str">
        <x:v>bm25</x:v>
      </x:c>
      <x:c r="C446" s="88" t="n">
        <x:v>1</x:v>
      </x:c>
      <x:c r="D446" s="65" t="str">
        <x:v>exposure-protection</x:v>
      </x:c>
      <x:c r="E446" s="65" t="str">
        <x:v>exposure-protection:structure:0</x:v>
      </x:c>
      <x:c r="F446" s="65" t="str">
        <x:v>p.1</x:v>
      </x:c>
      <x:c r="G446" s="92" t="n">
        <x:v>0.75</x:v>
      </x:c>
      <x:c r="H446" s="65" t="str">
        <x:v>Reducing personal exposure to air pollution</x:v>
      </x:c>
      <x:c r="I446" s="65" t="str">
        <x:v>World Health Organization</x:v>
      </x:c>
      <x:c r="J446"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46" s="65" t="str">
        <x:v>https://www.who.int/publications/i/item/9789240000278</x:v>
      </x:c>
      <x:c r="L446" s="65" t="n">
        <x:v>3</x:v>
      </x:c>
      <x:c r="M446" s="65" t="str">
        <x:v>Expected source for this question.</x:v>
      </x:c>
    </x:row>
    <x:row r="447" ht="42" customHeight="1">
      <x:c r="A447" s="65" t="str">
        <x:v>gold30-023</x:v>
      </x:c>
      <x:c r="B447" s="65" t="str">
        <x:v>bm25</x:v>
      </x:c>
      <x:c r="C447" s="88" t="n">
        <x:v>2</x:v>
      </x:c>
      <x:c r="D447" s="65" t="str">
        <x:v>clean-air-room</x:v>
      </x:c>
      <x:c r="E447" s="65" t="str">
        <x:v>clean-air-room:structure:3</x:v>
      </x:c>
      <x:c r="F447" s="65" t="str">
        <x:v>p.4</x:v>
      </x:c>
      <x:c r="G447" s="92" t="n">
        <x:v>0.5</x:v>
      </x:c>
      <x:c r="H447" s="65" t="str">
        <x:v>Indoor filtration and a clean-air room</x:v>
      </x:c>
      <x:c r="I447" s="65" t="str">
        <x:v>United States Environmental Protection Agency</x:v>
      </x:c>
      <x:c r="J447" s="65" t="str">
        <x:v>During a particle episode, close windows and doors when outdoor air is dirtier than indoor air and use filtration. When outdoor air is cleaner, ventilate to remove indoor-generated particles and carbon dioxide. Always control indoor sources: do not smoke or burn incense indoors,…</x:v>
      </x:c>
      <x:c r="K447" s="65" t="str">
        <x:v>https://www.epa.gov/indoor-air-quality-iaq/guide-air-cleaners-home</x:v>
      </x:c>
      <x:c r="L447" s="65" t="n">
        <x:v>3</x:v>
      </x:c>
      <x:c r="M447" s="65" t="str">
        <x:v>Expected source for this question.</x:v>
      </x:c>
    </x:row>
    <x:row r="448" ht="42" customHeight="1">
      <x:c r="A448" s="65" t="str">
        <x:v>gold30-023</x:v>
      </x:c>
      <x:c r="B448" s="65" t="str">
        <x:v>bm25</x:v>
      </x:c>
      <x:c r="C448" s="88" t="n">
        <x:v>3</x:v>
      </x:c>
      <x:c r="D448" s="65" t="str">
        <x:v>who-personal-interventions-2024</x:v>
      </x:c>
      <x:c r="E448" s="65" t="str">
        <x:v>who-personal-interventions-2024:structure:1</x:v>
      </x:c>
      <x:c r="F448" s="65" t="str">
        <x:v>p.2</x:v>
      </x:c>
      <x:c r="G448" s="92" t="n">
        <x:v>0.5</x:v>
      </x:c>
      <x:c r="H448" s="65" t="str">
        <x:v>WHO personal interventions and risk communication (2024)</x:v>
      </x:c>
      <x:c r="I448" s="65" t="str">
        <x:v>World Health Organization</x:v>
      </x:c>
      <x:c r="J448" s="65" t="str">
        <x:v>The guidance emphasizes checking air-quality information and reducing exposure during pollution episodes, including adjusting strenuous outdoor activity when conditions are poor. The appropriate action depends on the pollutant, duration, activity and vulnerability of the person.</x:v>
      </x:c>
      <x:c r="K448" s="65" t="str">
        <x:v>https://www.who.int/news-room/questions-and-answers/item/air-pollution-personal-interventions-and-risk-communication</x:v>
      </x:c>
      <x:c r="L448" s="65" t="n">
        <x:v>0</x:v>
      </x:c>
      <x:c r="M448" s="65" t="str">
        <x:v>Machine-suggested near-miss; human review required.</x:v>
      </x:c>
    </x:row>
    <x:row r="449" ht="42" customHeight="1">
      <x:c r="A449" s="65" t="str">
        <x:v>gold30-023</x:v>
      </x:c>
      <x:c r="B449" s="65" t="str">
        <x:v>bm25</x:v>
      </x:c>
      <x:c r="C449" s="88" t="n">
        <x:v>4</x:v>
      </x:c>
      <x:c r="D449" s="65" t="str">
        <x:v>bad-air-day-protection</x:v>
      </x:c>
      <x:c r="E449" s="65" t="str">
        <x:v>bad-air-day-protection:structure:0</x:v>
      </x:c>
      <x:c r="F449" s="65" t="str">
        <x:v>p.1</x:v>
      </x:c>
      <x:c r="G449" s="92" t="n">
        <x:v>0.375</x:v>
      </x:c>
      <x:c r="H449" s="65" t="str">
        <x:v>Bad-air-day protection playbook</x:v>
      </x:c>
      <x:c r="I449" s="65" t="str">
        <x:v>World Health Organization, Regional Office for Europe</x:v>
      </x:c>
      <x:c r="J449" s="65" t="str">
        <x:v>Published: 2024-10-04 Status as of: 2026-09-07 (health guidance; not Indonesian law) Document type: health_guidance Tags: topic=exposure-protection; audience=Jakarta-resident; action=protect-now; pollutant=ambient-particles</x:v>
      </x:c>
      <x:c r="K449" s="65" t="str">
        <x:v>https://www.who.int/news-room/questions-and-answers/item/air-pollution-personal-interventions-and-risk-communication</x:v>
      </x:c>
      <x:c r="L449" s="65" t="n">
        <x:v>3</x:v>
      </x:c>
      <x:c r="M449" s="65" t="str">
        <x:v>Expected source for this question.</x:v>
      </x:c>
    </x:row>
    <x:row r="450" ht="42" customHeight="1">
      <x:c r="A450" s="65" t="str">
        <x:v>gold30-023</x:v>
      </x:c>
      <x:c r="B450" s="65" t="str">
        <x:v>bm25</x:v>
      </x:c>
      <x:c r="C450" s="88" t="n">
        <x:v>5</x:v>
      </x:c>
      <x:c r="D450" s="65" t="str">
        <x:v>individual-emission-actions</x:v>
      </x:c>
      <x:c r="E450" s="65" t="str">
        <x:v>individual-emission-actions:structure:3</x:v>
      </x:c>
      <x:c r="F450" s="65" t="str">
        <x:v>p.4</x:v>
      </x:c>
      <x:c r="G450" s="92" t="n">
        <x:v>0.375</x:v>
      </x:c>
      <x:c r="H450" s="65" t="str">
        <x:v>What an individual can do to reduce emissions and improve accountability</x:v>
      </x:c>
      <x:c r="I450" s="65" t="str">
        <x:v>World Health Organization; Pemerintah Provinsi DKI Jakarta</x:v>
      </x:c>
      <x:c r="J450"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450" s="65" t="str">
        <x:v>https://www.who.int/europe/publications/m/item/personal-level-actions-to-reduce-air-pollution-exposure</x:v>
      </x:c>
      <x:c r="L450" s="65" t="n">
        <x:v>0</x:v>
      </x:c>
      <x:c r="M450" s="65" t="str">
        <x:v>Machine-suggested near-miss; human review required.</x:v>
      </x:c>
    </x:row>
    <x:row r="451" ht="42" customHeight="1">
      <x:c r="A451" s="65" t="str">
        <x:v>gold30-023</x:v>
      </x:c>
      <x:c r="B451" s="65" t="str">
        <x:v>dense</x:v>
      </x:c>
      <x:c r="C451" s="88" t="n">
        <x:v>1</x:v>
      </x:c>
      <x:c r="D451" s="65" t="str">
        <x:v>exposure-protection</x:v>
      </x:c>
      <x:c r="E451" s="65" t="str">
        <x:v>exposure-protection:structure:0</x:v>
      </x:c>
      <x:c r="F451" s="65" t="str">
        <x:v>p.1</x:v>
      </x:c>
      <x:c r="G451" s="92" t="n">
        <x:v>0.49731003</x:v>
      </x:c>
      <x:c r="H451" s="65" t="str">
        <x:v>Reducing personal exposure to air pollution</x:v>
      </x:c>
      <x:c r="I451" s="65" t="str">
        <x:v>World Health Organization</x:v>
      </x:c>
      <x:c r="J451"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51" s="65" t="str">
        <x:v>https://www.who.int/publications/i/item/9789240000278</x:v>
      </x:c>
      <x:c r="L451" s="65" t="n">
        <x:v>3</x:v>
      </x:c>
      <x:c r="M451" s="65" t="str">
        <x:v>Expected source for this question.</x:v>
      </x:c>
    </x:row>
    <x:row r="452" ht="42" customHeight="1">
      <x:c r="A452" s="65" t="str">
        <x:v>gold30-023</x:v>
      </x:c>
      <x:c r="B452" s="65" t="str">
        <x:v>dense</x:v>
      </x:c>
      <x:c r="C452" s="88" t="n">
        <x:v>2</x:v>
      </x:c>
      <x:c r="D452" s="65" t="str">
        <x:v>who-personal-interventions-2024</x:v>
      </x:c>
      <x:c r="E452" s="65" t="str">
        <x:v>who-personal-interventions-2024:structure:1</x:v>
      </x:c>
      <x:c r="F452" s="65" t="str">
        <x:v>p.2</x:v>
      </x:c>
      <x:c r="G452" s="92" t="n">
        <x:v>0.42219449</x:v>
      </x:c>
      <x:c r="H452" s="65" t="str">
        <x:v>WHO personal interventions and risk communication (2024)</x:v>
      </x:c>
      <x:c r="I452" s="65" t="str">
        <x:v>World Health Organization</x:v>
      </x:c>
      <x:c r="J452" s="65" t="str">
        <x:v>The guidance emphasizes checking air-quality information and reducing exposure during pollution episodes, including adjusting strenuous outdoor activity when conditions are poor. The appropriate action depends on the pollutant, duration, activity and vulnerability of the person.</x:v>
      </x:c>
      <x:c r="K452" s="65" t="str">
        <x:v>https://www.who.int/news-room/questions-and-answers/item/air-pollution-personal-interventions-and-risk-communication</x:v>
      </x:c>
      <x:c r="L452" s="65" t="n">
        <x:v>0</x:v>
      </x:c>
      <x:c r="M452" s="65" t="str">
        <x:v>Machine-suggested near-miss; human review required.</x:v>
      </x:c>
    </x:row>
    <x:row r="453" ht="42" customHeight="1">
      <x:c r="A453" s="65" t="str">
        <x:v>gold30-023</x:v>
      </x:c>
      <x:c r="B453" s="65" t="str">
        <x:v>dense</x:v>
      </x:c>
      <x:c r="C453" s="88" t="n">
        <x:v>3</x:v>
      </x:c>
      <x:c r="D453" s="65" t="str">
        <x:v>bad-air-day-protection</x:v>
      </x:c>
      <x:c r="E453" s="65" t="str">
        <x:v>bad-air-day-protection:structure:0</x:v>
      </x:c>
      <x:c r="F453" s="65" t="str">
        <x:v>p.1</x:v>
      </x:c>
      <x:c r="G453" s="92" t="n">
        <x:v>0.34651888</x:v>
      </x:c>
      <x:c r="H453" s="65" t="str">
        <x:v>Bad-air-day protection playbook</x:v>
      </x:c>
      <x:c r="I453" s="65" t="str">
        <x:v>World Health Organization, Regional Office for Europe</x:v>
      </x:c>
      <x:c r="J453" s="65" t="str">
        <x:v>Published: 2024-10-04 Status as of: 2026-09-07 (health guidance; not Indonesian law) Document type: health_guidance Tags: topic=exposure-protection; audience=Jakarta-resident; action=protect-now; pollutant=ambient-particles</x:v>
      </x:c>
      <x:c r="K453" s="65" t="str">
        <x:v>https://www.who.int/news-room/questions-and-answers/item/air-pollution-personal-interventions-and-risk-communication</x:v>
      </x:c>
      <x:c r="L453" s="65" t="n">
        <x:v>3</x:v>
      </x:c>
      <x:c r="M453" s="65" t="str">
        <x:v>Expected source for this question.</x:v>
      </x:c>
    </x:row>
    <x:row r="454" ht="42" customHeight="1">
      <x:c r="A454" s="65" t="str">
        <x:v>gold30-023</x:v>
      </x:c>
      <x:c r="B454" s="65" t="str">
        <x:v>dense</x:v>
      </x:c>
      <x:c r="C454" s="88" t="n">
        <x:v>4</x:v>
      </x:c>
      <x:c r="D454" s="65" t="str">
        <x:v>individual-emission-actions</x:v>
      </x:c>
      <x:c r="E454" s="65" t="str">
        <x:v>individual-emission-actions:structure:3</x:v>
      </x:c>
      <x:c r="F454" s="65" t="str">
        <x:v>p.4</x:v>
      </x:c>
      <x:c r="G454" s="92" t="n">
        <x:v>0.33896894</x:v>
      </x:c>
      <x:c r="H454" s="65" t="str">
        <x:v>What an individual can do to reduce emissions and improve accountability</x:v>
      </x:c>
      <x:c r="I454" s="65" t="str">
        <x:v>World Health Organization; Pemerintah Provinsi DKI Jakarta</x:v>
      </x:c>
      <x:c r="J454"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454" s="65" t="str">
        <x:v>https://www.who.int/europe/publications/m/item/personal-level-actions-to-reduce-air-pollution-exposure</x:v>
      </x:c>
      <x:c r="L454" s="65" t="n">
        <x:v>0</x:v>
      </x:c>
      <x:c r="M454" s="65" t="str">
        <x:v>Machine-suggested near-miss; human review required.</x:v>
      </x:c>
    </x:row>
    <x:row r="455" ht="42" customHeight="1">
      <x:c r="A455" s="65" t="str">
        <x:v>gold30-023</x:v>
      </x:c>
      <x:c r="B455" s="65" t="str">
        <x:v>dense</x:v>
      </x:c>
      <x:c r="C455" s="88" t="n">
        <x:v>5</x:v>
      </x:c>
      <x:c r="D455" s="65" t="str">
        <x:v>epa-air-cleaners-home-2026</x:v>
      </x:c>
      <x:c r="E455" s="65" t="str">
        <x:v>epa-air-cleaners-home-2026:structure:0</x:v>
      </x:c>
      <x:c r="F455" s="65" t="str">
        <x:v>p.1</x:v>
      </x:c>
      <x:c r="G455" s="92" t="n">
        <x:v>0.3196547</x:v>
      </x:c>
      <x:c r="H455" s="65" t="str">
        <x:v>US EPA Guide to Air Cleaners in the Home (2nd edition)</x:v>
      </x:c>
      <x:c r="I455" s="65" t="str">
        <x:v>United States Environmental Protection Agency</x:v>
      </x:c>
      <x:c r="J455" s="65" t="str">
        <x:v>The EPA guide discusses portable air cleaners, heating/ventilation and air-conditioning filters, indoor pollutant sources and practical limits. It is technical household guidance and should not be presented as a Jakarta regulation.</x:v>
      </x:c>
      <x:c r="K455" s="65" t="str">
        <x:v>https://www.epa.gov/indoor-air-quality-iaq/guide-air-cleaners-home</x:v>
      </x:c>
      <x:c r="L455" s="65" t="n">
        <x:v>0</x:v>
      </x:c>
      <x:c r="M455" s="65" t="str">
        <x:v>Machine-suggested near-miss; human review required.</x:v>
      </x:c>
    </x:row>
    <x:row r="456" ht="42" customHeight="1">
      <x:c r="A456" s="65" t="str">
        <x:v>gold30-023</x:v>
      </x:c>
      <x:c r="B456" s="65" t="str">
        <x:v>hybrid</x:v>
      </x:c>
      <x:c r="C456" s="88" t="n">
        <x:v>1</x:v>
      </x:c>
      <x:c r="D456" s="65" t="str">
        <x:v>exposure-protection</x:v>
      </x:c>
      <x:c r="E456" s="65" t="str">
        <x:v>exposure-protection:structure:0</x:v>
      </x:c>
      <x:c r="F456" s="65" t="str">
        <x:v>p.1</x:v>
      </x:c>
      <x:c r="G456" s="92" t="n">
        <x:v>0.03311475</x:v>
      </x:c>
      <x:c r="H456" s="65" t="str">
        <x:v>Reducing personal exposure to air pollution</x:v>
      </x:c>
      <x:c r="I456" s="65" t="str">
        <x:v>World Health Organization</x:v>
      </x:c>
      <x:c r="J456"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56" s="65" t="str">
        <x:v>https://www.who.int/publications/i/item/9789240000278</x:v>
      </x:c>
      <x:c r="L456" s="65" t="n">
        <x:v>3</x:v>
      </x:c>
      <x:c r="M456" s="65" t="str">
        <x:v>Expected source for this question.</x:v>
      </x:c>
    </x:row>
    <x:row r="457" ht="42" customHeight="1">
      <x:c r="A457" s="65" t="str">
        <x:v>gold30-023</x:v>
      </x:c>
      <x:c r="B457" s="65" t="str">
        <x:v>hybrid</x:v>
      </x:c>
      <x:c r="C457" s="88" t="n">
        <x:v>2</x:v>
      </x:c>
      <x:c r="D457" s="65" t="str">
        <x:v>who-personal-interventions-2024</x:v>
      </x:c>
      <x:c r="E457" s="65" t="str">
        <x:v>who-personal-interventions-2024:structure:1</x:v>
      </x:c>
      <x:c r="F457" s="65" t="str">
        <x:v>p.2</x:v>
      </x:c>
      <x:c r="G457" s="92" t="n">
        <x:v>0.03232463</x:v>
      </x:c>
      <x:c r="H457" s="65" t="str">
        <x:v>WHO personal interventions and risk communication (2024)</x:v>
      </x:c>
      <x:c r="I457" s="65" t="str">
        <x:v>World Health Organization</x:v>
      </x:c>
      <x:c r="J457" s="65" t="str">
        <x:v>The guidance emphasizes checking air-quality information and reducing exposure during pollution episodes, including adjusting strenuous outdoor activity when conditions are poor. The appropriate action depends on the pollutant, duration, activity and vulnerability of the person.</x:v>
      </x:c>
      <x:c r="K457" s="65" t="str">
        <x:v>https://www.who.int/news-room/questions-and-answers/item/air-pollution-personal-interventions-and-risk-communication</x:v>
      </x:c>
      <x:c r="L457" s="65" t="n">
        <x:v>0</x:v>
      </x:c>
      <x:c r="M457" s="65" t="str">
        <x:v>Machine-suggested near-miss; human review required.</x:v>
      </x:c>
    </x:row>
    <x:row r="458" ht="42" customHeight="1">
      <x:c r="A458" s="65" t="str">
        <x:v>gold30-023</x:v>
      </x:c>
      <x:c r="B458" s="65" t="str">
        <x:v>hybrid</x:v>
      </x:c>
      <x:c r="C458" s="88" t="n">
        <x:v>3</x:v>
      </x:c>
      <x:c r="D458" s="65" t="str">
        <x:v>bad-air-day-protection</x:v>
      </x:c>
      <x:c r="E458" s="65" t="str">
        <x:v>bad-air-day-protection:structure:0</x:v>
      </x:c>
      <x:c r="F458" s="65" t="str">
        <x:v>p.1</x:v>
      </x:c>
      <x:c r="G458" s="92" t="n">
        <x:v>0.03181548</x:v>
      </x:c>
      <x:c r="H458" s="65" t="str">
        <x:v>Bad-air-day protection playbook</x:v>
      </x:c>
      <x:c r="I458" s="65" t="str">
        <x:v>World Health Organization, Regional Office for Europe</x:v>
      </x:c>
      <x:c r="J458" s="65" t="str">
        <x:v>Published: 2024-10-04 Status as of: 2026-09-07 (health guidance; not Indonesian law) Document type: health_guidance Tags: topic=exposure-protection; audience=Jakarta-resident; action=protect-now; pollutant=ambient-particles</x:v>
      </x:c>
      <x:c r="K458" s="65" t="str">
        <x:v>https://www.who.int/news-room/questions-and-answers/item/air-pollution-personal-interventions-and-risk-communication</x:v>
      </x:c>
      <x:c r="L458" s="65" t="n">
        <x:v>3</x:v>
      </x:c>
      <x:c r="M458" s="65" t="str">
        <x:v>Expected source for this question.</x:v>
      </x:c>
    </x:row>
    <x:row r="459" ht="42" customHeight="1">
      <x:c r="A459" s="65" t="str">
        <x:v>gold30-023</x:v>
      </x:c>
      <x:c r="B459" s="65" t="str">
        <x:v>hybrid</x:v>
      </x:c>
      <x:c r="C459" s="88" t="n">
        <x:v>4</x:v>
      </x:c>
      <x:c r="D459" s="65" t="str">
        <x:v>individual-emission-actions</x:v>
      </x:c>
      <x:c r="E459" s="65" t="str">
        <x:v>individual-emission-actions:structure:3</x:v>
      </x:c>
      <x:c r="F459" s="65" t="str">
        <x:v>p.4</x:v>
      </x:c>
      <x:c r="G459" s="92" t="n">
        <x:v>0.03132212</x:v>
      </x:c>
      <x:c r="H459" s="65" t="str">
        <x:v>What an individual can do to reduce emissions and improve accountability</x:v>
      </x:c>
      <x:c r="I459" s="65" t="str">
        <x:v>World Health Organization; Pemerintah Provinsi DKI Jakarta</x:v>
      </x:c>
      <x:c r="J459"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459" s="65" t="str">
        <x:v>https://www.who.int/europe/publications/m/item/personal-level-actions-to-reduce-air-pollution-exposure</x:v>
      </x:c>
      <x:c r="L459" s="65" t="n">
        <x:v>0</x:v>
      </x:c>
      <x:c r="M459" s="65" t="str">
        <x:v>Machine-suggested near-miss; human review required.</x:v>
      </x:c>
    </x:row>
    <x:row r="460" ht="42" customHeight="1">
      <x:c r="A460" s="65" t="str">
        <x:v>gold30-023</x:v>
      </x:c>
      <x:c r="B460" s="65" t="str">
        <x:v>hybrid</x:v>
      </x:c>
      <x:c r="C460" s="88" t="n">
        <x:v>5</x:v>
      </x:c>
      <x:c r="D460" s="65" t="str">
        <x:v>clean-air-room</x:v>
      </x:c>
      <x:c r="E460" s="65" t="str">
        <x:v>clean-air-room:structure:3</x:v>
      </x:c>
      <x:c r="F460" s="65" t="str">
        <x:v>p.4</x:v>
      </x:c>
      <x:c r="G460" s="92" t="n">
        <x:v>0.03091164</x:v>
      </x:c>
      <x:c r="H460" s="65" t="str">
        <x:v>Indoor filtration and a clean-air room</x:v>
      </x:c>
      <x:c r="I460" s="65" t="str">
        <x:v>United States Environmental Protection Agency</x:v>
      </x:c>
      <x:c r="J460" s="65" t="str">
        <x:v>During a particle episode, close windows and doors when outdoor air is dirtier than indoor air and use filtration. When outdoor air is cleaner, ventilate to remove indoor-generated particles and carbon dioxide. Always control indoor sources: do not smoke or burn incense indoors,…</x:v>
      </x:c>
      <x:c r="K460" s="65" t="str">
        <x:v>https://www.epa.gov/indoor-air-quality-iaq/guide-air-cleaners-home</x:v>
      </x:c>
      <x:c r="L460" s="65" t="n">
        <x:v>3</x:v>
      </x:c>
      <x:c r="M460" s="65" t="str">
        <x:v>Expected source for this question.</x:v>
      </x:c>
    </x:row>
    <x:row r="461" ht="42" customHeight="1">
      <x:c r="A461" s="65" t="str">
        <x:v>gold30-023</x:v>
      </x:c>
      <x:c r="B461" s="65" t="str">
        <x:v>hybrid_rerank</x:v>
      </x:c>
      <x:c r="C461" s="88" t="n">
        <x:v>1</x:v>
      </x:c>
      <x:c r="D461" s="65" t="str">
        <x:v>exposure-protection</x:v>
      </x:c>
      <x:c r="E461" s="65" t="str">
        <x:v>exposure-protection:structure:0</x:v>
      </x:c>
      <x:c r="F461" s="65" t="str">
        <x:v>p.1</x:v>
      </x:c>
      <x:c r="G461" s="92" t="n">
        <x:v>0.53493443</x:v>
      </x:c>
      <x:c r="H461" s="65" t="str">
        <x:v>Reducing personal exposure to air pollution</x:v>
      </x:c>
      <x:c r="I461" s="65" t="str">
        <x:v>World Health Organization</x:v>
      </x:c>
      <x:c r="J461"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61" s="65" t="str">
        <x:v>https://www.who.int/publications/i/item/9789240000278</x:v>
      </x:c>
      <x:c r="L461" s="65" t="n">
        <x:v>3</x:v>
      </x:c>
      <x:c r="M461" s="65" t="str">
        <x:v>Expected source for this question.</x:v>
      </x:c>
    </x:row>
    <x:row r="462" ht="42" customHeight="1">
      <x:c r="A462" s="65" t="str">
        <x:v>gold30-023</x:v>
      </x:c>
      <x:c r="B462" s="65" t="str">
        <x:v>hybrid_rerank</x:v>
      </x:c>
      <x:c r="C462" s="88" t="n">
        <x:v>2</x:v>
      </x:c>
      <x:c r="D462" s="65" t="str">
        <x:v>who-personal-interventions-2024</x:v>
      </x:c>
      <x:c r="E462" s="65" t="str">
        <x:v>who-personal-interventions-2024:structure:1</x:v>
      </x:c>
      <x:c r="F462" s="65" t="str">
        <x:v>p.2</x:v>
      </x:c>
      <x:c r="G462" s="92" t="n">
        <x:v>0.35969739</x:v>
      </x:c>
      <x:c r="H462" s="65" t="str">
        <x:v>WHO personal interventions and risk communication (2024)</x:v>
      </x:c>
      <x:c r="I462" s="65" t="str">
        <x:v>World Health Organization</x:v>
      </x:c>
      <x:c r="J462" s="65" t="str">
        <x:v>The guidance emphasizes checking air-quality information and reducing exposure during pollution episodes, including adjusting strenuous outdoor activity when conditions are poor. The appropriate action depends on the pollutant, duration, activity and vulnerability of the person.</x:v>
      </x:c>
      <x:c r="K462" s="65" t="str">
        <x:v>https://www.who.int/news-room/questions-and-answers/item/air-pollution-personal-interventions-and-risk-communication</x:v>
      </x:c>
      <x:c r="L462" s="65" t="n">
        <x:v>0</x:v>
      </x:c>
      <x:c r="M462" s="65" t="str">
        <x:v>Machine-suggested near-miss; human review required.</x:v>
      </x:c>
    </x:row>
    <x:row r="463" ht="42" customHeight="1">
      <x:c r="A463" s="65" t="str">
        <x:v>gold30-023</x:v>
      </x:c>
      <x:c r="B463" s="65" t="str">
        <x:v>hybrid_rerank</x:v>
      </x:c>
      <x:c r="C463" s="88" t="n">
        <x:v>3</x:v>
      </x:c>
      <x:c r="D463" s="65" t="str">
        <x:v>clean-air-room</x:v>
      </x:c>
      <x:c r="E463" s="65" t="str">
        <x:v>clean-air-room:structure:3</x:v>
      </x:c>
      <x:c r="F463" s="65" t="str">
        <x:v>p.4</x:v>
      </x:c>
      <x:c r="G463" s="92" t="n">
        <x:v>0.35927349</x:v>
      </x:c>
      <x:c r="H463" s="65" t="str">
        <x:v>Indoor filtration and a clean-air room</x:v>
      </x:c>
      <x:c r="I463" s="65" t="str">
        <x:v>United States Environmental Protection Agency</x:v>
      </x:c>
      <x:c r="J463" s="65" t="str">
        <x:v>During a particle episode, close windows and doors when outdoor air is dirtier than indoor air and use filtration. When outdoor air is cleaner, ventilate to remove indoor-generated particles and carbon dioxide. Always control indoor sources: do not smoke or burn incense indoors,…</x:v>
      </x:c>
      <x:c r="K463" s="65" t="str">
        <x:v>https://www.epa.gov/indoor-air-quality-iaq/guide-air-cleaners-home</x:v>
      </x:c>
      <x:c r="L463" s="65" t="n">
        <x:v>3</x:v>
      </x:c>
      <x:c r="M463" s="65" t="str">
        <x:v>Expected source for this question.</x:v>
      </x:c>
    </x:row>
    <x:row r="464" ht="42" customHeight="1">
      <x:c r="A464" s="65" t="str">
        <x:v>gold30-023</x:v>
      </x:c>
      <x:c r="B464" s="65" t="str">
        <x:v>hybrid_rerank</x:v>
      </x:c>
      <x:c r="C464" s="88" t="n">
        <x:v>4</x:v>
      </x:c>
      <x:c r="D464" s="65" t="str">
        <x:v>bad-air-day-protection</x:v>
      </x:c>
      <x:c r="E464" s="65" t="str">
        <x:v>bad-air-day-protection:structure:0</x:v>
      </x:c>
      <x:c r="F464" s="65" t="str">
        <x:v>p.1</x:v>
      </x:c>
      <x:c r="G464" s="92" t="n">
        <x:v>0.27204464</x:v>
      </x:c>
      <x:c r="H464" s="65" t="str">
        <x:v>Bad-air-day protection playbook</x:v>
      </x:c>
      <x:c r="I464" s="65" t="str">
        <x:v>World Health Organization, Regional Office for Europe</x:v>
      </x:c>
      <x:c r="J464" s="65" t="str">
        <x:v>Published: 2024-10-04 Status as of: 2026-09-07 (health guidance; not Indonesian law) Document type: health_guidance Tags: topic=exposure-protection; audience=Jakarta-resident; action=protect-now; pollutant=ambient-particles</x:v>
      </x:c>
      <x:c r="K464" s="65" t="str">
        <x:v>https://www.who.int/news-room/questions-and-answers/item/air-pollution-personal-interventions-and-risk-communication</x:v>
      </x:c>
      <x:c r="L464" s="65" t="n">
        <x:v>3</x:v>
      </x:c>
      <x:c r="M464" s="65" t="str">
        <x:v>Expected source for this question.</x:v>
      </x:c>
    </x:row>
    <x:row r="465" ht="42" customHeight="1">
      <x:c r="A465" s="65" t="str">
        <x:v>gold30-023</x:v>
      </x:c>
      <x:c r="B465" s="65" t="str">
        <x:v>hybrid_rerank</x:v>
      </x:c>
      <x:c r="C465" s="88" t="n">
        <x:v>5</x:v>
      </x:c>
      <x:c r="D465" s="65" t="str">
        <x:v>individual-emission-actions</x:v>
      </x:c>
      <x:c r="E465" s="65" t="str">
        <x:v>individual-emission-actions:structure:3</x:v>
      </x:c>
      <x:c r="F465" s="65" t="str">
        <x:v>p.4</x:v>
      </x:c>
      <x:c r="G465" s="92" t="n">
        <x:v>0.27189663</x:v>
      </x:c>
      <x:c r="H465" s="65" t="str">
        <x:v>What an individual can do to reduce emissions and improve accountability</x:v>
      </x:c>
      <x:c r="I465" s="65" t="str">
        <x:v>World Health Organization; Pemerintah Provinsi DKI Jakarta</x:v>
      </x:c>
      <x:c r="J465"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465" s="65" t="str">
        <x:v>https://www.who.int/europe/publications/m/item/personal-level-actions-to-reduce-air-pollution-exposure</x:v>
      </x:c>
      <x:c r="L465" s="65" t="n">
        <x:v>0</x:v>
      </x:c>
      <x:c r="M465" s="65" t="str">
        <x:v>Machine-suggested near-miss; human review required.</x:v>
      </x:c>
    </x:row>
    <x:row r="466" ht="42" customHeight="1">
      <x:c r="A466" s="65" t="str">
        <x:v>gold30-024</x:v>
      </x:c>
      <x:c r="B466" s="65" t="str">
        <x:v>bm25</x:v>
      </x:c>
      <x:c r="C466" s="88" t="n">
        <x:v>1</x:v>
      </x:c>
      <x:c r="D466" s="65" t="str">
        <x:v>jakarta-improvements</x:v>
      </x:c>
      <x:c r="E466" s="65" t="str">
        <x:v>jakarta-improvements:structure:0</x:v>
      </x:c>
      <x:c r="F466" s="65" t="str">
        <x:v>p.1</x:v>
      </x:c>
      <x:c r="G466" s="92" t="n">
        <x:v>0.42857143</x:v>
      </x:c>
      <x:c r="H466" s="65" t="str">
        <x:v>Ways to improve Jakarta air quality</x:v>
      </x:c>
      <x:c r="I466" s="65" t="str">
        <x:v>Pemerintah Provinsi DKI Jakarta / Dinas Lingkungan Hidup</x:v>
      </x:c>
      <x:c r="J46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66" s="65" t="str">
        <x:v>https://www.jakarta.go.id/page/upaya-bersama-jaga-kualitas-udara-jakarta</x:v>
      </x:c>
      <x:c r="L466" s="65" t="n">
        <x:v>0</x:v>
      </x:c>
      <x:c r="M466" s="65" t="str">
        <x:v>Machine-suggested near-miss; human review required.</x:v>
      </x:c>
    </x:row>
    <x:row r="467" ht="42" customHeight="1">
      <x:c r="A467" s="65" t="str">
        <x:v>gold30-024</x:v>
      </x:c>
      <x:c r="B467" s="65" t="str">
        <x:v>bm25</x:v>
      </x:c>
      <x:c r="C467" s="88" t="n">
        <x:v>2</x:v>
      </x:c>
      <x:c r="D467" s="65" t="str">
        <x:v>jakarta-seasonal-exposure</x:v>
      </x:c>
      <x:c r="E467" s="65" t="str">
        <x:v>jakarta-seasonal-exposure:structure:0</x:v>
      </x:c>
      <x:c r="F467" s="65" t="str">
        <x:v>p.1</x:v>
      </x:c>
      <x:c r="G467" s="92" t="n">
        <x:v>0.42857143</x:v>
      </x:c>
      <x:c r="H467" s="65" t="str">
        <x:v>Jakarta timing and local exposure context</x:v>
      </x:c>
      <x:c r="I467" s="65" t="str">
        <x:v>Dinas Lingkungan Hidup DKI Jakarta</x:v>
      </x:c>
      <x:c r="J467" s="65" t="str">
        <x:v>Published: 2024-04-06 Status as of: 2026-09-07 (official seasonal notice; not a current forecast) Document type: official_public_guidance Tags: topic=exposure-protection; audience=Jakarta-resident; action=protect-now; pollutant=PM2.5</x:v>
      </x:c>
      <x:c r="K467" s="65" t="str">
        <x:v>https://lingkunganhidup.jakarta.go.id/detail-artikel/masuki-musim-kemarau-pemprov-dki-minta-masyarakat-waspadai-penurunan-kualitas-udara</x:v>
      </x:c>
      <x:c r="L467" s="65" t="n">
        <x:v>0</x:v>
      </x:c>
      <x:c r="M467" s="65" t="str">
        <x:v>Machine-suggested near-miss; human review required.</x:v>
      </x:c>
    </x:row>
    <x:row r="468" ht="42" customHeight="1">
      <x:c r="A468" s="65" t="str">
        <x:v>gold30-024</x:v>
      </x:c>
      <x:c r="B468" s="65" t="str">
        <x:v>bm25</x:v>
      </x:c>
      <x:c r="C468" s="88" t="n">
        <x:v>3</x:v>
      </x:c>
      <x:c r="D468" s="65" t="str">
        <x:v>jakarta-emission-testing</x:v>
      </x:c>
      <x:c r="E468" s="65" t="str">
        <x:v>jakarta-emission-testing:structure:0</x:v>
      </x:c>
      <x:c r="F468" s="65" t="str">
        <x:v>p.1</x:v>
      </x:c>
      <x:c r="G468" s="92" t="n">
        <x:v>0.28571429</x:v>
      </x:c>
      <x:c r="H468" s="65" t="str">
        <x:v>Jakarta vehicle-emissions testing obligation</x:v>
      </x:c>
      <x:c r="I468" s="65" t="str">
        <x:v>Dinas Lingkungan Hidup DKI Jakarta</x:v>
      </x:c>
      <x:c r="J468" s="65" t="str">
        <x:v>Published: page accessed 2026-09-07 (FAQ date not stated) Status as of: 2026-09-07; Pergub 66/2020 is listed as berlaku Document type: official_faq Tags: topic=regulation-implementation; audience=vehicle-owner; action=compliance</x:v>
      </x:c>
      <x:c r="K468" s="65" t="str">
        <x:v>https://lingkunganhidup.jakarta.go.id/faq/ujiemisi</x:v>
      </x:c>
      <x:c r="L468" s="65" t="n">
        <x:v>0</x:v>
      </x:c>
      <x:c r="M468" s="65" t="str">
        <x:v>Machine-suggested near-miss; human review required.</x:v>
      </x:c>
    </x:row>
    <x:row r="469" ht="42" customHeight="1">
      <x:c r="A469" s="65" t="str">
        <x:v>gold30-024</x:v>
      </x:c>
      <x:c r="B469" s="65" t="str">
        <x:v>bm25</x:v>
      </x:c>
      <x:c r="C469" s="88" t="n">
        <x:v>4</x:v>
      </x:c>
      <x:c r="D469" s="65" t="str">
        <x:v>jakarta-policy-implementation</x:v>
      </x:c>
      <x:c r="E469" s="65" t="str">
        <x:v>jakarta-policy-implementation:structure:0</x:v>
      </x:c>
      <x:c r="F469" s="65" t="str">
        <x:v>p.1</x:v>
      </x:c>
      <x:c r="G469" s="92" t="n">
        <x:v>0.28571429</x:v>
      </x:c>
      <x:c r="H469" s="65" t="str">
        <x:v>Why rules can coexist with poor air: implementation evidence</x:v>
      </x:c>
      <x:c r="I469" s="65" t="str">
        <x:v>Pemerintah Provinsi DKI Jakarta; Dinas Lingkungan Hidup DKI Jakarta; Mahkamah Agung</x:v>
      </x:c>
      <x:c r="J469" s="65" t="str">
        <x:v>Published: 2024-06-19; court record dated 2021-09-16 Status as of: 2026-09-07 (status is date-bounded; verify later changes in JDIH) Document type: implementation_evidence Tags: topic=regulation-implementation; audience=Jakarta-resident; action=accountability; status=implementat…</x:v>
      </x:c>
      <x:c r="K469" s="65" t="str">
        <x:v>https://www.jakarta.go.id/siaran-pers/4802-SP-HMS-06-2024</x:v>
      </x:c>
      <x:c r="L469" s="65" t="n">
        <x:v>0</x:v>
      </x:c>
      <x:c r="M469" s="65" t="str">
        <x:v>Machine-suggested near-miss; human review required.</x:v>
      </x:c>
    </x:row>
    <x:row r="470" ht="42" customHeight="1">
      <x:c r="A470" s="65" t="str">
        <x:v>gold30-024</x:v>
      </x:c>
      <x:c r="B470" s="65" t="str">
        <x:v>bm25</x:v>
      </x:c>
      <x:c r="C470" s="88" t="n">
        <x:v>5</x:v>
      </x:c>
      <x:c r="D470" s="65" t="str">
        <x:v>pergub-66-2020-vehicle-testing</x:v>
      </x:c>
      <x:c r="E470" s="65" t="str">
        <x:v>pergub-66-2020-vehicle-testing:structure:0</x:v>
      </x:c>
      <x:c r="F470" s="65" t="str">
        <x:v>p.1</x:v>
      </x:c>
      <x:c r="G470" s="92" t="n">
        <x:v>0.28571429</x:v>
      </x:c>
      <x:c r="H470" s="65" t="str">
        <x:v>Pergub DKI Jakarta No. 66 Tahun 2020 — motor-vehicle emission testing</x:v>
      </x:c>
      <x:c r="I470" s="65" t="str">
        <x:v>Pemerintah Provinsi DKI Jakarta / Database Peraturan BPK</x:v>
      </x:c>
      <x:c r="J470" s="65" t="str">
        <x:v>Peraturan Gubernur Provinsi DKI Jakarta Nomor 66 Tahun 2020 is titled Uji Emisi Gas Buang Kendaraan Bermotor. The BPK record gives the adoption date as 22 July 2020, promulgation date as 24 July 2020, and effective date as 24 December 2020.</x:v>
      </x:c>
      <x:c r="K470" s="65" t="str">
        <x:v>https://peraturan.bpk.go.id/Details/153923/pergub-prov-dki-jakarta-no-66-tahun-2020</x:v>
      </x:c>
      <x:c r="L470" s="65" t="n">
        <x:v>0</x:v>
      </x:c>
      <x:c r="M470" s="65" t="str">
        <x:v>Machine-suggested near-miss; human review required.</x:v>
      </x:c>
    </x:row>
    <x:row r="471" ht="42" customHeight="1">
      <x:c r="A471" s="65" t="str">
        <x:v>gold30-024</x:v>
      </x:c>
      <x:c r="B471" s="65" t="str">
        <x:v>dense</x:v>
      </x:c>
      <x:c r="C471" s="88" t="n">
        <x:v>1</x:v>
      </x:c>
      <x:c r="D471" s="65" t="str">
        <x:v>jakarta-monitoring</x:v>
      </x:c>
      <x:c r="E471" s="65" t="str">
        <x:v>jakarta-monitoring:structure:0</x:v>
      </x:c>
      <x:c r="F471" s="65" t="str">
        <x:v>p.1</x:v>
      </x:c>
      <x:c r="G471" s="92" t="n">
        <x:v>0.21367029</x:v>
      </x:c>
      <x:c r="H471" s="65" t="str">
        <x:v>Jakarta monitoring stations</x:v>
      </x:c>
      <x:c r="I471" s="65" t="str">
        <x:v>Dinas Lingkungan Hidup Provinsi DKI Jakarta</x:v>
      </x:c>
      <x:c r="J471" s="65" t="str">
        <x:v>Jakarta's official monitoring portal publishes station locations, pollutant parameters, current readings, and timestamps. A station observation describes that station and observation time; it should not automatically be generalized to all of Jakarta.</x:v>
      </x:c>
      <x:c r="K471" s="65" t="str">
        <x:v>https://udara.jakarta.go.id/lokasi-spku</x:v>
      </x:c>
      <x:c r="L471" s="65" t="n">
        <x:v>0</x:v>
      </x:c>
      <x:c r="M471" s="65" t="str">
        <x:v>Machine-suggested near-miss; human review required.</x:v>
      </x:c>
    </x:row>
    <x:row r="472" ht="42" customHeight="1">
      <x:c r="A472" s="65" t="str">
        <x:v>gold30-024</x:v>
      </x:c>
      <x:c r="B472" s="65" t="str">
        <x:v>dense</x:v>
      </x:c>
      <x:c r="C472" s="88" t="n">
        <x:v>2</x:v>
      </x:c>
      <x:c r="D472" s="65" t="str">
        <x:v>jakarta-improvements</x:v>
      </x:c>
      <x:c r="E472" s="65" t="str">
        <x:v>jakarta-improvements:structure:0</x:v>
      </x:c>
      <x:c r="F472" s="65" t="str">
        <x:v>p.1</x:v>
      </x:c>
      <x:c r="G472" s="92" t="n">
        <x:v>0.19090091</x:v>
      </x:c>
      <x:c r="H472" s="65" t="str">
        <x:v>Ways to improve Jakarta air quality</x:v>
      </x:c>
      <x:c r="I472" s="65" t="str">
        <x:v>Pemerintah Provinsi DKI Jakarta / Dinas Lingkungan Hidup</x:v>
      </x:c>
      <x:c r="J472"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72" s="65" t="str">
        <x:v>https://www.jakarta.go.id/page/upaya-bersama-jaga-kualitas-udara-jakarta</x:v>
      </x:c>
      <x:c r="L472" s="65" t="n">
        <x:v>0</x:v>
      </x:c>
      <x:c r="M472" s="65" t="str">
        <x:v>Machine-suggested near-miss; human review required.</x:v>
      </x:c>
    </x:row>
    <x:row r="473" ht="42" customHeight="1">
      <x:c r="A473" s="65" t="str">
        <x:v>gold30-024</x:v>
      </x:c>
      <x:c r="B473" s="65" t="str">
        <x:v>dense</x:v>
      </x:c>
      <x:c r="C473" s="88" t="n">
        <x:v>3</x:v>
      </x:c>
      <x:c r="D473" s="65" t="str">
        <x:v>jakarta-seasonal-exposure</x:v>
      </x:c>
      <x:c r="E473" s="65" t="str">
        <x:v>jakarta-seasonal-exposure:structure:0</x:v>
      </x:c>
      <x:c r="F473" s="65" t="str">
        <x:v>p.1</x:v>
      </x:c>
      <x:c r="G473" s="92" t="n">
        <x:v>0.17901226</x:v>
      </x:c>
      <x:c r="H473" s="65" t="str">
        <x:v>Jakarta timing and local exposure context</x:v>
      </x:c>
      <x:c r="I473" s="65" t="str">
        <x:v>Dinas Lingkungan Hidup DKI Jakarta</x:v>
      </x:c>
      <x:c r="J473" s="65" t="str">
        <x:v>Published: 2024-04-06 Status as of: 2026-09-07 (official seasonal notice; not a current forecast) Document type: official_public_guidance Tags: topic=exposure-protection; audience=Jakarta-resident; action=protect-now; pollutant=PM2.5</x:v>
      </x:c>
      <x:c r="K473" s="65" t="str">
        <x:v>https://lingkunganhidup.jakarta.go.id/detail-artikel/masuki-musim-kemarau-pemprov-dki-minta-masyarakat-waspadai-penurunan-kualitas-udara</x:v>
      </x:c>
      <x:c r="L473" s="65" t="n">
        <x:v>0</x:v>
      </x:c>
      <x:c r="M473" s="65" t="str">
        <x:v>Machine-suggested near-miss; human review required.</x:v>
      </x:c>
    </x:row>
    <x:row r="474" ht="42" customHeight="1">
      <x:c r="A474" s="65" t="str">
        <x:v>gold30-024</x:v>
      </x:c>
      <x:c r="B474" s="65" t="str">
        <x:v>dense</x:v>
      </x:c>
      <x:c r="C474" s="88" t="n">
        <x:v>4</x:v>
      </x:c>
      <x:c r="D474" s="65" t="str">
        <x:v>pergub-66-2020-vehicle-testing</x:v>
      </x:c>
      <x:c r="E474" s="65" t="str">
        <x:v>pergub-66-2020-vehicle-testing:structure:0</x:v>
      </x:c>
      <x:c r="F474" s="65" t="str">
        <x:v>p.1</x:v>
      </x:c>
      <x:c r="G474" s="92" t="n">
        <x:v>0.17662234</x:v>
      </x:c>
      <x:c r="H474" s="65" t="str">
        <x:v>Pergub DKI Jakarta No. 66 Tahun 2020 — motor-vehicle emission testing</x:v>
      </x:c>
      <x:c r="I474" s="65" t="str">
        <x:v>Pemerintah Provinsi DKI Jakarta / Database Peraturan BPK</x:v>
      </x:c>
      <x:c r="J474" s="65" t="str">
        <x:v>Peraturan Gubernur Provinsi DKI Jakarta Nomor 66 Tahun 2020 is titled Uji Emisi Gas Buang Kendaraan Bermotor. The BPK record gives the adoption date as 22 July 2020, promulgation date as 24 July 2020, and effective date as 24 December 2020.</x:v>
      </x:c>
      <x:c r="K474" s="65" t="str">
        <x:v>https://peraturan.bpk.go.id/Details/153923/pergub-prov-dki-jakarta-no-66-tahun-2020</x:v>
      </x:c>
      <x:c r="L474" s="65" t="n">
        <x:v>0</x:v>
      </x:c>
      <x:c r="M474" s="65" t="str">
        <x:v>Machine-suggested near-miss; human review required.</x:v>
      </x:c>
    </x:row>
    <x:row r="475" ht="42" customHeight="1">
      <x:c r="A475" s="65" t="str">
        <x:v>gold30-024</x:v>
      </x:c>
      <x:c r="B475" s="65" t="str">
        <x:v>dense</x:v>
      </x:c>
      <x:c r="C475" s="88" t="n">
        <x:v>5</x:v>
      </x:c>
      <x:c r="D475" s="65" t="str">
        <x:v>jakarta-court-air-quality</x:v>
      </x:c>
      <x:c r="E475" s="65" t="str">
        <x:v>jakarta-court-air-quality:structure:1</x:v>
      </x:c>
      <x:c r="F475" s="65" t="str">
        <x:v>p.2</x:v>
      </x:c>
      <x:c r="G475" s="92" t="n">
        <x:v>0.15991132</x:v>
      </x:c>
      <x:c r="H475" s="65" t="str">
        <x:v>Jakarta air-pollution citizen lawsuit: what the court record establishes</x:v>
      </x:c>
      <x:c r="I475" s="65" t="str">
        <x:v>Mahkamah Agung Republik Indonesia</x:v>
      </x:c>
      <x:c r="J475"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475" s="65" t="str">
        <x:v>https://putusan3.mahkamahagung.go.id/pengadilan/profil/pengadilan/pn-jakarta-pusat.html</x:v>
      </x:c>
      <x:c r="L475" s="65" t="n">
        <x:v>0</x:v>
      </x:c>
      <x:c r="M475" s="65" t="str">
        <x:v>Machine-suggested near-miss; human review required.</x:v>
      </x:c>
    </x:row>
    <x:row r="476" ht="42" customHeight="1">
      <x:c r="A476" s="65" t="str">
        <x:v>gold30-024</x:v>
      </x:c>
      <x:c r="B476" s="65" t="str">
        <x:v>hybrid</x:v>
      </x:c>
      <x:c r="C476" s="88" t="n">
        <x:v>1</x:v>
      </x:c>
      <x:c r="D476" s="65" t="str">
        <x:v>jakarta-improvements</x:v>
      </x:c>
      <x:c r="E476" s="65" t="str">
        <x:v>jakarta-improvements:structure:0</x:v>
      </x:c>
      <x:c r="F476" s="65" t="str">
        <x:v>p.1</x:v>
      </x:c>
      <x:c r="G476" s="92" t="n">
        <x:v>0.03284506</x:v>
      </x:c>
      <x:c r="H476" s="65" t="str">
        <x:v>Ways to improve Jakarta air quality</x:v>
      </x:c>
      <x:c r="I476" s="65" t="str">
        <x:v>Pemerintah Provinsi DKI Jakarta / Dinas Lingkungan Hidup</x:v>
      </x:c>
      <x:c r="J47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76" s="65" t="str">
        <x:v>https://www.jakarta.go.id/page/upaya-bersama-jaga-kualitas-udara-jakarta</x:v>
      </x:c>
      <x:c r="L476" s="65" t="n">
        <x:v>0</x:v>
      </x:c>
      <x:c r="M476" s="65" t="str">
        <x:v>Machine-suggested near-miss; human review required.</x:v>
      </x:c>
    </x:row>
    <x:row r="477" ht="42" customHeight="1">
      <x:c r="A477" s="65" t="str">
        <x:v>gold30-024</x:v>
      </x:c>
      <x:c r="B477" s="65" t="str">
        <x:v>hybrid</x:v>
      </x:c>
      <x:c r="C477" s="88" t="n">
        <x:v>2</x:v>
      </x:c>
      <x:c r="D477" s="65" t="str">
        <x:v>jakarta-seasonal-exposure</x:v>
      </x:c>
      <x:c r="E477" s="65" t="str">
        <x:v>jakarta-seasonal-exposure:structure:0</x:v>
      </x:c>
      <x:c r="F477" s="65" t="str">
        <x:v>p.1</x:v>
      </x:c>
      <x:c r="G477" s="92" t="n">
        <x:v>0.03231951</x:v>
      </x:c>
      <x:c r="H477" s="65" t="str">
        <x:v>Jakarta timing and local exposure context</x:v>
      </x:c>
      <x:c r="I477" s="65" t="str">
        <x:v>Dinas Lingkungan Hidup DKI Jakarta</x:v>
      </x:c>
      <x:c r="J477" s="65" t="str">
        <x:v>Published: 2024-04-06 Status as of: 2026-09-07 (official seasonal notice; not a current forecast) Document type: official_public_guidance Tags: topic=exposure-protection; audience=Jakarta-resident; action=protect-now; pollutant=PM2.5</x:v>
      </x:c>
      <x:c r="K477" s="65" t="str">
        <x:v>https://lingkunganhidup.jakarta.go.id/detail-artikel/masuki-musim-kemarau-pemprov-dki-minta-masyarakat-waspadai-penurunan-kualitas-udara</x:v>
      </x:c>
      <x:c r="L477" s="65" t="n">
        <x:v>0</x:v>
      </x:c>
      <x:c r="M477" s="65" t="str">
        <x:v>Machine-suggested near-miss; human review required.</x:v>
      </x:c>
    </x:row>
    <x:row r="478" ht="42" customHeight="1">
      <x:c r="A478" s="65" t="str">
        <x:v>gold30-024</x:v>
      </x:c>
      <x:c r="B478" s="65" t="str">
        <x:v>hybrid</x:v>
      </x:c>
      <x:c r="C478" s="88" t="n">
        <x:v>3</x:v>
      </x:c>
      <x:c r="D478" s="65" t="str">
        <x:v>pergub-66-2020-vehicle-testing</x:v>
      </x:c>
      <x:c r="E478" s="65" t="str">
        <x:v>pergub-66-2020-vehicle-testing:structure:0</x:v>
      </x:c>
      <x:c r="F478" s="65" t="str">
        <x:v>p.1</x:v>
      </x:c>
      <x:c r="G478" s="92" t="n">
        <x:v>0.03132212</x:v>
      </x:c>
      <x:c r="H478" s="65" t="str">
        <x:v>Pergub DKI Jakarta No. 66 Tahun 2020 — motor-vehicle emission testing</x:v>
      </x:c>
      <x:c r="I478" s="65" t="str">
        <x:v>Pemerintah Provinsi DKI Jakarta / Database Peraturan BPK</x:v>
      </x:c>
      <x:c r="J478" s="65" t="str">
        <x:v>Peraturan Gubernur Provinsi DKI Jakarta Nomor 66 Tahun 2020 is titled Uji Emisi Gas Buang Kendaraan Bermotor. The BPK record gives the adoption date as 22 July 2020, promulgation date as 24 July 2020, and effective date as 24 December 2020.</x:v>
      </x:c>
      <x:c r="K478" s="65" t="str">
        <x:v>https://peraturan.bpk.go.id/Details/153923/pergub-prov-dki-jakarta-no-66-tahun-2020</x:v>
      </x:c>
      <x:c r="L478" s="65" t="n">
        <x:v>0</x:v>
      </x:c>
      <x:c r="M478" s="65" t="str">
        <x:v>Machine-suggested near-miss; human review required.</x:v>
      </x:c>
    </x:row>
    <x:row r="479" ht="42" customHeight="1">
      <x:c r="A479" s="65" t="str">
        <x:v>gold30-024</x:v>
      </x:c>
      <x:c r="B479" s="65" t="str">
        <x:v>hybrid</x:v>
      </x:c>
      <x:c r="C479" s="88" t="n">
        <x:v>4</x:v>
      </x:c>
      <x:c r="D479" s="65" t="str">
        <x:v>jakarta-emission-testing</x:v>
      </x:c>
      <x:c r="E479" s="65" t="str">
        <x:v>jakarta-emission-testing:structure:0</x:v>
      </x:c>
      <x:c r="F479" s="65" t="str">
        <x:v>p.1</x:v>
      </x:c>
      <x:c r="G479" s="92" t="n">
        <x:v>0.0310969</x:v>
      </x:c>
      <x:c r="H479" s="65" t="str">
        <x:v>Jakarta vehicle-emissions testing obligation</x:v>
      </x:c>
      <x:c r="I479" s="65" t="str">
        <x:v>Dinas Lingkungan Hidup DKI Jakarta</x:v>
      </x:c>
      <x:c r="J479" s="65" t="str">
        <x:v>Published: page accessed 2026-09-07 (FAQ date not stated) Status as of: 2026-09-07; Pergub 66/2020 is listed as berlaku Document type: official_faq Tags: topic=regulation-implementation; audience=vehicle-owner; action=compliance</x:v>
      </x:c>
      <x:c r="K479" s="65" t="str">
        <x:v>https://lingkunganhidup.jakarta.go.id/faq/ujiemisi</x:v>
      </x:c>
      <x:c r="L479" s="65" t="n">
        <x:v>0</x:v>
      </x:c>
      <x:c r="M479" s="65" t="str">
        <x:v>Machine-suggested near-miss; human review required.</x:v>
      </x:c>
    </x:row>
    <x:row r="480" ht="42" customHeight="1">
      <x:c r="A480" s="65" t="str">
        <x:v>gold30-024</x:v>
      </x:c>
      <x:c r="B480" s="65" t="str">
        <x:v>hybrid</x:v>
      </x:c>
      <x:c r="C480" s="88" t="n">
        <x:v>5</x:v>
      </x:c>
      <x:c r="D480" s="65" t="str">
        <x:v>pp-22-2021-air-quality</x:v>
      </x:c>
      <x:c r="E480" s="65" t="str">
        <x:v>pp-22-2021-air-quality:structure:5</x:v>
      </x:c>
      <x:c r="F480" s="65" t="str">
        <x:v>p.6</x:v>
      </x:c>
      <x:c r="G480" s="92" t="n">
        <x:v>0.02970798</x:v>
      </x:c>
      <x:c r="H480" s="65" t="str">
        <x:v>PP No. 22 Tahun 2021 — environmental protection and ambient air quality</x:v>
      </x:c>
      <x:c r="I480" s="65" t="str">
        <x:v>Pemerintah Republik Indonesia / Database Peraturan BPK</x:v>
      </x:c>
      <x:c r="J480" s="65" t="str">
        <x:v>This is a rule-on-paper source. It does not establish that Jakarta inspected every regulated source, that a sanction was imposed in a particular case, or that implementation changed a measured concentration. Those claims require dated implementation records.</x:v>
      </x:c>
      <x:c r="K480" s="65" t="str">
        <x:v>https://peraturan.bpk.go.id/Details/161852/pp-no-22tahun-2021</x:v>
      </x:c>
      <x:c r="L480" s="65" t="n">
        <x:v>0</x:v>
      </x:c>
      <x:c r="M480" s="65" t="str">
        <x:v>Machine-suggested near-miss; human review required.</x:v>
      </x:c>
    </x:row>
    <x:row r="481" ht="42" customHeight="1">
      <x:c r="A481" s="65" t="str">
        <x:v>gold30-024</x:v>
      </x:c>
      <x:c r="B481" s="65" t="str">
        <x:v>hybrid_rerank</x:v>
      </x:c>
      <x:c r="C481" s="88" t="n">
        <x:v>1</x:v>
      </x:c>
      <x:c r="D481" s="65" t="str">
        <x:v>jakarta-improvements</x:v>
      </x:c>
      <x:c r="E481" s="65" t="str">
        <x:v>jakarta-improvements:structure:0</x:v>
      </x:c>
      <x:c r="F481" s="65" t="str">
        <x:v>p.1</x:v>
      </x:c>
      <x:c r="G481" s="92" t="n">
        <x:v>0.30985352</x:v>
      </x:c>
      <x:c r="H481" s="65" t="str">
        <x:v>Ways to improve Jakarta air quality</x:v>
      </x:c>
      <x:c r="I481" s="65" t="str">
        <x:v>Pemerintah Provinsi DKI Jakarta / Dinas Lingkungan Hidup</x:v>
      </x:c>
      <x:c r="J481"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81" s="65" t="str">
        <x:v>https://www.jakarta.go.id/page/upaya-bersama-jaga-kualitas-udara-jakarta</x:v>
      </x:c>
      <x:c r="L481" s="65" t="n">
        <x:v>0</x:v>
      </x:c>
      <x:c r="M481" s="65" t="str">
        <x:v>Machine-suggested near-miss; human review required.</x:v>
      </x:c>
    </x:row>
    <x:row r="482" ht="42" customHeight="1">
      <x:c r="A482" s="65" t="str">
        <x:v>gold30-024</x:v>
      </x:c>
      <x:c r="B482" s="65" t="str">
        <x:v>hybrid_rerank</x:v>
      </x:c>
      <x:c r="C482" s="88" t="n">
        <x:v>2</x:v>
      </x:c>
      <x:c r="D482" s="65" t="str">
        <x:v>jakarta-seasonal-exposure</x:v>
      </x:c>
      <x:c r="E482" s="65" t="str">
        <x:v>jakarta-seasonal-exposure:structure:0</x:v>
      </x:c>
      <x:c r="F482" s="65" t="str">
        <x:v>p.1</x:v>
      </x:c>
      <x:c r="G482" s="92" t="n">
        <x:v>0.30969585</x:v>
      </x:c>
      <x:c r="H482" s="65" t="str">
        <x:v>Jakarta timing and local exposure context</x:v>
      </x:c>
      <x:c r="I482" s="65" t="str">
        <x:v>Dinas Lingkungan Hidup DKI Jakarta</x:v>
      </x:c>
      <x:c r="J482" s="65" t="str">
        <x:v>Published: 2024-04-06 Status as of: 2026-09-07 (official seasonal notice; not a current forecast) Document type: official_public_guidance Tags: topic=exposure-protection; audience=Jakarta-resident; action=protect-now; pollutant=PM2.5</x:v>
      </x:c>
      <x:c r="K482" s="65" t="str">
        <x:v>https://lingkunganhidup.jakarta.go.id/detail-artikel/masuki-musim-kemarau-pemprov-dki-minta-masyarakat-waspadai-penurunan-kualitas-udara</x:v>
      </x:c>
      <x:c r="L482" s="65" t="n">
        <x:v>0</x:v>
      </x:c>
      <x:c r="M482" s="65" t="str">
        <x:v>Machine-suggested near-miss; human review required.</x:v>
      </x:c>
    </x:row>
    <x:row r="483" ht="42" customHeight="1">
      <x:c r="A483" s="65" t="str">
        <x:v>gold30-024</x:v>
      </x:c>
      <x:c r="B483" s="65" t="str">
        <x:v>hybrid_rerank</x:v>
      </x:c>
      <x:c r="C483" s="88" t="n">
        <x:v>3</x:v>
      </x:c>
      <x:c r="D483" s="65" t="str">
        <x:v>pergub-66-2020-vehicle-testing</x:v>
      </x:c>
      <x:c r="E483" s="65" t="str">
        <x:v>pergub-66-2020-vehicle-testing:structure:0</x:v>
      </x:c>
      <x:c r="F483" s="65" t="str">
        <x:v>p.1</x:v>
      </x:c>
      <x:c r="G483" s="92" t="n">
        <x:v>0.20939663</x:v>
      </x:c>
      <x:c r="H483" s="65" t="str">
        <x:v>Pergub DKI Jakarta No. 66 Tahun 2020 — motor-vehicle emission testing</x:v>
      </x:c>
      <x:c r="I483" s="65" t="str">
        <x:v>Pemerintah Provinsi DKI Jakarta / Database Peraturan BPK</x:v>
      </x:c>
      <x:c r="J483" s="65" t="str">
        <x:v>Peraturan Gubernur Provinsi DKI Jakarta Nomor 66 Tahun 2020 is titled Uji Emisi Gas Buang Kendaraan Bermotor. The BPK record gives the adoption date as 22 July 2020, promulgation date as 24 July 2020, and effective date as 24 December 2020.</x:v>
      </x:c>
      <x:c r="K483" s="65" t="str">
        <x:v>https://peraturan.bpk.go.id/Details/153923/pergub-prov-dki-jakarta-no-66-tahun-2020</x:v>
      </x:c>
      <x:c r="L483" s="65" t="n">
        <x:v>0</x:v>
      </x:c>
      <x:c r="M483" s="65" t="str">
        <x:v>Machine-suggested near-miss; human review required.</x:v>
      </x:c>
    </x:row>
    <x:row r="484" ht="42" customHeight="1">
      <x:c r="A484" s="65" t="str">
        <x:v>gold30-024</x:v>
      </x:c>
      <x:c r="B484" s="65" t="str">
        <x:v>hybrid_rerank</x:v>
      </x:c>
      <x:c r="C484" s="88" t="n">
        <x:v>4</x:v>
      </x:c>
      <x:c r="D484" s="65" t="str">
        <x:v>jakarta-emission-testing</x:v>
      </x:c>
      <x:c r="E484" s="65" t="str">
        <x:v>jakarta-emission-testing:structure:0</x:v>
      </x:c>
      <x:c r="F484" s="65" t="str">
        <x:v>p.1</x:v>
      </x:c>
      <x:c r="G484" s="92" t="n">
        <x:v>0.20932907</x:v>
      </x:c>
      <x:c r="H484" s="65" t="str">
        <x:v>Jakarta vehicle-emissions testing obligation</x:v>
      </x:c>
      <x:c r="I484" s="65" t="str">
        <x:v>Dinas Lingkungan Hidup DKI Jakarta</x:v>
      </x:c>
      <x:c r="J484" s="65" t="str">
        <x:v>Published: page accessed 2026-09-07 (FAQ date not stated) Status as of: 2026-09-07; Pergub 66/2020 is listed as berlaku Document type: official_faq Tags: topic=regulation-implementation; audience=vehicle-owner; action=compliance</x:v>
      </x:c>
      <x:c r="K484" s="65" t="str">
        <x:v>https://lingkunganhidup.jakarta.go.id/faq/ujiemisi</x:v>
      </x:c>
      <x:c r="L484" s="65" t="n">
        <x:v>0</x:v>
      </x:c>
      <x:c r="M484" s="65" t="str">
        <x:v>Machine-suggested near-miss; human review required.</x:v>
      </x:c>
    </x:row>
    <x:row r="485" ht="42" customHeight="1">
      <x:c r="A485" s="65" t="str">
        <x:v>gold30-024</x:v>
      </x:c>
      <x:c r="B485" s="65" t="str">
        <x:v>hybrid_rerank</x:v>
      </x:c>
      <x:c r="C485" s="88" t="n">
        <x:v>5</x:v>
      </x:c>
      <x:c r="D485" s="65" t="str">
        <x:v>pp-22-2021-air-quality</x:v>
      </x:c>
      <x:c r="E485" s="65" t="str">
        <x:v>pp-22-2021-air-quality:structure:5</x:v>
      </x:c>
      <x:c r="F485" s="65" t="str">
        <x:v>p.6</x:v>
      </x:c>
      <x:c r="G485" s="92" t="n">
        <x:v>0.20891239</x:v>
      </x:c>
      <x:c r="H485" s="65" t="str">
        <x:v>PP No. 22 Tahun 2021 — environmental protection and ambient air quality</x:v>
      </x:c>
      <x:c r="I485" s="65" t="str">
        <x:v>Pemerintah Republik Indonesia / Database Peraturan BPK</x:v>
      </x:c>
      <x:c r="J485" s="65" t="str">
        <x:v>This is a rule-on-paper source. It does not establish that Jakarta inspected every regulated source, that a sanction was imposed in a particular case, or that implementation changed a measured concentration. Those claims require dated implementation records.</x:v>
      </x:c>
      <x:c r="K485" s="65" t="str">
        <x:v>https://peraturan.bpk.go.id/Details/161852/pp-no-22tahun-2021</x:v>
      </x:c>
      <x:c r="L485" s="65" t="n">
        <x:v>0</x:v>
      </x:c>
      <x:c r="M485" s="65" t="str">
        <x:v>Machine-suggested near-miss; human review required.</x:v>
      </x:c>
    </x:row>
    <x:row r="486" ht="42" customHeight="1">
      <x:c r="A486" s="65" t="str">
        <x:v>gold30-025</x:v>
      </x:c>
      <x:c r="B486" s="65" t="str">
        <x:v>bm25</x:v>
      </x:c>
      <x:c r="C486" s="88" t="n">
        <x:v>1</x:v>
      </x:c>
      <x:c r="D486" s="65" t="str">
        <x:v>clean-air-room</x:v>
      </x:c>
      <x:c r="E486" s="65" t="str">
        <x:v>clean-air-room:structure:1</x:v>
      </x:c>
      <x:c r="F486" s="65" t="str">
        <x:v>p.2</x:v>
      </x:c>
      <x:c r="G486" s="92" t="n">
        <x:v>0.38461538</x:v>
      </x:c>
      <x:c r="H486" s="65" t="str">
        <x:v>Indoor filtration and a clean-air room</x:v>
      </x:c>
      <x:c r="I486" s="65" t="str">
        <x:v>United States Environmental Protection Agency</x:v>
      </x:c>
      <x:c r="J486"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486" s="65" t="str">
        <x:v>https://www.epa.gov/indoor-air-quality-iaq/guide-air-cleaners-home</x:v>
      </x:c>
      <x:c r="L486" s="65" t="n">
        <x:v>0</x:v>
      </x:c>
      <x:c r="M486" s="65" t="str">
        <x:v>Machine-suggested near-miss; human review required.</x:v>
      </x:c>
    </x:row>
    <x:row r="487" ht="42" customHeight="1">
      <x:c r="A487" s="65" t="str">
        <x:v>gold30-025</x:v>
      </x:c>
      <x:c r="B487" s="65" t="str">
        <x:v>bm25</x:v>
      </x:c>
      <x:c r="C487" s="88" t="n">
        <x:v>2</x:v>
      </x:c>
      <x:c r="D487" s="65" t="str">
        <x:v>jakarta-policy-implementation</x:v>
      </x:c>
      <x:c r="E487" s="65" t="str">
        <x:v>jakarta-policy-implementation:structure:2</x:v>
      </x:c>
      <x:c r="F487" s="65" t="str">
        <x:v>p.3</x:v>
      </x:c>
      <x:c r="G487" s="92" t="n">
        <x:v>0.38461538</x:v>
      </x:c>
      <x:c r="H487" s="65" t="str">
        <x:v>Why rules can coexist with poor air: implementation evidence</x:v>
      </x:c>
      <x:c r="I487" s="65" t="str">
        <x:v>Pemerintah Provinsi DKI Jakarta; Dinas Lingkungan Hidup DKI Jakarta; Mahkamah Agung</x:v>
      </x:c>
      <x:c r="J487"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487" s="65" t="str">
        <x:v>https://www.jakarta.go.id/siaran-pers/4802-SP-HMS-06-2024</x:v>
      </x:c>
      <x:c r="L487" s="65" t="n">
        <x:v>0</x:v>
      </x:c>
      <x:c r="M487" s="65" t="str">
        <x:v>Machine-suggested near-miss; human review required.</x:v>
      </x:c>
    </x:row>
    <x:row r="488" ht="42" customHeight="1">
      <x:c r="A488" s="65" t="str">
        <x:v>gold30-025</x:v>
      </x:c>
      <x:c r="B488" s="65" t="str">
        <x:v>bm25</x:v>
      </x:c>
      <x:c r="C488" s="88" t="n">
        <x:v>3</x:v>
      </x:c>
      <x:c r="D488" s="65" t="str">
        <x:v>jakarta-historical-city-series</x:v>
      </x:c>
      <x:c r="E488" s="65" t="str">
        <x:v>jakarta-historical-city-series:structure:1</x:v>
      </x:c>
      <x:c r="F488" s="65" t="str">
        <x:v>p.2</x:v>
      </x:c>
      <x:c r="G488" s="92" t="n">
        <x:v>0.30769231</x:v>
      </x:c>
      <x:c r="H488" s="65" t="str">
        <x:v>Jakarta historical PM2.5 and PM10 series: provenance and quality</x:v>
      </x:c>
      <x:c r="I488" s="65" t="str">
        <x:v>Open-Meteo / CAMS Global; deposited dataset by Nitiraj Kulkarni and Jagadish Tawade</x:v>
      </x:c>
      <x:c r="J488"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88" s="65" t="str">
        <x:v>https://zenodo.org/records/18673885</x:v>
      </x:c>
      <x:c r="L488" s="65" t="n">
        <x:v>0</x:v>
      </x:c>
      <x:c r="M488" s="65" t="str">
        <x:v>Machine-suggested near-miss; human review required.</x:v>
      </x:c>
    </x:row>
    <x:row r="489" ht="42" customHeight="1">
      <x:c r="A489" s="65" t="str">
        <x:v>gold30-025</x:v>
      </x:c>
      <x:c r="B489" s="65" t="str">
        <x:v>bm25</x:v>
      </x:c>
      <x:c r="C489" s="88" t="n">
        <x:v>4</x:v>
      </x:c>
      <x:c r="D489" s="65" t="str">
        <x:v>bad-air-day-protection</x:v>
      </x:c>
      <x:c r="E489" s="65" t="str">
        <x:v>bad-air-day-protection:structure:3</x:v>
      </x:c>
      <x:c r="F489" s="65" t="str">
        <x:v>p.4</x:v>
      </x:c>
      <x:c r="G489" s="92" t="n">
        <x:v>0.23076923</x:v>
      </x:c>
      <x:c r="H489" s="65" t="str">
        <x:v>Bad-air-day protection playbook</x:v>
      </x:c>
      <x:c r="I489" s="65" t="str">
        <x:v>World Health Organization, Regional Office for Europe</x:v>
      </x:c>
      <x:c r="J489" s="65" t="str">
        <x:v>Personal protection reduces a person's dose. It does not reduce Jakarta's emissions and cannot replace enforcement or clean-air policy. [bad-air-day-protection]</x:v>
      </x:c>
      <x:c r="K489" s="65" t="str">
        <x:v>https://www.who.int/news-room/questions-and-answers/item/air-pollution-personal-interventions-and-risk-communication</x:v>
      </x:c>
      <x:c r="L489" s="65" t="n">
        <x:v>0</x:v>
      </x:c>
      <x:c r="M489" s="65" t="str">
        <x:v>Machine-suggested near-miss; human review required.</x:v>
      </x:c>
    </x:row>
    <x:row r="490" ht="42" customHeight="1">
      <x:c r="A490" s="65" t="str">
        <x:v>gold30-025</x:v>
      </x:c>
      <x:c r="B490" s="65" t="str">
        <x:v>bm25</x:v>
      </x:c>
      <x:c r="C490" s="88" t="n">
        <x:v>5</x:v>
      </x:c>
      <x:c r="D490" s="65" t="str">
        <x:v>individual-emission-actions</x:v>
      </x:c>
      <x:c r="E490" s="65" t="str">
        <x:v>individual-emission-actions:structure:0</x:v>
      </x:c>
      <x:c r="F490" s="65" t="str">
        <x:v>p.1</x:v>
      </x:c>
      <x:c r="G490" s="92" t="n">
        <x:v>0.23076923</x:v>
      </x:c>
      <x:c r="H490" s="65" t="str">
        <x:v>What an individual can do to reduce emissions and improve accountability</x:v>
      </x:c>
      <x:c r="I490" s="65" t="str">
        <x:v>World Health Organization; Pemerintah Provinsi DKI Jakarta</x:v>
      </x:c>
      <x:c r="J490" s="65" t="str">
        <x:v>Published: 2024-11-15 (WHO practical briefs); DKI programme guidance accessed 2026-09-07 Status as of: 2026-09-07 (recommendations and programmes; not a substitute for enforcement) Document type: civic_and_emissions_guidance Tags: topic=individual-contribution; audience=Jakarta-…</x:v>
      </x:c>
      <x:c r="K490" s="65" t="str">
        <x:v>https://www.who.int/europe/publications/m/item/personal-level-actions-to-reduce-air-pollution-exposure</x:v>
      </x:c>
      <x:c r="L490" s="65" t="n">
        <x:v>0</x:v>
      </x:c>
      <x:c r="M490" s="65" t="str">
        <x:v>Machine-suggested near-miss; human review required.</x:v>
      </x:c>
    </x:row>
    <x:row r="491" ht="42" customHeight="1">
      <x:c r="A491" s="65" t="str">
        <x:v>gold30-025</x:v>
      </x:c>
      <x:c r="B491" s="65" t="str">
        <x:v>dense</x:v>
      </x:c>
      <x:c r="C491" s="88" t="n">
        <x:v>1</x:v>
      </x:c>
      <x:c r="D491" s="65" t="str">
        <x:v>ma-jakarta-air-lawsuit-record</x:v>
      </x:c>
      <x:c r="E491" s="65" t="str">
        <x:v>ma-jakarta-air-lawsuit-record:structure:0</x:v>
      </x:c>
      <x:c r="F491" s="65" t="str">
        <x:v>p.1</x:v>
      </x:c>
      <x:c r="G491" s="92" t="n">
        <x:v>0.2623521</x:v>
      </x:c>
      <x:c r="H491" s="65" t="str">
        <x:v>Mahkamah Agung record — Jakarta air-pollution citizen lawsuit</x:v>
      </x:c>
      <x:c r="I491" s="65" t="str">
        <x:v>Mahkamah Agung Republik Indonesia</x:v>
      </x:c>
      <x:c r="J491"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491" s="65" t="str">
        <x:v>https://putusan3.mahkamahagung.go.id/pengadilan/profil/pengadilan/pn-jakarta-pusat.html</x:v>
      </x:c>
      <x:c r="L491" s="65" t="n">
        <x:v>0</x:v>
      </x:c>
      <x:c r="M491" s="65" t="str">
        <x:v>Machine-suggested near-miss; human review required.</x:v>
      </x:c>
    </x:row>
    <x:row r="492" ht="42" customHeight="1">
      <x:c r="A492" s="65" t="str">
        <x:v>gold30-025</x:v>
      </x:c>
      <x:c r="B492" s="65" t="str">
        <x:v>dense</x:v>
      </x:c>
      <x:c r="C492" s="88" t="n">
        <x:v>2</x:v>
      </x:c>
      <x:c r="D492" s="65" t="str">
        <x:v>jakarta-seasonal-exposure</x:v>
      </x:c>
      <x:c r="E492" s="65" t="str">
        <x:v>jakarta-seasonal-exposure:structure:0</x:v>
      </x:c>
      <x:c r="F492" s="65" t="str">
        <x:v>p.1</x:v>
      </x:c>
      <x:c r="G492" s="92" t="n">
        <x:v>0.25395954</x:v>
      </x:c>
      <x:c r="H492" s="65" t="str">
        <x:v>Jakarta timing and local exposure context</x:v>
      </x:c>
      <x:c r="I492" s="65" t="str">
        <x:v>Dinas Lingkungan Hidup DKI Jakarta</x:v>
      </x:c>
      <x:c r="J492" s="65" t="str">
        <x:v>Published: 2024-04-06 Status as of: 2026-09-07 (official seasonal notice; not a current forecast) Document type: official_public_guidance Tags: topic=exposure-protection; audience=Jakarta-resident; action=protect-now; pollutant=PM2.5</x:v>
      </x:c>
      <x:c r="K492" s="65" t="str">
        <x:v>https://lingkunganhidup.jakarta.go.id/detail-artikel/masuki-musim-kemarau-pemprov-dki-minta-masyarakat-waspadai-penurunan-kualitas-udara</x:v>
      </x:c>
      <x:c r="L492" s="65" t="n">
        <x:v>0</x:v>
      </x:c>
      <x:c r="M492" s="65" t="str">
        <x:v>Machine-suggested near-miss; human review required.</x:v>
      </x:c>
    </x:row>
    <x:row r="493" ht="42" customHeight="1">
      <x:c r="A493" s="65" t="str">
        <x:v>gold30-025</x:v>
      </x:c>
      <x:c r="B493" s="65" t="str">
        <x:v>dense</x:v>
      </x:c>
      <x:c r="C493" s="88" t="n">
        <x:v>3</x:v>
      </x:c>
      <x:c r="D493" s="65" t="str">
        <x:v>jakarta-historical-city-series</x:v>
      </x:c>
      <x:c r="E493" s="65" t="str">
        <x:v>jakarta-historical-city-series:structure:1</x:v>
      </x:c>
      <x:c r="F493" s="65" t="str">
        <x:v>p.2</x:v>
      </x:c>
      <x:c r="G493" s="92" t="n">
        <x:v>0.24894138</x:v>
      </x:c>
      <x:c r="H493" s="65" t="str">
        <x:v>Jakarta historical PM2.5 and PM10 series: provenance and quality</x:v>
      </x:c>
      <x:c r="I493" s="65" t="str">
        <x:v>Open-Meteo / CAMS Global; deposited dataset by Nitiraj Kulkarni and Jagadish Tawade</x:v>
      </x:c>
      <x:c r="J493"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93" s="65" t="str">
        <x:v>https://zenodo.org/records/18673885</x:v>
      </x:c>
      <x:c r="L493" s="65" t="n">
        <x:v>0</x:v>
      </x:c>
      <x:c r="M493" s="65" t="str">
        <x:v>Machine-suggested near-miss; human review required.</x:v>
      </x:c>
    </x:row>
    <x:row r="494" ht="42" customHeight="1">
      <x:c r="A494" s="65" t="str">
        <x:v>gold30-025</x:v>
      </x:c>
      <x:c r="B494" s="65" t="str">
        <x:v>dense</x:v>
      </x:c>
      <x:c r="C494" s="88" t="n">
        <x:v>4</x:v>
      </x:c>
      <x:c r="D494" s="65" t="str">
        <x:v>jakarta-court-air-quality</x:v>
      </x:c>
      <x:c r="E494" s="65" t="str">
        <x:v>jakarta-court-air-quality:structure:1</x:v>
      </x:c>
      <x:c r="F494" s="65" t="str">
        <x:v>p.2</x:v>
      </x:c>
      <x:c r="G494" s="92" t="n">
        <x:v>0.24550774</x:v>
      </x:c>
      <x:c r="H494" s="65" t="str">
        <x:v>Jakarta air-pollution citizen lawsuit: what the court record establishes</x:v>
      </x:c>
      <x:c r="I494" s="65" t="str">
        <x:v>Mahkamah Agung Republik Indonesia</x:v>
      </x:c>
      <x:c r="J494"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494" s="65" t="str">
        <x:v>https://putusan3.mahkamahagung.go.id/pengadilan/profil/pengadilan/pn-jakarta-pusat.html</x:v>
      </x:c>
      <x:c r="L494" s="65" t="n">
        <x:v>0</x:v>
      </x:c>
      <x:c r="M494" s="65" t="str">
        <x:v>Machine-suggested near-miss; human review required.</x:v>
      </x:c>
    </x:row>
    <x:row r="495" ht="42" customHeight="1">
      <x:c r="A495" s="65" t="str">
        <x:v>gold30-025</x:v>
      </x:c>
      <x:c r="B495" s="65" t="str">
        <x:v>dense</x:v>
      </x:c>
      <x:c r="C495" s="88" t="n">
        <x:v>5</x:v>
      </x:c>
      <x:c r="D495" s="65" t="str">
        <x:v>clean-air-room</x:v>
      </x:c>
      <x:c r="E495" s="65" t="str">
        <x:v>clean-air-room:structure:1</x:v>
      </x:c>
      <x:c r="F495" s="65" t="str">
        <x:v>p.2</x:v>
      </x:c>
      <x:c r="G495" s="92" t="n">
        <x:v>0.24306423</x:v>
      </x:c>
      <x:c r="H495" s="65" t="str">
        <x:v>Indoor filtration and a clean-air room</x:v>
      </x:c>
      <x:c r="I495" s="65" t="str">
        <x:v>United States Environmental Protection Agency</x:v>
      </x:c>
      <x:c r="J495"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495" s="65" t="str">
        <x:v>https://www.epa.gov/indoor-air-quality-iaq/guide-air-cleaners-home</x:v>
      </x:c>
      <x:c r="L495" s="65" t="n">
        <x:v>0</x:v>
      </x:c>
      <x:c r="M495" s="65" t="str">
        <x:v>Machine-suggested near-miss; human review required.</x:v>
      </x:c>
    </x:row>
    <x:row r="496" ht="42" customHeight="1">
      <x:c r="A496" s="65" t="str">
        <x:v>gold30-025</x:v>
      </x:c>
      <x:c r="B496" s="65" t="str">
        <x:v>hybrid</x:v>
      </x:c>
      <x:c r="C496" s="88" t="n">
        <x:v>1</x:v>
      </x:c>
      <x:c r="D496" s="65" t="str">
        <x:v>clean-air-room</x:v>
      </x:c>
      <x:c r="E496" s="65" t="str">
        <x:v>clean-air-room:structure:1</x:v>
      </x:c>
      <x:c r="F496" s="65" t="str">
        <x:v>p.2</x:v>
      </x:c>
      <x:c r="G496" s="92" t="n">
        <x:v>0.03208575</x:v>
      </x:c>
      <x:c r="H496" s="65" t="str">
        <x:v>Indoor filtration and a clean-air room</x:v>
      </x:c>
      <x:c r="I496" s="65" t="str">
        <x:v>United States Environmental Protection Agency</x:v>
      </x:c>
      <x:c r="J496"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496" s="65" t="str">
        <x:v>https://www.epa.gov/indoor-air-quality-iaq/guide-air-cleaners-home</x:v>
      </x:c>
      <x:c r="L496" s="65" t="n">
        <x:v>0</x:v>
      </x:c>
      <x:c r="M496" s="65" t="str">
        <x:v>Machine-suggested near-miss; human review required.</x:v>
      </x:c>
    </x:row>
    <x:row r="497" ht="42" customHeight="1">
      <x:c r="A497" s="65" t="str">
        <x:v>gold30-025</x:v>
      </x:c>
      <x:c r="B497" s="65" t="str">
        <x:v>hybrid</x:v>
      </x:c>
      <x:c r="C497" s="88" t="n">
        <x:v>2</x:v>
      </x:c>
      <x:c r="D497" s="65" t="str">
        <x:v>jakarta-historical-city-series</x:v>
      </x:c>
      <x:c r="E497" s="65" t="str">
        <x:v>jakarta-historical-city-series:structure:1</x:v>
      </x:c>
      <x:c r="F497" s="65" t="str">
        <x:v>p.2</x:v>
      </x:c>
      <x:c r="G497" s="92" t="n">
        <x:v>0.03206349</x:v>
      </x:c>
      <x:c r="H497" s="65" t="str">
        <x:v>Jakarta historical PM2.5 and PM10 series: provenance and quality</x:v>
      </x:c>
      <x:c r="I497" s="65" t="str">
        <x:v>Open-Meteo / CAMS Global; deposited dataset by Nitiraj Kulkarni and Jagadish Tawade</x:v>
      </x:c>
      <x:c r="J497"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97" s="65" t="str">
        <x:v>https://zenodo.org/records/18673885</x:v>
      </x:c>
      <x:c r="L497" s="65" t="n">
        <x:v>0</x:v>
      </x:c>
      <x:c r="M497" s="65" t="str">
        <x:v>Machine-suggested near-miss; human review required.</x:v>
      </x:c>
    </x:row>
    <x:row r="498" ht="42" customHeight="1">
      <x:c r="A498" s="65" t="str">
        <x:v>gold30-025</x:v>
      </x:c>
      <x:c r="B498" s="65" t="str">
        <x:v>hybrid</x:v>
      </x:c>
      <x:c r="C498" s="88" t="n">
        <x:v>3</x:v>
      </x:c>
      <x:c r="D498" s="65" t="str">
        <x:v>jakarta-policy-implementation</x:v>
      </x:c>
      <x:c r="E498" s="65" t="str">
        <x:v>jakarta-policy-implementation:structure:2</x:v>
      </x:c>
      <x:c r="F498" s="65" t="str">
        <x:v>p.3</x:v>
      </x:c>
      <x:c r="G498" s="92" t="n">
        <x:v>0.03158358</x:v>
      </x:c>
      <x:c r="H498" s="65" t="str">
        <x:v>Why rules can coexist with poor air: implementation evidence</x:v>
      </x:c>
      <x:c r="I498" s="65" t="str">
        <x:v>Pemerintah Provinsi DKI Jakarta; Dinas Lingkungan Hidup DKI Jakarta; Mahkamah Agung</x:v>
      </x:c>
      <x:c r="J498"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498" s="65" t="str">
        <x:v>https://www.jakarta.go.id/siaran-pers/4802-SP-HMS-06-2024</x:v>
      </x:c>
      <x:c r="L498" s="65" t="n">
        <x:v>0</x:v>
      </x:c>
      <x:c r="M498" s="65" t="str">
        <x:v>Machine-suggested near-miss; human review required.</x:v>
      </x:c>
    </x:row>
    <x:row r="499" ht="42" customHeight="1">
      <x:c r="A499" s="65" t="str">
        <x:v>gold30-025</x:v>
      </x:c>
      <x:c r="B499" s="65" t="str">
        <x:v>hybrid</x:v>
      </x:c>
      <x:c r="C499" s="88" t="n">
        <x:v>4</x:v>
      </x:c>
      <x:c r="D499" s="65" t="str">
        <x:v>ma-jakarta-air-lawsuit-record</x:v>
      </x:c>
      <x:c r="E499" s="65" t="str">
        <x:v>ma-jakarta-air-lawsuit-record:structure:0</x:v>
      </x:c>
      <x:c r="F499" s="65" t="str">
        <x:v>p.1</x:v>
      </x:c>
      <x:c r="G499" s="92" t="n">
        <x:v>0.03121407</x:v>
      </x:c>
      <x:c r="H499" s="65" t="str">
        <x:v>Mahkamah Agung record — Jakarta air-pollution citizen lawsuit</x:v>
      </x:c>
      <x:c r="I499" s="65" t="str">
        <x:v>Mahkamah Agung Republik Indonesia</x:v>
      </x:c>
      <x:c r="J499"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499" s="65" t="str">
        <x:v>https://putusan3.mahkamahagung.go.id/pengadilan/profil/pengadilan/pn-jakarta-pusat.html</x:v>
      </x:c>
      <x:c r="L499" s="65" t="n">
        <x:v>0</x:v>
      </x:c>
      <x:c r="M499" s="65" t="str">
        <x:v>Machine-suggested near-miss; human review required.</x:v>
      </x:c>
    </x:row>
    <x:row r="500" ht="42" customHeight="1">
      <x:c r="A500" s="65" t="str">
        <x:v>gold30-025</x:v>
      </x:c>
      <x:c r="B500" s="65" t="str">
        <x:v>hybrid</x:v>
      </x:c>
      <x:c r="C500" s="88" t="n">
        <x:v>5</x:v>
      </x:c>
      <x:c r="D500" s="65" t="str">
        <x:v>jakarta-court-air-quality</x:v>
      </x:c>
      <x:c r="E500" s="65" t="str">
        <x:v>jakarta-court-air-quality:structure:1</x:v>
      </x:c>
      <x:c r="F500" s="65" t="str">
        <x:v>p.2</x:v>
      </x:c>
      <x:c r="G500" s="92" t="n">
        <x:v>0.03086287</x:v>
      </x:c>
      <x:c r="H500" s="65" t="str">
        <x:v>Jakarta air-pollution citizen lawsuit: what the court record establishes</x:v>
      </x:c>
      <x:c r="I500" s="65" t="str">
        <x:v>Mahkamah Agung Republik Indonesia</x:v>
      </x:c>
      <x:c r="J500"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00" s="65" t="str">
        <x:v>https://putusan3.mahkamahagung.go.id/pengadilan/profil/pengadilan/pn-jakarta-pusat.html</x:v>
      </x:c>
      <x:c r="L500" s="65" t="n">
        <x:v>0</x:v>
      </x:c>
      <x:c r="M500" s="65" t="str">
        <x:v>Machine-suggested near-miss; human review required.</x:v>
      </x:c>
    </x:row>
    <x:row r="501" ht="42" customHeight="1">
      <x:c r="A501" s="65" t="str">
        <x:v>gold30-025</x:v>
      </x:c>
      <x:c r="B501" s="65" t="str">
        <x:v>hybrid_rerank</x:v>
      </x:c>
      <x:c r="C501" s="88" t="n">
        <x:v>1</x:v>
      </x:c>
      <x:c r="D501" s="65" t="str">
        <x:v>clean-air-room</x:v>
      </x:c>
      <x:c r="E501" s="65" t="str">
        <x:v>clean-air-room:structure:1</x:v>
      </x:c>
      <x:c r="F501" s="65" t="str">
        <x:v>p.2</x:v>
      </x:c>
      <x:c r="G501" s="92" t="n">
        <x:v>0.27885649</x:v>
      </x:c>
      <x:c r="H501" s="65" t="str">
        <x:v>Indoor filtration and a clean-air room</x:v>
      </x:c>
      <x:c r="I501" s="65" t="str">
        <x:v>United States Environmental Protection Agency</x:v>
      </x:c>
      <x:c r="J501"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501" s="65" t="str">
        <x:v>https://www.epa.gov/indoor-air-quality-iaq/guide-air-cleaners-home</x:v>
      </x:c>
      <x:c r="L501" s="65" t="n">
        <x:v>0</x:v>
      </x:c>
      <x:c r="M501" s="65" t="str">
        <x:v>Machine-suggested near-miss; human review required.</x:v>
      </x:c>
    </x:row>
    <x:row r="502" ht="42" customHeight="1">
      <x:c r="A502" s="65" t="str">
        <x:v>gold30-025</x:v>
      </x:c>
      <x:c r="B502" s="65" t="str">
        <x:v>hybrid_rerank</x:v>
      </x:c>
      <x:c r="C502" s="88" t="n">
        <x:v>2</x:v>
      </x:c>
      <x:c r="D502" s="65" t="str">
        <x:v>jakarta-policy-implementation</x:v>
      </x:c>
      <x:c r="E502" s="65" t="str">
        <x:v>jakarta-policy-implementation:structure:2</x:v>
      </x:c>
      <x:c r="F502" s="65" t="str">
        <x:v>p.3</x:v>
      </x:c>
      <x:c r="G502" s="92" t="n">
        <x:v>0.27870584</x:v>
      </x:c>
      <x:c r="H502" s="65" t="str">
        <x:v>Why rules can coexist with poor air: implementation evidence</x:v>
      </x:c>
      <x:c r="I502" s="65" t="str">
        <x:v>Pemerintah Provinsi DKI Jakarta; Dinas Lingkungan Hidup DKI Jakarta; Mahkamah Agung</x:v>
      </x:c>
      <x:c r="J502"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502" s="65" t="str">
        <x:v>https://www.jakarta.go.id/siaran-pers/4802-SP-HMS-06-2024</x:v>
      </x:c>
      <x:c r="L502" s="65" t="n">
        <x:v>0</x:v>
      </x:c>
      <x:c r="M502" s="65" t="str">
        <x:v>Machine-suggested near-miss; human review required.</x:v>
      </x:c>
    </x:row>
    <x:row r="503" ht="42" customHeight="1">
      <x:c r="A503" s="65" t="str">
        <x:v>gold30-025</x:v>
      </x:c>
      <x:c r="B503" s="65" t="str">
        <x:v>hybrid_rerank</x:v>
      </x:c>
      <x:c r="C503" s="88" t="n">
        <x:v>3</x:v>
      </x:c>
      <x:c r="D503" s="65" t="str">
        <x:v>jakarta-historical-city-series</x:v>
      </x:c>
      <x:c r="E503" s="65" t="str">
        <x:v>jakarta-historical-city-series:structure:1</x:v>
      </x:c>
      <x:c r="F503" s="65" t="str">
        <x:v>p.2</x:v>
      </x:c>
      <x:c r="G503" s="92" t="n">
        <x:v>0.22500366</x:v>
      </x:c>
      <x:c r="H503" s="65" t="str">
        <x:v>Jakarta historical PM2.5 and PM10 series: provenance and quality</x:v>
      </x:c>
      <x:c r="I503" s="65" t="str">
        <x:v>Open-Meteo / CAMS Global; deposited dataset by Nitiraj Kulkarni and Jagadish Tawade</x:v>
      </x:c>
      <x:c r="J503"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503" s="65" t="str">
        <x:v>https://zenodo.org/records/18673885</x:v>
      </x:c>
      <x:c r="L503" s="65" t="n">
        <x:v>0</x:v>
      </x:c>
      <x:c r="M503" s="65" t="str">
        <x:v>Machine-suggested near-miss; human review required.</x:v>
      </x:c>
    </x:row>
    <x:row r="504" ht="42" customHeight="1">
      <x:c r="A504" s="65" t="str">
        <x:v>gold30-025</x:v>
      </x:c>
      <x:c r="B504" s="65" t="str">
        <x:v>hybrid_rerank</x:v>
      </x:c>
      <x:c r="C504" s="88" t="n">
        <x:v>4</x:v>
      </x:c>
      <x:c r="D504" s="65" t="str">
        <x:v>ma-jakarta-air-lawsuit-record</x:v>
      </x:c>
      <x:c r="E504" s="65" t="str">
        <x:v>ma-jakarta-air-lawsuit-record:structure:0</x:v>
      </x:c>
      <x:c r="F504" s="65" t="str">
        <x:v>p.1</x:v>
      </x:c>
      <x:c r="G504" s="92" t="n">
        <x:v>0.17090268</x:v>
      </x:c>
      <x:c r="H504" s="65" t="str">
        <x:v>Mahkamah Agung record — Jakarta air-pollution citizen lawsuit</x:v>
      </x:c>
      <x:c r="I504" s="65" t="str">
        <x:v>Mahkamah Agung Republik Indonesia</x:v>
      </x:c>
      <x:c r="J504"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504" s="65" t="str">
        <x:v>https://putusan3.mahkamahagung.go.id/pengadilan/profil/pengadilan/pn-jakarta-pusat.html</x:v>
      </x:c>
      <x:c r="L504" s="65" t="n">
        <x:v>0</x:v>
      </x:c>
      <x:c r="M504" s="65" t="str">
        <x:v>Machine-suggested near-miss; human review required.</x:v>
      </x:c>
    </x:row>
    <x:row r="505" ht="42" customHeight="1">
      <x:c r="A505" s="65" t="str">
        <x:v>gold30-025</x:v>
      </x:c>
      <x:c r="B505" s="65" t="str">
        <x:v>hybrid_rerank</x:v>
      </x:c>
      <x:c r="C505" s="88" t="n">
        <x:v>5</x:v>
      </x:c>
      <x:c r="D505" s="65" t="str">
        <x:v>jakarta-court-air-quality</x:v>
      </x:c>
      <x:c r="E505" s="65" t="str">
        <x:v>jakarta-court-air-quality:structure:1</x:v>
      </x:c>
      <x:c r="F505" s="65" t="str">
        <x:v>p.2</x:v>
      </x:c>
      <x:c r="G505" s="92" t="n">
        <x:v>0.17079732</x:v>
      </x:c>
      <x:c r="H505" s="65" t="str">
        <x:v>Jakarta air-pollution citizen lawsuit: what the court record establishes</x:v>
      </x:c>
      <x:c r="I505" s="65" t="str">
        <x:v>Mahkamah Agung Republik Indonesia</x:v>
      </x:c>
      <x:c r="J505"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05" s="65" t="str">
        <x:v>https://putusan3.mahkamahagung.go.id/pengadilan/profil/pengadilan/pn-jakarta-pusat.html</x:v>
      </x:c>
      <x:c r="L505" s="65" t="n">
        <x:v>0</x:v>
      </x:c>
      <x:c r="M505" s="65" t="str">
        <x:v>Machine-suggested near-miss; human review required.</x:v>
      </x:c>
    </x:row>
    <x:row r="506" ht="42" customHeight="1">
      <x:c r="A506" s="65" t="str">
        <x:v>gold30-026</x:v>
      </x:c>
      <x:c r="B506" s="65" t="str">
        <x:v>bm25</x:v>
      </x:c>
      <x:c r="C506" s="88" t="n">
        <x:v>1</x:v>
      </x:c>
      <x:c r="D506" s="65" t="str">
        <x:v>who-aqg-2021-extract</x:v>
      </x:c>
      <x:c r="E506" s="65" t="str">
        <x:v>who-aqg-2021-extract:structure:2</x:v>
      </x:c>
      <x:c r="F506" s="65" t="str">
        <x:v>p.3</x:v>
      </x:c>
      <x:c r="G506" s="92" t="n">
        <x:v>0.21428571</x:v>
      </x:c>
      <x:c r="H506" s="65" t="str">
        <x:v>WHO Global Air Quality Guidelines (2021) — particulate matter targets</x:v>
      </x:c>
      <x:c r="I506" s="65" t="str">
        <x:v>World Health Organization</x:v>
      </x:c>
      <x:c r="J506"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506" s="65" t="str">
        <x:v>https://www.who.int/publications/i/item/9789240034228</x:v>
      </x:c>
      <x:c r="L506" s="65" t="n">
        <x:v>3</x:v>
      </x:c>
      <x:c r="M506" s="65" t="str">
        <x:v>Expected source for this question.</x:v>
      </x:c>
    </x:row>
    <x:row r="507" ht="42" customHeight="1">
      <x:c r="A507" s="65" t="str">
        <x:v>gold30-026</x:v>
      </x:c>
      <x:c r="B507" s="65" t="str">
        <x:v>bm25</x:v>
      </x:c>
      <x:c r="C507" s="88" t="n">
        <x:v>2</x:v>
      </x:c>
      <x:c r="D507" s="65" t="str">
        <x:v>bad-air-day-protection</x:v>
      </x:c>
      <x:c r="E507" s="65" t="str">
        <x:v>bad-air-day-protection:structure:1</x:v>
      </x:c>
      <x:c r="F507" s="65" t="str">
        <x:v>p.2</x:v>
      </x:c>
      <x:c r="G507" s="92" t="n">
        <x:v>0.14285714</x:v>
      </x:c>
      <x:c r="H507" s="65" t="str">
        <x:v>Bad-air-day protection playbook</x:v>
      </x:c>
      <x:c r="I507" s="65" t="str">
        <x:v>World Health Organization, Regional Office for Europe</x:v>
      </x:c>
      <x:c r="J507"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507" s="65" t="str">
        <x:v>https://www.who.int/news-room/questions-and-answers/item/air-pollution-personal-interventions-and-risk-communication</x:v>
      </x:c>
      <x:c r="L507" s="65" t="n">
        <x:v>0</x:v>
      </x:c>
      <x:c r="M507" s="65" t="str">
        <x:v>Machine-suggested near-miss; human review required.</x:v>
      </x:c>
    </x:row>
    <x:row r="508" ht="42" customHeight="1">
      <x:c r="A508" s="65" t="str">
        <x:v>gold30-026</x:v>
      </x:c>
      <x:c r="B508" s="65" t="str">
        <x:v>bm25</x:v>
      </x:c>
      <x:c r="C508" s="88" t="n">
        <x:v>3</x:v>
      </x:c>
      <x:c r="D508" s="65" t="str">
        <x:v>jakarta-causes</x:v>
      </x:c>
      <x:c r="E508" s="65" t="str">
        <x:v>jakarta-causes:structure:0</x:v>
      </x:c>
      <x:c r="F508" s="65" t="str">
        <x:v>p.1</x:v>
      </x:c>
      <x:c r="G508" s="92" t="n">
        <x:v>0.14285714</x:v>
      </x:c>
      <x:c r="H508" s="65" t="str">
        <x:v>What causes Jakarta air pollution</x:v>
      </x:c>
      <x:c r="I508" s="65" t="str">
        <x:v>Dinas Lingkungan Hidup DKI Jakarta / Vital Strategies / ITB</x:v>
      </x:c>
      <x:c r="J508"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08" s="65" t="str">
        <x:v>https://rendahemisi.jakarta.go.id/learn</x:v>
      </x:c>
      <x:c r="L508" s="65" t="n">
        <x:v>0</x:v>
      </x:c>
      <x:c r="M508" s="65" t="str">
        <x:v>Machine-suggested near-miss; human review required.</x:v>
      </x:c>
    </x:row>
    <x:row r="509" ht="42" customHeight="1">
      <x:c r="A509" s="65" t="str">
        <x:v>gold30-026</x:v>
      </x:c>
      <x:c r="B509" s="65" t="str">
        <x:v>bm25</x:v>
      </x:c>
      <x:c r="C509" s="88" t="n">
        <x:v>4</x:v>
      </x:c>
      <x:c r="D509" s="65" t="str">
        <x:v>jakarta-court-air-quality</x:v>
      </x:c>
      <x:c r="E509" s="65" t="str">
        <x:v>jakarta-court-air-quality:structure:1</x:v>
      </x:c>
      <x:c r="F509" s="65" t="str">
        <x:v>p.2</x:v>
      </x:c>
      <x:c r="G509" s="92" t="n">
        <x:v>0.14285714</x:v>
      </x:c>
      <x:c r="H509" s="65" t="str">
        <x:v>Jakarta air-pollution citizen lawsuit: what the court record establishes</x:v>
      </x:c>
      <x:c r="I509" s="65" t="str">
        <x:v>Mahkamah Agung Republik Indonesia</x:v>
      </x:c>
      <x:c r="J509"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09" s="65" t="str">
        <x:v>https://putusan3.mahkamahagung.go.id/pengadilan/profil/pengadilan/pn-jakarta-pusat.html</x:v>
      </x:c>
      <x:c r="L509" s="65" t="n">
        <x:v>0</x:v>
      </x:c>
      <x:c r="M509" s="65" t="str">
        <x:v>Machine-suggested near-miss; human review required.</x:v>
      </x:c>
    </x:row>
    <x:row r="510" ht="42" customHeight="1">
      <x:c r="A510" s="65" t="str">
        <x:v>gold30-026</x:v>
      </x:c>
      <x:c r="B510" s="65" t="str">
        <x:v>bm25</x:v>
      </x:c>
      <x:c r="C510" s="88" t="n">
        <x:v>5</x:v>
      </x:c>
      <x:c r="D510" s="65" t="str">
        <x:v>jakarta-historical-city-series</x:v>
      </x:c>
      <x:c r="E510" s="65" t="str">
        <x:v>jakarta-historical-city-series:structure:2</x:v>
      </x:c>
      <x:c r="F510" s="65" t="str">
        <x:v>p.3</x:v>
      </x:c>
      <x:c r="G510" s="92" t="n">
        <x:v>0.14285714</x:v>
      </x:c>
      <x:c r="H510" s="65" t="str">
        <x:v>Jakarta historical PM2.5 and PM10 series: provenance and quality</x:v>
      </x:c>
      <x:c r="I510" s="65" t="str">
        <x:v>Open-Meteo / CAMS Global; deposited dataset by Nitiraj Kulkarni and Jagadish Tawade</x:v>
      </x:c>
      <x:c r="J510"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10" s="65" t="str">
        <x:v>https://zenodo.org/records/18673885</x:v>
      </x:c>
      <x:c r="L510" s="65" t="n">
        <x:v>0</x:v>
      </x:c>
      <x:c r="M510" s="65" t="str">
        <x:v>Machine-suggested near-miss; human review required.</x:v>
      </x:c>
    </x:row>
    <x:row r="511" ht="42" customHeight="1">
      <x:c r="A511" s="65" t="str">
        <x:v>gold30-026</x:v>
      </x:c>
      <x:c r="B511" s="65" t="str">
        <x:v>dense</x:v>
      </x:c>
      <x:c r="C511" s="88" t="n">
        <x:v>1</x:v>
      </x:c>
      <x:c r="D511" s="65" t="str">
        <x:v>jakarta-seasonal-exposure</x:v>
      </x:c>
      <x:c r="E511" s="65" t="str">
        <x:v>jakarta-seasonal-exposure:structure:0</x:v>
      </x:c>
      <x:c r="F511" s="65" t="str">
        <x:v>p.1</x:v>
      </x:c>
      <x:c r="G511" s="92" t="n">
        <x:v>0.21588209</x:v>
      </x:c>
      <x:c r="H511" s="65" t="str">
        <x:v>Jakarta timing and local exposure context</x:v>
      </x:c>
      <x:c r="I511" s="65" t="str">
        <x:v>Dinas Lingkungan Hidup DKI Jakarta</x:v>
      </x:c>
      <x:c r="J511" s="65" t="str">
        <x:v>Published: 2024-04-06 Status as of: 2026-09-07 (official seasonal notice; not a current forecast) Document type: official_public_guidance Tags: topic=exposure-protection; audience=Jakarta-resident; action=protect-now; pollutant=PM2.5</x:v>
      </x:c>
      <x:c r="K511" s="65" t="str">
        <x:v>https://lingkunganhidup.jakarta.go.id/detail-artikel/masuki-musim-kemarau-pemprov-dki-minta-masyarakat-waspadai-penurunan-kualitas-udara</x:v>
      </x:c>
      <x:c r="L511" s="65" t="n">
        <x:v>0</x:v>
      </x:c>
      <x:c r="M511" s="65" t="str">
        <x:v>Machine-suggested near-miss; human review required.</x:v>
      </x:c>
    </x:row>
    <x:row r="512" ht="42" customHeight="1">
      <x:c r="A512" s="65" t="str">
        <x:v>gold30-026</x:v>
      </x:c>
      <x:c r="B512" s="65" t="str">
        <x:v>dense</x:v>
      </x:c>
      <x:c r="C512" s="88" t="n">
        <x:v>2</x:v>
      </x:c>
      <x:c r="D512" s="65" t="str">
        <x:v>jakarta-court-air-quality</x:v>
      </x:c>
      <x:c r="E512" s="65" t="str">
        <x:v>jakarta-court-air-quality:structure:1</x:v>
      </x:c>
      <x:c r="F512" s="65" t="str">
        <x:v>p.2</x:v>
      </x:c>
      <x:c r="G512" s="92" t="n">
        <x:v>0.20457848</x:v>
      </x:c>
      <x:c r="H512" s="65" t="str">
        <x:v>Jakarta air-pollution citizen lawsuit: what the court record establishes</x:v>
      </x:c>
      <x:c r="I512" s="65" t="str">
        <x:v>Mahkamah Agung Republik Indonesia</x:v>
      </x:c>
      <x:c r="J51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12" s="65" t="str">
        <x:v>https://putusan3.mahkamahagung.go.id/pengadilan/profil/pengadilan/pn-jakarta-pusat.html</x:v>
      </x:c>
      <x:c r="L512" s="65" t="n">
        <x:v>0</x:v>
      </x:c>
      <x:c r="M512" s="65" t="str">
        <x:v>Machine-suggested near-miss; human review required.</x:v>
      </x:c>
    </x:row>
    <x:row r="513" ht="42" customHeight="1">
      <x:c r="A513" s="65" t="str">
        <x:v>gold30-026</x:v>
      </x:c>
      <x:c r="B513" s="65" t="str">
        <x:v>dense</x:v>
      </x:c>
      <x:c r="C513" s="88" t="n">
        <x:v>3</x:v>
      </x:c>
      <x:c r="D513" s="65" t="str">
        <x:v>jakarta-monitoring</x:v>
      </x:c>
      <x:c r="E513" s="65" t="str">
        <x:v>jakarta-monitoring:structure:0</x:v>
      </x:c>
      <x:c r="F513" s="65" t="str">
        <x:v>p.1</x:v>
      </x:c>
      <x:c r="G513" s="92" t="n">
        <x:v>0.20393116</x:v>
      </x:c>
      <x:c r="H513" s="65" t="str">
        <x:v>Jakarta monitoring stations</x:v>
      </x:c>
      <x:c r="I513" s="65" t="str">
        <x:v>Dinas Lingkungan Hidup Provinsi DKI Jakarta</x:v>
      </x:c>
      <x:c r="J513" s="65" t="str">
        <x:v>Jakarta's official monitoring portal publishes station locations, pollutant parameters, current readings, and timestamps. A station observation describes that station and observation time; it should not automatically be generalized to all of Jakarta.</x:v>
      </x:c>
      <x:c r="K513" s="65" t="str">
        <x:v>https://udara.jakarta.go.id/lokasi-spku</x:v>
      </x:c>
      <x:c r="L513" s="65" t="n">
        <x:v>3</x:v>
      </x:c>
      <x:c r="M513" s="65" t="str">
        <x:v>Expected source for this question.</x:v>
      </x:c>
    </x:row>
    <x:row r="514" ht="42" customHeight="1">
      <x:c r="A514" s="65" t="str">
        <x:v>gold30-026</x:v>
      </x:c>
      <x:c r="B514" s="65" t="str">
        <x:v>dense</x:v>
      </x:c>
      <x:c r="C514" s="88" t="n">
        <x:v>4</x:v>
      </x:c>
      <x:c r="D514" s="65" t="str">
        <x:v>ma-jakarta-air-lawsuit-record</x:v>
      </x:c>
      <x:c r="E514" s="65" t="str">
        <x:v>ma-jakarta-air-lawsuit-record:structure:0</x:v>
      </x:c>
      <x:c r="F514" s="65" t="str">
        <x:v>p.1</x:v>
      </x:c>
      <x:c r="G514" s="92" t="n">
        <x:v>0.16595252</x:v>
      </x:c>
      <x:c r="H514" s="65" t="str">
        <x:v>Mahkamah Agung record — Jakarta air-pollution citizen lawsuit</x:v>
      </x:c>
      <x:c r="I514" s="65" t="str">
        <x:v>Mahkamah Agung Republik Indonesia</x:v>
      </x:c>
      <x:c r="J514"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514" s="65" t="str">
        <x:v>https://putusan3.mahkamahagung.go.id/pengadilan/profil/pengadilan/pn-jakarta-pusat.html</x:v>
      </x:c>
      <x:c r="L514" s="65" t="n">
        <x:v>0</x:v>
      </x:c>
      <x:c r="M514" s="65" t="str">
        <x:v>Machine-suggested near-miss; human review required.</x:v>
      </x:c>
    </x:row>
    <x:row r="515" ht="42" customHeight="1">
      <x:c r="A515" s="65" t="str">
        <x:v>gold30-026</x:v>
      </x:c>
      <x:c r="B515" s="65" t="str">
        <x:v>dense</x:v>
      </x:c>
      <x:c r="C515" s="88" t="n">
        <x:v>5</x:v>
      </x:c>
      <x:c r="D515" s="65" t="str">
        <x:v>jakarta-historical-city-series</x:v>
      </x:c>
      <x:c r="E515" s="65" t="str">
        <x:v>jakarta-historical-city-series:structure:2</x:v>
      </x:c>
      <x:c r="F515" s="65" t="str">
        <x:v>p.3</x:v>
      </x:c>
      <x:c r="G515" s="92" t="n">
        <x:v>0.16249256</x:v>
      </x:c>
      <x:c r="H515" s="65" t="str">
        <x:v>Jakarta historical PM2.5 and PM10 series: provenance and quality</x:v>
      </x:c>
      <x:c r="I515" s="65" t="str">
        <x:v>Open-Meteo / CAMS Global; deposited dataset by Nitiraj Kulkarni and Jagadish Tawade</x:v>
      </x:c>
      <x:c r="J515"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15" s="65" t="str">
        <x:v>https://zenodo.org/records/18673885</x:v>
      </x:c>
      <x:c r="L515" s="65" t="n">
        <x:v>0</x:v>
      </x:c>
      <x:c r="M515" s="65" t="str">
        <x:v>Machine-suggested near-miss; human review required.</x:v>
      </x:c>
    </x:row>
    <x:row r="516" ht="42" customHeight="1">
      <x:c r="A516" s="65" t="str">
        <x:v>gold30-026</x:v>
      </x:c>
      <x:c r="B516" s="65" t="str">
        <x:v>hybrid</x:v>
      </x:c>
      <x:c r="C516" s="88" t="n">
        <x:v>1</x:v>
      </x:c>
      <x:c r="D516" s="65" t="str">
        <x:v>jakarta-court-air-quality</x:v>
      </x:c>
      <x:c r="E516" s="65" t="str">
        <x:v>jakarta-court-air-quality:structure:1</x:v>
      </x:c>
      <x:c r="F516" s="65" t="str">
        <x:v>p.2</x:v>
      </x:c>
      <x:c r="G516" s="92" t="n">
        <x:v>0.03207661</x:v>
      </x:c>
      <x:c r="H516" s="65" t="str">
        <x:v>Jakarta air-pollution citizen lawsuit: what the court record establishes</x:v>
      </x:c>
      <x:c r="I516" s="65" t="str">
        <x:v>Mahkamah Agung Republik Indonesia</x:v>
      </x:c>
      <x:c r="J516"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16" s="65" t="str">
        <x:v>https://putusan3.mahkamahagung.go.id/pengadilan/profil/pengadilan/pn-jakarta-pusat.html</x:v>
      </x:c>
      <x:c r="L516" s="65" t="n">
        <x:v>0</x:v>
      </x:c>
      <x:c r="M516" s="65" t="str">
        <x:v>Machine-suggested near-miss; human review required.</x:v>
      </x:c>
    </x:row>
    <x:row r="517" ht="42" customHeight="1">
      <x:c r="A517" s="65" t="str">
        <x:v>gold30-026</x:v>
      </x:c>
      <x:c r="B517" s="65" t="str">
        <x:v>hybrid</x:v>
      </x:c>
      <x:c r="C517" s="88" t="n">
        <x:v>2</x:v>
      </x:c>
      <x:c r="D517" s="65" t="str">
        <x:v>jakarta-seasonal-exposure</x:v>
      </x:c>
      <x:c r="E517" s="65" t="str">
        <x:v>jakarta-seasonal-exposure:structure:0</x:v>
      </x:c>
      <x:c r="F517" s="65" t="str">
        <x:v>p.1</x:v>
      </x:c>
      <x:c r="G517" s="92" t="n">
        <x:v>0.03187283</x:v>
      </x:c>
      <x:c r="H517" s="65" t="str">
        <x:v>Jakarta timing and local exposure context</x:v>
      </x:c>
      <x:c r="I517" s="65" t="str">
        <x:v>Dinas Lingkungan Hidup DKI Jakarta</x:v>
      </x:c>
      <x:c r="J517" s="65" t="str">
        <x:v>Published: 2024-04-06 Status as of: 2026-09-07 (official seasonal notice; not a current forecast) Document type: official_public_guidance Tags: topic=exposure-protection; audience=Jakarta-resident; action=protect-now; pollutant=PM2.5</x:v>
      </x:c>
      <x:c r="K517" s="65" t="str">
        <x:v>https://lingkunganhidup.jakarta.go.id/detail-artikel/masuki-musim-kemarau-pemprov-dki-minta-masyarakat-waspadai-penurunan-kualitas-udara</x:v>
      </x:c>
      <x:c r="L517" s="65" t="n">
        <x:v>0</x:v>
      </x:c>
      <x:c r="M517" s="65" t="str">
        <x:v>Machine-suggested near-miss; human review required.</x:v>
      </x:c>
    </x:row>
    <x:row r="518" ht="42" customHeight="1">
      <x:c r="A518" s="65" t="str">
        <x:v>gold30-026</x:v>
      </x:c>
      <x:c r="B518" s="65" t="str">
        <x:v>hybrid</x:v>
      </x:c>
      <x:c r="C518" s="88" t="n">
        <x:v>3</x:v>
      </x:c>
      <x:c r="D518" s="65" t="str">
        <x:v>jakarta-historical-city-series</x:v>
      </x:c>
      <x:c r="E518" s="65" t="str">
        <x:v>jakarta-historical-city-series:structure:2</x:v>
      </x:c>
      <x:c r="F518" s="65" t="str">
        <x:v>p.3</x:v>
      </x:c>
      <x:c r="G518" s="92" t="n">
        <x:v>0.03107692</x:v>
      </x:c>
      <x:c r="H518" s="65" t="str">
        <x:v>Jakarta historical PM2.5 and PM10 series: provenance and quality</x:v>
      </x:c>
      <x:c r="I518" s="65" t="str">
        <x:v>Open-Meteo / CAMS Global; deposited dataset by Nitiraj Kulkarni and Jagadish Tawade</x:v>
      </x:c>
      <x:c r="J518"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18" s="65" t="str">
        <x:v>https://zenodo.org/records/18673885</x:v>
      </x:c>
      <x:c r="L518" s="65" t="n">
        <x:v>0</x:v>
      </x:c>
      <x:c r="M518" s="65" t="str">
        <x:v>Machine-suggested near-miss; human review required.</x:v>
      </x:c>
    </x:row>
    <x:row r="519" ht="42" customHeight="1">
      <x:c r="A519" s="65" t="str">
        <x:v>gold30-026</x:v>
      </x:c>
      <x:c r="B519" s="65" t="str">
        <x:v>hybrid</x:v>
      </x:c>
      <x:c r="C519" s="88" t="n">
        <x:v>4</x:v>
      </x:c>
      <x:c r="D519" s="65" t="str">
        <x:v>jakarta-causes</x:v>
      </x:c>
      <x:c r="E519" s="65" t="str">
        <x:v>jakarta-causes:structure:0</x:v>
      </x:c>
      <x:c r="F519" s="65" t="str">
        <x:v>p.1</x:v>
      </x:c>
      <x:c r="G519" s="92" t="n">
        <x:v>0.03044444</x:v>
      </x:c>
      <x:c r="H519" s="65" t="str">
        <x:v>What causes Jakarta air pollution</x:v>
      </x:c>
      <x:c r="I519" s="65" t="str">
        <x:v>Dinas Lingkungan Hidup DKI Jakarta / Vital Strategies / ITB</x:v>
      </x:c>
      <x:c r="J519"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19" s="65" t="str">
        <x:v>https://rendahemisi.jakarta.go.id/learn</x:v>
      </x:c>
      <x:c r="L519" s="65" t="n">
        <x:v>0</x:v>
      </x:c>
      <x:c r="M519" s="65" t="str">
        <x:v>Machine-suggested near-miss; human review required.</x:v>
      </x:c>
    </x:row>
    <x:row r="520" ht="42" customHeight="1">
      <x:c r="A520" s="65" t="str">
        <x:v>gold30-026</x:v>
      </x:c>
      <x:c r="B520" s="65" t="str">
        <x:v>hybrid</x:v>
      </x:c>
      <x:c r="C520" s="88" t="n">
        <x:v>5</x:v>
      </x:c>
      <x:c r="D520" s="65" t="str">
        <x:v>pergub-66-2020-vehicle-testing</x:v>
      </x:c>
      <x:c r="E520" s="65" t="str">
        <x:v>pergub-66-2020-vehicle-testing:structure:0</x:v>
      </x:c>
      <x:c r="F520" s="65" t="str">
        <x:v>p.1</x:v>
      </x:c>
      <x:c r="G520" s="92" t="n">
        <x:v>0.02970798</x:v>
      </x:c>
      <x:c r="H520" s="65" t="str">
        <x:v>Pergub DKI Jakarta No. 66 Tahun 2020 — motor-vehicle emission testing</x:v>
      </x:c>
      <x:c r="I520" s="65" t="str">
        <x:v>Pemerintah Provinsi DKI Jakarta / Database Peraturan BPK</x:v>
      </x:c>
      <x:c r="J520" s="65" t="str">
        <x:v>Peraturan Gubernur Provinsi DKI Jakarta Nomor 66 Tahun 2020 is titled Uji Emisi Gas Buang Kendaraan Bermotor. The BPK record gives the adoption date as 22 July 2020, promulgation date as 24 July 2020, and effective date as 24 December 2020.</x:v>
      </x:c>
      <x:c r="K520" s="65" t="str">
        <x:v>https://peraturan.bpk.go.id/Details/153923/pergub-prov-dki-jakarta-no-66-tahun-2020</x:v>
      </x:c>
      <x:c r="L520" s="65" t="n">
        <x:v>0</x:v>
      </x:c>
      <x:c r="M520" s="65" t="str">
        <x:v>Machine-suggested near-miss; human review required.</x:v>
      </x:c>
    </x:row>
    <x:row r="521" ht="42" customHeight="1">
      <x:c r="A521" s="65" t="str">
        <x:v>gold30-026</x:v>
      </x:c>
      <x:c r="B521" s="65" t="str">
        <x:v>hybrid_rerank</x:v>
      </x:c>
      <x:c r="C521" s="88" t="n">
        <x:v>1</x:v>
      </x:c>
      <x:c r="D521" s="65" t="str">
        <x:v>who-aqg-2021-extract</x:v>
      </x:c>
      <x:c r="E521" s="65" t="str">
        <x:v>who-aqg-2021-extract:structure:2</x:v>
      </x:c>
      <x:c r="F521" s="65" t="str">
        <x:v>p.3</x:v>
      </x:c>
      <x:c r="G521" s="92" t="n">
        <x:v>0.15491803</x:v>
      </x:c>
      <x:c r="H521" s="65" t="str">
        <x:v>WHO Global Air Quality Guidelines (2021) — particulate matter targets</x:v>
      </x:c>
      <x:c r="I521" s="65" t="str">
        <x:v>World Health Organization</x:v>
      </x:c>
      <x:c r="J521"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521" s="65" t="str">
        <x:v>https://www.who.int/publications/i/item/9789240034228</x:v>
      </x:c>
      <x:c r="L521" s="65" t="n">
        <x:v>3</x:v>
      </x:c>
      <x:c r="M521" s="65" t="str">
        <x:v>Expected source for this question.</x:v>
      </x:c>
    </x:row>
    <x:row r="522" ht="42" customHeight="1">
      <x:c r="A522" s="65" t="str">
        <x:v>gold30-026</x:v>
      </x:c>
      <x:c r="B522" s="65" t="str">
        <x:v>hybrid_rerank</x:v>
      </x:c>
      <x:c r="C522" s="88" t="n">
        <x:v>2</x:v>
      </x:c>
      <x:c r="D522" s="65" t="str">
        <x:v>jakarta-court-air-quality</x:v>
      </x:c>
      <x:c r="E522" s="65" t="str">
        <x:v>jakarta-court-air-quality:structure:1</x:v>
      </x:c>
      <x:c r="F522" s="65" t="str">
        <x:v>p.2</x:v>
      </x:c>
      <x:c r="G522" s="92" t="n">
        <x:v>0.10962298</x:v>
      </x:c>
      <x:c r="H522" s="65" t="str">
        <x:v>Jakarta air-pollution citizen lawsuit: what the court record establishes</x:v>
      </x:c>
      <x:c r="I522" s="65" t="str">
        <x:v>Mahkamah Agung Republik Indonesia</x:v>
      </x:c>
      <x:c r="J52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22" s="65" t="str">
        <x:v>https://putusan3.mahkamahagung.go.id/pengadilan/profil/pengadilan/pn-jakarta-pusat.html</x:v>
      </x:c>
      <x:c r="L522" s="65" t="n">
        <x:v>0</x:v>
      </x:c>
      <x:c r="M522" s="65" t="str">
        <x:v>Machine-suggested near-miss; human review required.</x:v>
      </x:c>
    </x:row>
    <x:row r="523" ht="42" customHeight="1">
      <x:c r="A523" s="65" t="str">
        <x:v>gold30-026</x:v>
      </x:c>
      <x:c r="B523" s="65" t="str">
        <x:v>hybrid_rerank</x:v>
      </x:c>
      <x:c r="C523" s="88" t="n">
        <x:v>3</x:v>
      </x:c>
      <x:c r="D523" s="65" t="str">
        <x:v>jakarta-seasonal-exposure</x:v>
      </x:c>
      <x:c r="E523" s="65" t="str">
        <x:v>jakarta-seasonal-exposure:structure:0</x:v>
      </x:c>
      <x:c r="F523" s="65" t="str">
        <x:v>p.1</x:v>
      </x:c>
      <x:c r="G523" s="92" t="n">
        <x:v>0.10956185</x:v>
      </x:c>
      <x:c r="H523" s="65" t="str">
        <x:v>Jakarta timing and local exposure context</x:v>
      </x:c>
      <x:c r="I523" s="65" t="str">
        <x:v>Dinas Lingkungan Hidup DKI Jakarta</x:v>
      </x:c>
      <x:c r="J523" s="65" t="str">
        <x:v>Published: 2024-04-06 Status as of: 2026-09-07 (official seasonal notice; not a current forecast) Document type: official_public_guidance Tags: topic=exposure-protection; audience=Jakarta-resident; action=protect-now; pollutant=PM2.5</x:v>
      </x:c>
      <x:c r="K523" s="65" t="str">
        <x:v>https://lingkunganhidup.jakarta.go.id/detail-artikel/masuki-musim-kemarau-pemprov-dki-minta-masyarakat-waspadai-penurunan-kualitas-udara</x:v>
      </x:c>
      <x:c r="L523" s="65" t="n">
        <x:v>0</x:v>
      </x:c>
      <x:c r="M523" s="65" t="str">
        <x:v>Machine-suggested near-miss; human review required.</x:v>
      </x:c>
    </x:row>
    <x:row r="524" ht="42" customHeight="1">
      <x:c r="A524" s="65" t="str">
        <x:v>gold30-026</x:v>
      </x:c>
      <x:c r="B524" s="65" t="str">
        <x:v>hybrid_rerank</x:v>
      </x:c>
      <x:c r="C524" s="88" t="n">
        <x:v>4</x:v>
      </x:c>
      <x:c r="D524" s="65" t="str">
        <x:v>jakarta-historical-city-series</x:v>
      </x:c>
      <x:c r="E524" s="65" t="str">
        <x:v>jakarta-historical-city-series:structure:2</x:v>
      </x:c>
      <x:c r="F524" s="65" t="str">
        <x:v>p.3</x:v>
      </x:c>
      <x:c r="G524" s="92" t="n">
        <x:v>0.10932308</x:v>
      </x:c>
      <x:c r="H524" s="65" t="str">
        <x:v>Jakarta historical PM2.5 and PM10 series: provenance and quality</x:v>
      </x:c>
      <x:c r="I524" s="65" t="str">
        <x:v>Open-Meteo / CAMS Global; deposited dataset by Nitiraj Kulkarni and Jagadish Tawade</x:v>
      </x:c>
      <x:c r="J524"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24" s="65" t="str">
        <x:v>https://zenodo.org/records/18673885</x:v>
      </x:c>
      <x:c r="L524" s="65" t="n">
        <x:v>0</x:v>
      </x:c>
      <x:c r="M524" s="65" t="str">
        <x:v>Machine-suggested near-miss; human review required.</x:v>
      </x:c>
    </x:row>
    <x:row r="525" ht="42" customHeight="1">
      <x:c r="A525" s="65" t="str">
        <x:v>gold30-026</x:v>
      </x:c>
      <x:c r="B525" s="65" t="str">
        <x:v>hybrid_rerank</x:v>
      </x:c>
      <x:c r="C525" s="88" t="n">
        <x:v>5</x:v>
      </x:c>
      <x:c r="D525" s="65" t="str">
        <x:v>jakarta-causes</x:v>
      </x:c>
      <x:c r="E525" s="65" t="str">
        <x:v>jakarta-causes:structure:0</x:v>
      </x:c>
      <x:c r="F525" s="65" t="str">
        <x:v>p.1</x:v>
      </x:c>
      <x:c r="G525" s="92" t="n">
        <x:v>0.10913333</x:v>
      </x:c>
      <x:c r="H525" s="65" t="str">
        <x:v>What causes Jakarta air pollution</x:v>
      </x:c>
      <x:c r="I525" s="65" t="str">
        <x:v>Dinas Lingkungan Hidup DKI Jakarta / Vital Strategies / ITB</x:v>
      </x:c>
      <x:c r="J525"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25" s="65" t="str">
        <x:v>https://rendahemisi.jakarta.go.id/learn</x:v>
      </x:c>
      <x:c r="L525" s="65" t="n">
        <x:v>0</x:v>
      </x:c>
      <x:c r="M525" s="65" t="str">
        <x:v>Machine-suggested near-miss; human review required.</x:v>
      </x:c>
    </x:row>
    <x:row r="526" ht="42" customHeight="1">
      <x:c r="A526" s="65" t="str">
        <x:v>gold30-027</x:v>
      </x:c>
      <x:c r="B526" s="65" t="str">
        <x:v>bm25</x:v>
      </x:c>
      <x:c r="C526" s="88" t="n">
        <x:v>1</x:v>
      </x:c>
      <x:c r="D526" s="65" t="str">
        <x:v>jakarta-policy-implementation</x:v>
      </x:c>
      <x:c r="E526" s="65" t="str">
        <x:v>jakarta-policy-implementation:structure:4</x:v>
      </x:c>
      <x:c r="F526" s="65" t="str">
        <x:v>p.5</x:v>
      </x:c>
      <x:c r="G526" s="92" t="n">
        <x:v>0.5</x:v>
      </x:c>
      <x:c r="H526" s="65" t="str">
        <x:v>Why rules can coexist with poor air: implementation evidence</x:v>
      </x:c>
      <x:c r="I526" s="65" t="str">
        <x:v>Pemerintah Provinsi DKI Jakarta; Dinas Lingkungan Hidup DKI Jakarta; Mahkamah Agung</x:v>
      </x:c>
      <x:c r="J526"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526" s="65" t="str">
        <x:v>https://www.jakarta.go.id/siaran-pers/4802-SP-HMS-06-2024</x:v>
      </x:c>
      <x:c r="L526" s="65" t="n">
        <x:v>0</x:v>
      </x:c>
      <x:c r="M526" s="65" t="str">
        <x:v>Machine-suggested near-miss; human review required.</x:v>
      </x:c>
    </x:row>
    <x:row r="527" ht="42" customHeight="1">
      <x:c r="A527" s="65" t="str">
        <x:v>gold30-027</x:v>
      </x:c>
      <x:c r="B527" s="65" t="str">
        <x:v>bm25</x:v>
      </x:c>
      <x:c r="C527" s="88" t="n">
        <x:v>2</x:v>
      </x:c>
      <x:c r="D527" s="65" t="str">
        <x:v>policy-improvements-evidence</x:v>
      </x:c>
      <x:c r="E527" s="65" t="str">
        <x:v>policy-improvements-evidence:structure:2</x:v>
      </x:c>
      <x:c r="F527" s="65" t="str">
        <x:v>p.3</x:v>
      </x:c>
      <x:c r="G527" s="92" t="n">
        <x:v>0.5</x:v>
      </x:c>
      <x:c r="H527" s="65" t="str">
        <x:v>Evidence-based policy improvements for Jakarta</x:v>
      </x:c>
      <x:c r="I527" s="65" t="str">
        <x:v>Dinas Lingkungan Hidup DKI Jakarta; World Health Organization</x:v>
      </x:c>
      <x:c r="J527"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27" s="65" t="str">
        <x:v>https://www.jakarta.go.id/siaran-pers/4802-SP-HMS-06-2024</x:v>
      </x:c>
      <x:c r="L527" s="65" t="n">
        <x:v>0</x:v>
      </x:c>
      <x:c r="M527" s="65" t="str">
        <x:v>Machine-suggested near-miss; human review required.</x:v>
      </x:c>
    </x:row>
    <x:row r="528" ht="42" customHeight="1">
      <x:c r="A528" s="65" t="str">
        <x:v>gold30-027</x:v>
      </x:c>
      <x:c r="B528" s="65" t="str">
        <x:v>bm25</x:v>
      </x:c>
      <x:c r="C528" s="88" t="n">
        <x:v>3</x:v>
      </x:c>
      <x:c r="D528" s="65" t="str">
        <x:v>individual-emission-actions</x:v>
      </x:c>
      <x:c r="E528" s="65" t="str">
        <x:v>individual-emission-actions:structure:1</x:v>
      </x:c>
      <x:c r="F528" s="65" t="str">
        <x:v>p.2</x:v>
      </x:c>
      <x:c r="G528" s="92" t="n">
        <x:v>0.4</x:v>
      </x:c>
      <x:c r="H528" s="65" t="str">
        <x:v>What an individual can do to reduce emissions and improve accountability</x:v>
      </x:c>
      <x:c r="I528" s="65" t="str">
        <x:v>World Health Organization; Pemerintah Provinsi DKI Jakarta</x:v>
      </x:c>
      <x:c r="J528"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528" s="65" t="str">
        <x:v>https://www.who.int/europe/publications/m/item/personal-level-actions-to-reduce-air-pollution-exposure</x:v>
      </x:c>
      <x:c r="L528" s="65" t="n">
        <x:v>0</x:v>
      </x:c>
      <x:c r="M528" s="65" t="str">
        <x:v>Machine-suggested near-miss; human review required.</x:v>
      </x:c>
    </x:row>
    <x:row r="529" ht="42" customHeight="1">
      <x:c r="A529" s="65" t="str">
        <x:v>gold30-027</x:v>
      </x:c>
      <x:c r="B529" s="65" t="str">
        <x:v>bm25</x:v>
      </x:c>
      <x:c r="C529" s="88" t="n">
        <x:v>4</x:v>
      </x:c>
      <x:c r="D529" s="65" t="str">
        <x:v>jakarta-causes</x:v>
      </x:c>
      <x:c r="E529" s="65" t="str">
        <x:v>jakarta-causes:structure:2</x:v>
      </x:c>
      <x:c r="F529" s="65" t="str">
        <x:v>p.3</x:v>
      </x:c>
      <x:c r="G529" s="92" t="n">
        <x:v>0.4</x:v>
      </x:c>
      <x:c r="H529" s="65" t="str">
        <x:v>What causes Jakarta air pollution</x:v>
      </x:c>
      <x:c r="I529" s="65" t="str">
        <x:v>Dinas Lingkungan Hidup DKI Jakarta / Vital Strategies / ITB</x:v>
      </x:c>
      <x:c r="J529" s="65" t="str">
        <x:v>The evidence supports statements about likely contributors, not a claim that a single source caused one station's reading. Current station observations are descriptive and should be interpreted with their timestamp, location, and quality metadata.</x:v>
      </x:c>
      <x:c r="K529" s="65" t="str">
        <x:v>https://rendahemisi.jakarta.go.id/learn</x:v>
      </x:c>
      <x:c r="L529" s="65" t="n">
        <x:v>3</x:v>
      </x:c>
      <x:c r="M529" s="65" t="str">
        <x:v>Expected source for this question.</x:v>
      </x:c>
    </x:row>
    <x:row r="530" ht="42" customHeight="1">
      <x:c r="A530" s="65" t="str">
        <x:v>gold30-027</x:v>
      </x:c>
      <x:c r="B530" s="65" t="str">
        <x:v>bm25</x:v>
      </x:c>
      <x:c r="C530" s="88" t="n">
        <x:v>5</x:v>
      </x:c>
      <x:c r="D530" s="65" t="str">
        <x:v>jakarta-historical-city-series</x:v>
      </x:c>
      <x:c r="E530" s="65" t="str">
        <x:v>jakarta-historical-city-series:structure:2</x:v>
      </x:c>
      <x:c r="F530" s="65" t="str">
        <x:v>p.3</x:v>
      </x:c>
      <x:c r="G530" s="92" t="n">
        <x:v>0.4</x:v>
      </x:c>
      <x:c r="H530" s="65" t="str">
        <x:v>Jakarta historical PM2.5 and PM10 series: provenance and quality</x:v>
      </x:c>
      <x:c r="I530" s="65" t="str">
        <x:v>Open-Meteo / CAMS Global; deposited dataset by Nitiraj Kulkarni and Jagadish Tawade</x:v>
      </x:c>
      <x:c r="J530"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30" s="65" t="str">
        <x:v>https://zenodo.org/records/18673885</x:v>
      </x:c>
      <x:c r="L530" s="65" t="n">
        <x:v>0</x:v>
      </x:c>
      <x:c r="M530" s="65" t="str">
        <x:v>Machine-suggested near-miss; human review required.</x:v>
      </x:c>
    </x:row>
    <x:row r="531" ht="42" customHeight="1">
      <x:c r="A531" s="65" t="str">
        <x:v>gold30-027</x:v>
      </x:c>
      <x:c r="B531" s="65" t="str">
        <x:v>dense</x:v>
      </x:c>
      <x:c r="C531" s="88" t="n">
        <x:v>1</x:v>
      </x:c>
      <x:c r="D531" s="65" t="str">
        <x:v>permen-lhk-8-2023-vehicle-emissions</x:v>
      </x:c>
      <x:c r="E531" s="65" t="str">
        <x:v>permen-lhk-8-2023-vehicle-emissions:structure:5</x:v>
      </x:c>
      <x:c r="F531" s="65" t="str">
        <x:v>p.6</x:v>
      </x:c>
      <x:c r="G531" s="92" t="n">
        <x:v>0.35775247</x:v>
      </x:c>
      <x:c r="H531" s="65" t="str">
        <x:v>Permen LHK No. 8 Tahun 2023 — vehicle emission standards and testing</x:v>
      </x:c>
      <x:c r="I531" s="65" t="str">
        <x:v>Kementerian Lingkungan Hidup dan Kehutanan / Database Peraturan BPK</x:v>
      </x:c>
      <x:c r="J531" s="65" t="str">
        <x:v>The BPK page is evidence of the instrument's identity, scope and status. It does not provide a denominator for Jakarta testing coverage or proof that all eligible vehicles complied. Those implementation claims need DKI enforcement records and dated statistics.</x:v>
      </x:c>
      <x:c r="K531" s="65" t="str">
        <x:v>https://peraturan.bpk.go.id/Details/262504/permen-lhk-no-8-tahun-2023</x:v>
      </x:c>
      <x:c r="L531" s="65" t="n">
        <x:v>0</x:v>
      </x:c>
      <x:c r="M531" s="65" t="str">
        <x:v>Machine-suggested near-miss; human review required.</x:v>
      </x:c>
    </x:row>
    <x:row r="532" ht="42" customHeight="1">
      <x:c r="A532" s="65" t="str">
        <x:v>gold30-027</x:v>
      </x:c>
      <x:c r="B532" s="65" t="str">
        <x:v>dense</x:v>
      </x:c>
      <x:c r="C532" s="88" t="n">
        <x:v>2</x:v>
      </x:c>
      <x:c r="D532" s="65" t="str">
        <x:v>jakarta-policy-implementation</x:v>
      </x:c>
      <x:c r="E532" s="65" t="str">
        <x:v>jakarta-policy-implementation:structure:4</x:v>
      </x:c>
      <x:c r="F532" s="65" t="str">
        <x:v>p.5</x:v>
      </x:c>
      <x:c r="G532" s="92" t="n">
        <x:v>0.32615271</x:v>
      </x:c>
      <x:c r="H532" s="65" t="str">
        <x:v>Why rules can coexist with poor air: implementation evidence</x:v>
      </x:c>
      <x:c r="I532" s="65" t="str">
        <x:v>Pemerintah Provinsi DKI Jakarta; Dinas Lingkungan Hidup DKI Jakarta; Mahkamah Agung</x:v>
      </x:c>
      <x:c r="J532"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532" s="65" t="str">
        <x:v>https://www.jakarta.go.id/siaran-pers/4802-SP-HMS-06-2024</x:v>
      </x:c>
      <x:c r="L532" s="65" t="n">
        <x:v>0</x:v>
      </x:c>
      <x:c r="M532" s="65" t="str">
        <x:v>Machine-suggested near-miss; human review required.</x:v>
      </x:c>
    </x:row>
    <x:row r="533" ht="42" customHeight="1">
      <x:c r="A533" s="65" t="str">
        <x:v>gold30-027</x:v>
      </x:c>
      <x:c r="B533" s="65" t="str">
        <x:v>dense</x:v>
      </x:c>
      <x:c r="C533" s="88" t="n">
        <x:v>3</x:v>
      </x:c>
      <x:c r="D533" s="65" t="str">
        <x:v>clean-air-room</x:v>
      </x:c>
      <x:c r="E533" s="65" t="str">
        <x:v>clean-air-room:structure:1</x:v>
      </x:c>
      <x:c r="F533" s="65" t="str">
        <x:v>p.2</x:v>
      </x:c>
      <x:c r="G533" s="92" t="n">
        <x:v>0.31614534</x:v>
      </x:c>
      <x:c r="H533" s="65" t="str">
        <x:v>Indoor filtration and a clean-air room</x:v>
      </x:c>
      <x:c r="I533" s="65" t="str">
        <x:v>United States Environmental Protection Agency</x:v>
      </x:c>
      <x:c r="J533"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533" s="65" t="str">
        <x:v>https://www.epa.gov/indoor-air-quality-iaq/guide-air-cleaners-home</x:v>
      </x:c>
      <x:c r="L533" s="65" t="n">
        <x:v>0</x:v>
      </x:c>
      <x:c r="M533" s="65" t="str">
        <x:v>Machine-suggested near-miss; human review required.</x:v>
      </x:c>
    </x:row>
    <x:row r="534" ht="42" customHeight="1">
      <x:c r="A534" s="65" t="str">
        <x:v>gold30-027</x:v>
      </x:c>
      <x:c r="B534" s="65" t="str">
        <x:v>dense</x:v>
      </x:c>
      <x:c r="C534" s="88" t="n">
        <x:v>4</x:v>
      </x:c>
      <x:c r="D534" s="65" t="str">
        <x:v>jakarta-emission-testing</x:v>
      </x:c>
      <x:c r="E534" s="65" t="str">
        <x:v>jakarta-emission-testing:structure:1</x:v>
      </x:c>
      <x:c r="F534" s="65" t="str">
        <x:v>p.2</x:v>
      </x:c>
      <x:c r="G534" s="92" t="n">
        <x:v>0.31443816</x:v>
      </x:c>
      <x:c r="H534" s="65" t="str">
        <x:v>Jakarta vehicle-emissions testing obligation</x:v>
      </x:c>
      <x:c r="I534" s="65" t="str">
        <x:v>Dinas Lingkungan Hidup DKI Jakarta</x:v>
      </x:c>
      <x:c r="J534" s="65" t="str">
        <x:v>DLH DKI's FAQ says emissions testing is mandatory for individual passenger cars and motorcycles older than three years under Pergub 66/2020. It also describes a traffic-ticket consequence for vehicles that fail, under the national traffic-law framework. The rule, a test result,…</x:v>
      </x:c>
      <x:c r="K534" s="65" t="str">
        <x:v>https://lingkunganhidup.jakarta.go.id/faq/ujiemisi</x:v>
      </x:c>
      <x:c r="L534" s="65" t="n">
        <x:v>0</x:v>
      </x:c>
      <x:c r="M534" s="65" t="str">
        <x:v>Machine-suggested near-miss; human review required.</x:v>
      </x:c>
    </x:row>
    <x:row r="535" ht="42" customHeight="1">
      <x:c r="A535" s="65" t="str">
        <x:v>gold30-027</x:v>
      </x:c>
      <x:c r="B535" s="65" t="str">
        <x:v>dense</x:v>
      </x:c>
      <x:c r="C535" s="88" t="n">
        <x:v>5</x:v>
      </x:c>
      <x:c r="D535" s="65" t="str">
        <x:v>epa-air-cleaners-home-2026</x:v>
      </x:c>
      <x:c r="E535" s="65" t="str">
        <x:v>epa-air-cleaners-home-2026:structure:1</x:v>
      </x:c>
      <x:c r="F535" s="65" t="str">
        <x:v>p.2</x:v>
      </x:c>
      <x:c r="G535" s="92" t="n">
        <x:v>0.30662194</x:v>
      </x:c>
      <x:c r="H535" s="65" t="str">
        <x:v>US EPA Guide to Air Cleaners in the Home (2nd edition)</x:v>
      </x:c>
      <x:c r="I535" s="65" t="str">
        <x:v>United States Environmental Protection Agency</x:v>
      </x:c>
      <x:c r="J535" s="65" t="str">
        <x:v>The guide explains that a portable cleaner's clean air delivery rate (CADR) and the room size determine how much filtered air is delivered. A product recommendation therefore needs room dimensions and a stated particle CADR, rather than only a marketing label.</x:v>
      </x:c>
      <x:c r="K535" s="65" t="str">
        <x:v>https://www.epa.gov/indoor-air-quality-iaq/guide-air-cleaners-home</x:v>
      </x:c>
      <x:c r="L535" s="65" t="n">
        <x:v>0</x:v>
      </x:c>
      <x:c r="M535" s="65" t="str">
        <x:v>Machine-suggested near-miss; human review required.</x:v>
      </x:c>
    </x:row>
    <x:row r="536" ht="42" customHeight="1">
      <x:c r="A536" s="65" t="str">
        <x:v>gold30-027</x:v>
      </x:c>
      <x:c r="B536" s="65" t="str">
        <x:v>hybrid</x:v>
      </x:c>
      <x:c r="C536" s="88" t="n">
        <x:v>1</x:v>
      </x:c>
      <x:c r="D536" s="65" t="str">
        <x:v>jakarta-policy-implementation</x:v>
      </x:c>
      <x:c r="E536" s="65" t="str">
        <x:v>jakarta-policy-implementation:structure:4</x:v>
      </x:c>
      <x:c r="F536" s="65" t="str">
        <x:v>p.5</x:v>
      </x:c>
      <x:c r="G536" s="92" t="n">
        <x:v>0.03284506</x:v>
      </x:c>
      <x:c r="H536" s="65" t="str">
        <x:v>Why rules can coexist with poor air: implementation evidence</x:v>
      </x:c>
      <x:c r="I536" s="65" t="str">
        <x:v>Pemerintah Provinsi DKI Jakarta; Dinas Lingkungan Hidup DKI Jakarta; Mahkamah Agung</x:v>
      </x:c>
      <x:c r="J536"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536" s="65" t="str">
        <x:v>https://www.jakarta.go.id/siaran-pers/4802-SP-HMS-06-2024</x:v>
      </x:c>
      <x:c r="L536" s="65" t="n">
        <x:v>0</x:v>
      </x:c>
      <x:c r="M536" s="65" t="str">
        <x:v>Machine-suggested near-miss; human review required.</x:v>
      </x:c>
    </x:row>
    <x:row r="537" ht="42" customHeight="1">
      <x:c r="A537" s="65" t="str">
        <x:v>gold30-027</x:v>
      </x:c>
      <x:c r="B537" s="65" t="str">
        <x:v>hybrid</x:v>
      </x:c>
      <x:c r="C537" s="88" t="n">
        <x:v>2</x:v>
      </x:c>
      <x:c r="D537" s="65" t="str">
        <x:v>jakarta-emission-testing</x:v>
      </x:c>
      <x:c r="E537" s="65" t="str">
        <x:v>jakarta-emission-testing:structure:1</x:v>
      </x:c>
      <x:c r="F537" s="65" t="str">
        <x:v>p.2</x:v>
      </x:c>
      <x:c r="G537" s="92" t="n">
        <x:v>0.03064338</x:v>
      </x:c>
      <x:c r="H537" s="65" t="str">
        <x:v>Jakarta vehicle-emissions testing obligation</x:v>
      </x:c>
      <x:c r="I537" s="65" t="str">
        <x:v>Dinas Lingkungan Hidup DKI Jakarta</x:v>
      </x:c>
      <x:c r="J537" s="65" t="str">
        <x:v>DLH DKI's FAQ says emissions testing is mandatory for individual passenger cars and motorcycles older than three years under Pergub 66/2020. It also describes a traffic-ticket consequence for vehicles that fail, under the national traffic-law framework. The rule, a test result,…</x:v>
      </x:c>
      <x:c r="K537" s="65" t="str">
        <x:v>https://lingkunganhidup.jakarta.go.id/faq/ujiemisi</x:v>
      </x:c>
      <x:c r="L537" s="65" t="n">
        <x:v>0</x:v>
      </x:c>
      <x:c r="M537" s="65" t="str">
        <x:v>Machine-suggested near-miss; human review required.</x:v>
      </x:c>
    </x:row>
    <x:row r="538" ht="42" customHeight="1">
      <x:c r="A538" s="65" t="str">
        <x:v>gold30-027</x:v>
      </x:c>
      <x:c r="B538" s="65" t="str">
        <x:v>hybrid</x:v>
      </x:c>
      <x:c r="C538" s="88" t="n">
        <x:v>3</x:v>
      </x:c>
      <x:c r="D538" s="65" t="str">
        <x:v>jakarta-causes</x:v>
      </x:c>
      <x:c r="E538" s="65" t="str">
        <x:v>jakarta-causes:structure:2</x:v>
      </x:c>
      <x:c r="F538" s="65" t="str">
        <x:v>p.3</x:v>
      </x:c>
      <x:c r="G538" s="92" t="n">
        <x:v>0.030625</x:v>
      </x:c>
      <x:c r="H538" s="65" t="str">
        <x:v>What causes Jakarta air pollution</x:v>
      </x:c>
      <x:c r="I538" s="65" t="str">
        <x:v>Dinas Lingkungan Hidup DKI Jakarta / Vital Strategies / ITB</x:v>
      </x:c>
      <x:c r="J538" s="65" t="str">
        <x:v>The evidence supports statements about likely contributors, not a claim that a single source caused one station's reading. Current station observations are descriptive and should be interpreted with their timestamp, location, and quality metadata.</x:v>
      </x:c>
      <x:c r="K538" s="65" t="str">
        <x:v>https://rendahemisi.jakarta.go.id/learn</x:v>
      </x:c>
      <x:c r="L538" s="65" t="n">
        <x:v>3</x:v>
      </x:c>
      <x:c r="M538" s="65" t="str">
        <x:v>Expected source for this question.</x:v>
      </x:c>
    </x:row>
    <x:row r="539" ht="42" customHeight="1">
      <x:c r="A539" s="65" t="str">
        <x:v>gold30-027</x:v>
      </x:c>
      <x:c r="B539" s="65" t="str">
        <x:v>hybrid</x:v>
      </x:c>
      <x:c r="C539" s="88" t="n">
        <x:v>4</x:v>
      </x:c>
      <x:c r="D539" s="65" t="str">
        <x:v>individual-emission-actions</x:v>
      </x:c>
      <x:c r="E539" s="65" t="str">
        <x:v>individual-emission-actions:structure:1</x:v>
      </x:c>
      <x:c r="F539" s="65" t="str">
        <x:v>p.2</x:v>
      </x:c>
      <x:c r="G539" s="92" t="n">
        <x:v>0.03044444</x:v>
      </x:c>
      <x:c r="H539" s="65" t="str">
        <x:v>What an individual can do to reduce emissions and improve accountability</x:v>
      </x:c>
      <x:c r="I539" s="65" t="str">
        <x:v>World Health Organization; Pemerintah Provinsi DKI Jakarta</x:v>
      </x:c>
      <x:c r="J539"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539" s="65" t="str">
        <x:v>https://www.who.int/europe/publications/m/item/personal-level-actions-to-reduce-air-pollution-exposure</x:v>
      </x:c>
      <x:c r="L539" s="65" t="n">
        <x:v>0</x:v>
      </x:c>
      <x:c r="M539" s="65" t="str">
        <x:v>Machine-suggested near-miss; human review required.</x:v>
      </x:c>
    </x:row>
    <x:row r="540" ht="42" customHeight="1">
      <x:c r="A540" s="65" t="str">
        <x:v>gold30-027</x:v>
      </x:c>
      <x:c r="B540" s="65" t="str">
        <x:v>hybrid</x:v>
      </x:c>
      <x:c r="C540" s="88" t="n">
        <x:v>5</x:v>
      </x:c>
      <x:c r="D540" s="65" t="str">
        <x:v>jakarta-monitoring</x:v>
      </x:c>
      <x:c r="E540" s="65" t="str">
        <x:v>jakarta-monitoring:structure:0</x:v>
      </x:c>
      <x:c r="F540" s="65" t="str">
        <x:v>p.1</x:v>
      </x:c>
      <x:c r="G540" s="92" t="n">
        <x:v>0.02971663</x:v>
      </x:c>
      <x:c r="H540" s="65" t="str">
        <x:v>Jakarta monitoring stations</x:v>
      </x:c>
      <x:c r="I540" s="65" t="str">
        <x:v>Dinas Lingkungan Hidup Provinsi DKI Jakarta</x:v>
      </x:c>
      <x:c r="J540" s="65" t="str">
        <x:v>Jakarta's official monitoring portal publishes station locations, pollutant parameters, current readings, and timestamps. A station observation describes that station and observation time; it should not automatically be generalized to all of Jakarta.</x:v>
      </x:c>
      <x:c r="K540" s="65" t="str">
        <x:v>https://udara.jakarta.go.id/lokasi-spku</x:v>
      </x:c>
      <x:c r="L540" s="65" t="n">
        <x:v>3</x:v>
      </x:c>
      <x:c r="M540" s="65" t="str">
        <x:v>Expected source for this question.</x:v>
      </x:c>
    </x:row>
    <x:row r="541" ht="42" customHeight="1">
      <x:c r="A541" s="65" t="str">
        <x:v>gold30-027</x:v>
      </x:c>
      <x:c r="B541" s="65" t="str">
        <x:v>hybrid_rerank</x:v>
      </x:c>
      <x:c r="C541" s="88" t="n">
        <x:v>1</x:v>
      </x:c>
      <x:c r="D541" s="65" t="str">
        <x:v>jakarta-policy-implementation</x:v>
      </x:c>
      <x:c r="E541" s="65" t="str">
        <x:v>jakarta-policy-implementation:structure:4</x:v>
      </x:c>
      <x:c r="F541" s="65" t="str">
        <x:v>p.5</x:v>
      </x:c>
      <x:c r="G541" s="92" t="n">
        <x:v>0.35985352</x:v>
      </x:c>
      <x:c r="H541" s="65" t="str">
        <x:v>Why rules can coexist with poor air: implementation evidence</x:v>
      </x:c>
      <x:c r="I541" s="65" t="str">
        <x:v>Pemerintah Provinsi DKI Jakarta; Dinas Lingkungan Hidup DKI Jakarta; Mahkamah Agung</x:v>
      </x:c>
      <x:c r="J541"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541" s="65" t="str">
        <x:v>https://www.jakarta.go.id/siaran-pers/4802-SP-HMS-06-2024</x:v>
      </x:c>
      <x:c r="L541" s="65" t="n">
        <x:v>0</x:v>
      </x:c>
      <x:c r="M541" s="65" t="str">
        <x:v>Machine-suggested near-miss; human review required.</x:v>
      </x:c>
    </x:row>
    <x:row r="542" ht="42" customHeight="1">
      <x:c r="A542" s="65" t="str">
        <x:v>gold30-027</x:v>
      </x:c>
      <x:c r="B542" s="65" t="str">
        <x:v>hybrid_rerank</x:v>
      </x:c>
      <x:c r="C542" s="88" t="n">
        <x:v>2</x:v>
      </x:c>
      <x:c r="D542" s="65" t="str">
        <x:v>policy-improvements-evidence</x:v>
      </x:c>
      <x:c r="E542" s="65" t="str">
        <x:v>policy-improvements-evidence:structure:2</x:v>
      </x:c>
      <x:c r="F542" s="65" t="str">
        <x:v>p.3</x:v>
      </x:c>
      <x:c r="G542" s="92" t="n">
        <x:v>0.35483871</x:v>
      </x:c>
      <x:c r="H542" s="65" t="str">
        <x:v>Evidence-based policy improvements for Jakarta</x:v>
      </x:c>
      <x:c r="I542" s="65" t="str">
        <x:v>Dinas Lingkungan Hidup DKI Jakarta; World Health Organization</x:v>
      </x:c>
      <x:c r="J542"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42" s="65" t="str">
        <x:v>https://www.jakarta.go.id/siaran-pers/4802-SP-HMS-06-2024</x:v>
      </x:c>
      <x:c r="L542" s="65" t="n">
        <x:v>0</x:v>
      </x:c>
      <x:c r="M542" s="65" t="str">
        <x:v>Machine-suggested near-miss; human review required.</x:v>
      </x:c>
    </x:row>
    <x:row r="543" ht="42" customHeight="1">
      <x:c r="A543" s="65" t="str">
        <x:v>gold30-027</x:v>
      </x:c>
      <x:c r="B543" s="65" t="str">
        <x:v>hybrid_rerank</x:v>
      </x:c>
      <x:c r="C543" s="88" t="n">
        <x:v>3</x:v>
      </x:c>
      <x:c r="D543" s="65" t="str">
        <x:v>jakarta-causes</x:v>
      </x:c>
      <x:c r="E543" s="65" t="str">
        <x:v>jakarta-causes:structure:2</x:v>
      </x:c>
      <x:c r="F543" s="65" t="str">
        <x:v>p.3</x:v>
      </x:c>
      <x:c r="G543" s="92" t="n">
        <x:v>0.2891875</x:v>
      </x:c>
      <x:c r="H543" s="65" t="str">
        <x:v>What causes Jakarta air pollution</x:v>
      </x:c>
      <x:c r="I543" s="65" t="str">
        <x:v>Dinas Lingkungan Hidup DKI Jakarta / Vital Strategies / ITB</x:v>
      </x:c>
      <x:c r="J543" s="65" t="str">
        <x:v>The evidence supports statements about likely contributors, not a claim that a single source caused one station's reading. Current station observations are descriptive and should be interpreted with their timestamp, location, and quality metadata.</x:v>
      </x:c>
      <x:c r="K543" s="65" t="str">
        <x:v>https://rendahemisi.jakarta.go.id/learn</x:v>
      </x:c>
      <x:c r="L543" s="65" t="n">
        <x:v>3</x:v>
      </x:c>
      <x:c r="M543" s="65" t="str">
        <x:v>Expected source for this question.</x:v>
      </x:c>
    </x:row>
    <x:row r="544" ht="42" customHeight="1">
      <x:c r="A544" s="65" t="str">
        <x:v>gold30-027</x:v>
      </x:c>
      <x:c r="B544" s="65" t="str">
        <x:v>hybrid_rerank</x:v>
      </x:c>
      <x:c r="C544" s="88" t="n">
        <x:v>4</x:v>
      </x:c>
      <x:c r="D544" s="65" t="str">
        <x:v>individual-emission-actions</x:v>
      </x:c>
      <x:c r="E544" s="65" t="str">
        <x:v>individual-emission-actions:structure:1</x:v>
      </x:c>
      <x:c r="F544" s="65" t="str">
        <x:v>p.2</x:v>
      </x:c>
      <x:c r="G544" s="92" t="n">
        <x:v>0.28913333</x:v>
      </x:c>
      <x:c r="H544" s="65" t="str">
        <x:v>What an individual can do to reduce emissions and improve accountability</x:v>
      </x:c>
      <x:c r="I544" s="65" t="str">
        <x:v>World Health Organization; Pemerintah Provinsi DKI Jakarta</x:v>
      </x:c>
      <x:c r="J544"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544" s="65" t="str">
        <x:v>https://www.who.int/europe/publications/m/item/personal-level-actions-to-reduce-air-pollution-exposure</x:v>
      </x:c>
      <x:c r="L544" s="65" t="n">
        <x:v>0</x:v>
      </x:c>
      <x:c r="M544" s="65" t="str">
        <x:v>Machine-suggested near-miss; human review required.</x:v>
      </x:c>
    </x:row>
    <x:row r="545" ht="42" customHeight="1">
      <x:c r="A545" s="65" t="str">
        <x:v>gold30-027</x:v>
      </x:c>
      <x:c r="B545" s="65" t="str">
        <x:v>hybrid_rerank</x:v>
      </x:c>
      <x:c r="C545" s="88" t="n">
        <x:v>5</x:v>
      </x:c>
      <x:c r="D545" s="65" t="str">
        <x:v>jakarta-emission-testing</x:v>
      </x:c>
      <x:c r="E545" s="65" t="str">
        <x:v>jakarta-emission-testing:structure:1</x:v>
      </x:c>
      <x:c r="F545" s="65" t="str">
        <x:v>p.2</x:v>
      </x:c>
      <x:c r="G545" s="92" t="n">
        <x:v>0.21919301</x:v>
      </x:c>
      <x:c r="H545" s="65" t="str">
        <x:v>Jakarta vehicle-emissions testing obligation</x:v>
      </x:c>
      <x:c r="I545" s="65" t="str">
        <x:v>Dinas Lingkungan Hidup DKI Jakarta</x:v>
      </x:c>
      <x:c r="J545" s="65" t="str">
        <x:v>DLH DKI's FAQ says emissions testing is mandatory for individual passenger cars and motorcycles older than three years under Pergub 66/2020. It also describes a traffic-ticket consequence for vehicles that fail, under the national traffic-law framework. The rule, a test result,…</x:v>
      </x:c>
      <x:c r="K545" s="65" t="str">
        <x:v>https://lingkunganhidup.jakarta.go.id/faq/ujiemisi</x:v>
      </x:c>
      <x:c r="L545" s="65" t="n">
        <x:v>0</x:v>
      </x:c>
      <x:c r="M545" s="65" t="str">
        <x:v>Machine-suggested near-miss; human review required.</x:v>
      </x:c>
    </x:row>
    <x:row r="546" ht="42" customHeight="1">
      <x:c r="A546" s="65" t="str">
        <x:v>gold30-028</x:v>
      </x:c>
      <x:c r="B546" s="65" t="str">
        <x:v>bm25</x:v>
      </x:c>
      <x:c r="C546" s="88" t="n">
        <x:v>1</x:v>
      </x:c>
      <x:c r="D546" s="65" t="str">
        <x:v>jakarta-improvements</x:v>
      </x:c>
      <x:c r="E546" s="65" t="str">
        <x:v>jakarta-improvements:structure:0</x:v>
      </x:c>
      <x:c r="F546" s="65" t="str">
        <x:v>p.1</x:v>
      </x:c>
      <x:c r="G546" s="92" t="n">
        <x:v>0.125</x:v>
      </x:c>
      <x:c r="H546" s="65" t="str">
        <x:v>Ways to improve Jakarta air quality</x:v>
      </x:c>
      <x:c r="I546" s="65" t="str">
        <x:v>Pemerintah Provinsi DKI Jakarta / Dinas Lingkungan Hidup</x:v>
      </x:c>
      <x:c r="J54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546" s="65" t="str">
        <x:v>https://www.jakarta.go.id/page/upaya-bersama-jaga-kualitas-udara-jakarta</x:v>
      </x:c>
      <x:c r="L546" s="65" t="n">
        <x:v>0</x:v>
      </x:c>
      <x:c r="M546" s="65" t="str">
        <x:v>Machine-suggested near-miss; human review required.</x:v>
      </x:c>
    </x:row>
    <x:row r="547" ht="42" customHeight="1">
      <x:c r="A547" s="65" t="str">
        <x:v>gold30-028</x:v>
      </x:c>
      <x:c r="B547" s="65" t="str">
        <x:v>bm25</x:v>
      </x:c>
      <x:c r="C547" s="88" t="n">
        <x:v>2</x:v>
      </x:c>
      <x:c r="D547" s="65" t="str">
        <x:v>jakarta-seasonal-exposure</x:v>
      </x:c>
      <x:c r="E547" s="65" t="str">
        <x:v>jakarta-seasonal-exposure:structure:0</x:v>
      </x:c>
      <x:c r="F547" s="65" t="str">
        <x:v>p.1</x:v>
      </x:c>
      <x:c r="G547" s="92" t="n">
        <x:v>0.125</x:v>
      </x:c>
      <x:c r="H547" s="65" t="str">
        <x:v>Jakarta timing and local exposure context</x:v>
      </x:c>
      <x:c r="I547" s="65" t="str">
        <x:v>Dinas Lingkungan Hidup DKI Jakarta</x:v>
      </x:c>
      <x:c r="J547" s="65" t="str">
        <x:v>Published: 2024-04-06 Status as of: 2026-09-07 (official seasonal notice; not a current forecast) Document type: official_public_guidance Tags: topic=exposure-protection; audience=Jakarta-resident; action=protect-now; pollutant=PM2.5</x:v>
      </x:c>
      <x:c r="K547" s="65" t="str">
        <x:v>https://lingkunganhidup.jakarta.go.id/detail-artikel/masuki-musim-kemarau-pemprov-dki-minta-masyarakat-waspadai-penurunan-kualitas-udara</x:v>
      </x:c>
      <x:c r="L547" s="65" t="n">
        <x:v>0</x:v>
      </x:c>
      <x:c r="M547" s="65" t="str">
        <x:v>Machine-suggested near-miss; human review required.</x:v>
      </x:c>
    </x:row>
    <x:row r="548" ht="42" customHeight="1">
      <x:c r="A548" s="65" t="str">
        <x:v>gold30-028</x:v>
      </x:c>
      <x:c r="B548" s="65" t="str">
        <x:v>bm25</x:v>
      </x:c>
      <x:c r="C548" s="88" t="n">
        <x:v>3</x:v>
      </x:c>
      <x:c r="D548" s="65" t="str">
        <x:v>bad-air-day-protection</x:v>
      </x:c>
      <x:c r="E548" s="65" t="str">
        <x:v>bad-air-day-protection:structure:0</x:v>
      </x:c>
      <x:c r="F548" s="65" t="str">
        <x:v>p.1</x:v>
      </x:c>
      <x:c r="G548" s="92" t="n">
        <x:v>0</x:v>
      </x:c>
      <x:c r="H548" s="65" t="str">
        <x:v>Bad-air-day protection playbook</x:v>
      </x:c>
      <x:c r="I548" s="65" t="str">
        <x:v>World Health Organization, Regional Office for Europe</x:v>
      </x:c>
      <x:c r="J548" s="65" t="str">
        <x:v>Published: 2024-10-04 Status as of: 2026-09-07 (health guidance; not Indonesian law) Document type: health_guidance Tags: topic=exposure-protection; audience=Jakarta-resident; action=protect-now; pollutant=ambient-particles</x:v>
      </x:c>
      <x:c r="K548" s="65" t="str">
        <x:v>https://www.who.int/news-room/questions-and-answers/item/air-pollution-personal-interventions-and-risk-communication</x:v>
      </x:c>
      <x:c r="L548" s="65" t="n">
        <x:v>0</x:v>
      </x:c>
      <x:c r="M548" s="65" t="str">
        <x:v>Machine-suggested near-miss; human review required.</x:v>
      </x:c>
    </x:row>
    <x:row r="549" ht="42" customHeight="1">
      <x:c r="A549" s="65" t="str">
        <x:v>gold30-028</x:v>
      </x:c>
      <x:c r="B549" s="65" t="str">
        <x:v>bm25</x:v>
      </x:c>
      <x:c r="C549" s="88" t="n">
        <x:v>4</x:v>
      </x:c>
      <x:c r="D549" s="65" t="str">
        <x:v>clean-air-room</x:v>
      </x:c>
      <x:c r="E549" s="65" t="str">
        <x:v>clean-air-room:structure:0</x:v>
      </x:c>
      <x:c r="F549" s="65" t="str">
        <x:v>p.1</x:v>
      </x:c>
      <x:c r="G549" s="92" t="n">
        <x:v>0</x:v>
      </x:c>
      <x:c r="H549" s="65" t="str">
        <x:v>Indoor filtration and a clean-air room</x:v>
      </x:c>
      <x:c r="I549" s="65" t="str">
        <x:v>United States Environmental Protection Agency</x:v>
      </x:c>
      <x:c r="J549" s="65" t="str">
        <x:v>Published: not stated; page last updated 2026-02-17 (accessed 2026-09-07) Status as of: 2026-09-07 (technical guidance; not Indonesian law) Document type: indoor_air_guidance Tags: topic=indoor-filtration; audience=household; action=protect-now; pollutant=particles</x:v>
      </x:c>
      <x:c r="K549" s="65" t="str">
        <x:v>https://www.epa.gov/indoor-air-quality-iaq/guide-air-cleaners-home</x:v>
      </x:c>
      <x:c r="L549" s="65" t="n">
        <x:v>0</x:v>
      </x:c>
      <x:c r="M549" s="65" t="str">
        <x:v>Machine-suggested near-miss; human review required.</x:v>
      </x:c>
    </x:row>
    <x:row r="550" ht="42" customHeight="1">
      <x:c r="A550" s="65" t="str">
        <x:v>gold30-028</x:v>
      </x:c>
      <x:c r="B550" s="65" t="str">
        <x:v>bm25</x:v>
      </x:c>
      <x:c r="C550" s="88" t="n">
        <x:v>5</x:v>
      </x:c>
      <x:c r="D550" s="65" t="str">
        <x:v>epa-air-cleaners-home-2026</x:v>
      </x:c>
      <x:c r="E550" s="65" t="str">
        <x:v>epa-air-cleaners-home-2026:structure:0</x:v>
      </x:c>
      <x:c r="F550" s="65" t="str">
        <x:v>p.1</x:v>
      </x:c>
      <x:c r="G550" s="92" t="n">
        <x:v>0</x:v>
      </x:c>
      <x:c r="H550" s="65" t="str">
        <x:v>US EPA Guide to Air Cleaners in the Home (2nd edition)</x:v>
      </x:c>
      <x:c r="I550" s="65" t="str">
        <x:v>United States Environmental Protection Agency</x:v>
      </x:c>
      <x:c r="J550" s="65" t="str">
        <x:v>The EPA guide discusses portable air cleaners, heating/ventilation and air-conditioning filters, indoor pollutant sources and practical limits. It is technical household guidance and should not be presented as a Jakarta regulation.</x:v>
      </x:c>
      <x:c r="K550" s="65" t="str">
        <x:v>https://www.epa.gov/indoor-air-quality-iaq/guide-air-cleaners-home</x:v>
      </x:c>
      <x:c r="L550" s="65" t="n">
        <x:v>0</x:v>
      </x:c>
      <x:c r="M550" s="65" t="str">
        <x:v>Machine-suggested near-miss; human review required.</x:v>
      </x:c>
    </x:row>
    <x:row r="551" ht="42" customHeight="1">
      <x:c r="A551" s="65" t="str">
        <x:v>gold30-028</x:v>
      </x:c>
      <x:c r="B551" s="65" t="str">
        <x:v>dense</x:v>
      </x:c>
      <x:c r="C551" s="88" t="n">
        <x:v>1</x:v>
      </x:c>
      <x:c r="D551" s="65" t="str">
        <x:v>jakarta-historical-city-series</x:v>
      </x:c>
      <x:c r="E551" s="65" t="str">
        <x:v>jakarta-historical-city-series:structure:0</x:v>
      </x:c>
      <x:c r="F551" s="65" t="str">
        <x:v>p.1</x:v>
      </x:c>
      <x:c r="G551" s="92" t="n">
        <x:v>0.13845001</x:v>
      </x:c>
      <x:c r="H551" s="65" t="str">
        <x:v>Jakarta historical PM2.5 and PM10 series: provenance and quality</x:v>
      </x:c>
      <x:c r="I551" s="65" t="str">
        <x:v>Open-Meteo / CAMS Global; deposited dataset by Nitiraj Kulkarni and Jagadish Tawade</x:v>
      </x:c>
      <x:c r="J551" s="65" t="str">
        <x:v>API source: https://air-quality-api.open-meteo.com/v1/air-quality Retrieved: 2026-09-07</x:v>
      </x:c>
      <x:c r="K551" s="65" t="str">
        <x:v>https://zenodo.org/records/18673885</x:v>
      </x:c>
      <x:c r="L551" s="65" t="n">
        <x:v>0</x:v>
      </x:c>
      <x:c r="M551" s="65" t="str">
        <x:v>Machine-suggested near-miss; human review required.</x:v>
      </x:c>
    </x:row>
    <x:row r="552" ht="42" customHeight="1">
      <x:c r="A552" s="65" t="str">
        <x:v>gold30-028</x:v>
      </x:c>
      <x:c r="B552" s="65" t="str">
        <x:v>dense</x:v>
      </x:c>
      <x:c r="C552" s="88" t="n">
        <x:v>2</x:v>
      </x:c>
      <x:c r="D552" s="65" t="str">
        <x:v>health-disclaimer</x:v>
      </x:c>
      <x:c r="E552" s="65" t="str">
        <x:v>health-disclaimer:structure:0</x:v>
      </x:c>
      <x:c r="F552" s="65" t="str">
        <x:v>p.1</x:v>
      </x:c>
      <x:c r="G552" s="92" t="n">
        <x:v>0.11897615</x:v>
      </x:c>
      <x:c r="H552" s="65" t="str">
        <x:v>Health communication boundary</x:v>
      </x:c>
      <x:c r="I552" s="65" t="str">
        <x:v>World Health Organization</x:v>
      </x:c>
      <x:c r="J552"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552" s="65" t="str">
        <x:v>https://www.who.int/publications/i/item/9789240000278</x:v>
      </x:c>
      <x:c r="L552" s="65" t="n">
        <x:v>3</x:v>
      </x:c>
      <x:c r="M552" s="65" t="str">
        <x:v>Expected source for this question.</x:v>
      </x:c>
    </x:row>
    <x:row r="553" ht="42" customHeight="1">
      <x:c r="A553" s="65" t="str">
        <x:v>gold30-028</x:v>
      </x:c>
      <x:c r="B553" s="65" t="str">
        <x:v>dense</x:v>
      </x:c>
      <x:c r="C553" s="88" t="n">
        <x:v>3</x:v>
      </x:c>
      <x:c r="D553" s="65" t="str">
        <x:v>jakarta-regulations</x:v>
      </x:c>
      <x:c r="E553" s="65" t="str">
        <x:v>jakarta-regulations:structure:0</x:v>
      </x:c>
      <x:c r="F553" s="65" t="str">
        <x:v>p.1</x:v>
      </x:c>
      <x:c r="G553" s="92" t="n">
        <x:v>0.11444949</x:v>
      </x:c>
      <x:c r="H553" s="65" t="str">
        <x:v>Jakarta and Indonesian air-quality regulations</x:v>
      </x:c>
      <x:c r="I553" s="65" t="str">
        <x:v>JDIH DKI Jakarta / Government of Indonesia</x:v>
      </x:c>
      <x:c r="J553"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553" s="65" t="str">
        <x:v>https://udara.jakarta.go.id/regulasi</x:v>
      </x:c>
      <x:c r="L553" s="65" t="n">
        <x:v>0</x:v>
      </x:c>
      <x:c r="M553" s="65" t="str">
        <x:v>Machine-suggested near-miss; human review required.</x:v>
      </x:c>
    </x:row>
    <x:row r="554" ht="42" customHeight="1">
      <x:c r="A554" s="65" t="str">
        <x:v>gold30-028</x:v>
      </x:c>
      <x:c r="B554" s="65" t="str">
        <x:v>dense</x:v>
      </x:c>
      <x:c r="C554" s="88" t="n">
        <x:v>4</x:v>
      </x:c>
      <x:c r="D554" s="65" t="str">
        <x:v>exposure-protection</x:v>
      </x:c>
      <x:c r="E554" s="65" t="str">
        <x:v>exposure-protection:structure:0</x:v>
      </x:c>
      <x:c r="F554" s="65" t="str">
        <x:v>p.1</x:v>
      </x:c>
      <x:c r="G554" s="92" t="n">
        <x:v>0.10590946</x:v>
      </x:c>
      <x:c r="H554" s="65" t="str">
        <x:v>Reducing personal exposure to air pollution</x:v>
      </x:c>
      <x:c r="I554" s="65" t="str">
        <x:v>World Health Organization</x:v>
      </x:c>
      <x:c r="J554"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554" s="65" t="str">
        <x:v>https://www.who.int/publications/i/item/9789240000278</x:v>
      </x:c>
      <x:c r="L554" s="65" t="n">
        <x:v>0</x:v>
      </x:c>
      <x:c r="M554" s="65" t="str">
        <x:v>Machine-suggested near-miss; human review required.</x:v>
      </x:c>
    </x:row>
    <x:row r="555" ht="42" customHeight="1">
      <x:c r="A555" s="65" t="str">
        <x:v>gold30-028</x:v>
      </x:c>
      <x:c r="B555" s="65" t="str">
        <x:v>dense</x:v>
      </x:c>
      <x:c r="C555" s="88" t="n">
        <x:v>5</x:v>
      </x:c>
      <x:c r="D555" s="65" t="str">
        <x:v>policy-improvements-evidence</x:v>
      </x:c>
      <x:c r="E555" s="65" t="str">
        <x:v>policy-improvements-evidence:structure:0</x:v>
      </x:c>
      <x:c r="F555" s="65" t="str">
        <x:v>p.1</x:v>
      </x:c>
      <x:c r="G555" s="92" t="n">
        <x:v>0.10506495</x:v>
      </x:c>
      <x:c r="H555" s="65" t="str">
        <x:v>Evidence-based policy improvements for Jakarta</x:v>
      </x:c>
      <x:c r="I555" s="65" t="str">
        <x:v>Dinas Lingkungan Hidup DKI Jakarta; World Health Organization</x:v>
      </x:c>
      <x:c r="J555" s="65" t="str">
        <x:v>Published: 2024-06-19; WHO personal-actions brief 2024-11-15 Status as of: 2026-09-07 (priority options; implementation and outcomes require evaluation) Document type: policy_options Tags: topic=policy-improvement; audience=decision-maker-and-public; action=accountability</x:v>
      </x:c>
      <x:c r="K555" s="65" t="str">
        <x:v>https://www.jakarta.go.id/siaran-pers/4802-SP-HMS-06-2024</x:v>
      </x:c>
      <x:c r="L555" s="65" t="n">
        <x:v>0</x:v>
      </x:c>
      <x:c r="M555" s="65" t="str">
        <x:v>Machine-suggested near-miss; human review required.</x:v>
      </x:c>
    </x:row>
    <x:row r="556" ht="42" customHeight="1">
      <x:c r="A556" s="65" t="str">
        <x:v>gold30-028</x:v>
      </x:c>
      <x:c r="B556" s="65" t="str">
        <x:v>hybrid</x:v>
      </x:c>
      <x:c r="C556" s="88" t="n">
        <x:v>1</x:v>
      </x:c>
      <x:c r="D556" s="65" t="str">
        <x:v>jakarta-seasonal-exposure</x:v>
      </x:c>
      <x:c r="E556" s="65" t="str">
        <x:v>jakarta-seasonal-exposure:structure:0</x:v>
      </x:c>
      <x:c r="F556" s="65" t="str">
        <x:v>p.1</x:v>
      </x:c>
      <x:c r="G556" s="92" t="n">
        <x:v>0.03158358</x:v>
      </x:c>
      <x:c r="H556" s="65" t="str">
        <x:v>Jakarta timing and local exposure context</x:v>
      </x:c>
      <x:c r="I556" s="65" t="str">
        <x:v>Dinas Lingkungan Hidup DKI Jakarta</x:v>
      </x:c>
      <x:c r="J556" s="65" t="str">
        <x:v>Published: 2024-04-06 Status as of: 2026-09-07 (official seasonal notice; not a current forecast) Document type: official_public_guidance Tags: topic=exposure-protection; audience=Jakarta-resident; action=protect-now; pollutant=PM2.5</x:v>
      </x:c>
      <x:c r="K556" s="65" t="str">
        <x:v>https://lingkunganhidup.jakarta.go.id/detail-artikel/masuki-musim-kemarau-pemprov-dki-minta-masyarakat-waspadai-penurunan-kualitas-udara</x:v>
      </x:c>
      <x:c r="L556" s="65" t="n">
        <x:v>0</x:v>
      </x:c>
      <x:c r="M556" s="65" t="str">
        <x:v>Machine-suggested near-miss; human review required.</x:v>
      </x:c>
    </x:row>
    <x:row r="557" ht="42" customHeight="1">
      <x:c r="A557" s="65" t="str">
        <x:v>gold30-028</x:v>
      </x:c>
      <x:c r="B557" s="65" t="str">
        <x:v>hybrid</x:v>
      </x:c>
      <x:c r="C557" s="88" t="n">
        <x:v>2</x:v>
      </x:c>
      <x:c r="D557" s="65" t="str">
        <x:v>health-disclaimer</x:v>
      </x:c>
      <x:c r="E557" s="65" t="str">
        <x:v>health-disclaimer:structure:0</x:v>
      </x:c>
      <x:c r="F557" s="65" t="str">
        <x:v>p.1</x:v>
      </x:c>
      <x:c r="G557" s="92" t="n">
        <x:v>0.03137699</x:v>
      </x:c>
      <x:c r="H557" s="65" t="str">
        <x:v>Health communication boundary</x:v>
      </x:c>
      <x:c r="I557" s="65" t="str">
        <x:v>World Health Organization</x:v>
      </x:c>
      <x:c r="J557"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557" s="65" t="str">
        <x:v>https://www.who.int/publications/i/item/9789240000278</x:v>
      </x:c>
      <x:c r="L557" s="65" t="n">
        <x:v>3</x:v>
      </x:c>
      <x:c r="M557" s="65" t="str">
        <x:v>Expected source for this question.</x:v>
      </x:c>
    </x:row>
    <x:row r="558" ht="42" customHeight="1">
      <x:c r="A558" s="65" t="str">
        <x:v>gold30-028</x:v>
      </x:c>
      <x:c r="B558" s="65" t="str">
        <x:v>hybrid</x:v>
      </x:c>
      <x:c r="C558" s="88" t="n">
        <x:v>3</x:v>
      </x:c>
      <x:c r="D558" s="65" t="str">
        <x:v>exposure-protection</x:v>
      </x:c>
      <x:c r="E558" s="65" t="str">
        <x:v>exposure-protection:structure:0</x:v>
      </x:c>
      <x:c r="F558" s="65" t="str">
        <x:v>p.1</x:v>
      </x:c>
      <x:c r="G558" s="92" t="n">
        <x:v>0.03108902</x:v>
      </x:c>
      <x:c r="H558" s="65" t="str">
        <x:v>Reducing personal exposure to air pollution</x:v>
      </x:c>
      <x:c r="I558" s="65" t="str">
        <x:v>World Health Organization</x:v>
      </x:c>
      <x:c r="J558"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558" s="65" t="str">
        <x:v>https://www.who.int/publications/i/item/9789240000278</x:v>
      </x:c>
      <x:c r="L558" s="65" t="n">
        <x:v>0</x:v>
      </x:c>
      <x:c r="M558" s="65" t="str">
        <x:v>Machine-suggested near-miss; human review required.</x:v>
      </x:c>
    </x:row>
    <x:row r="559" ht="42" customHeight="1">
      <x:c r="A559" s="65" t="str">
        <x:v>gold30-028</x:v>
      </x:c>
      <x:c r="B559" s="65" t="str">
        <x:v>hybrid</x:v>
      </x:c>
      <x:c r="C559" s="88" t="n">
        <x:v>4</x:v>
      </x:c>
      <x:c r="D559" s="65" t="str">
        <x:v>jakarta-improvements</x:v>
      </x:c>
      <x:c r="E559" s="65" t="str">
        <x:v>jakarta-improvements:structure:0</x:v>
      </x:c>
      <x:c r="F559" s="65" t="str">
        <x:v>p.1</x:v>
      </x:c>
      <x:c r="G559" s="92" t="n">
        <x:v>0.03096487</x:v>
      </x:c>
      <x:c r="H559" s="65" t="str">
        <x:v>Ways to improve Jakarta air quality</x:v>
      </x:c>
      <x:c r="I559" s="65" t="str">
        <x:v>Pemerintah Provinsi DKI Jakarta / Dinas Lingkungan Hidup</x:v>
      </x:c>
      <x:c r="J559"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559" s="65" t="str">
        <x:v>https://www.jakarta.go.id/page/upaya-bersama-jaga-kualitas-udara-jakarta</x:v>
      </x:c>
      <x:c r="L559" s="65" t="n">
        <x:v>0</x:v>
      </x:c>
      <x:c r="M559" s="65" t="str">
        <x:v>Machine-suggested near-miss; human review required.</x:v>
      </x:c>
    </x:row>
    <x:row r="560" ht="42" customHeight="1">
      <x:c r="A560" s="65" t="str">
        <x:v>gold30-028</x:v>
      </x:c>
      <x:c r="B560" s="65" t="str">
        <x:v>hybrid</x:v>
      </x:c>
      <x:c r="C560" s="88" t="n">
        <x:v>5</x:v>
      </x:c>
      <x:c r="D560" s="65" t="str">
        <x:v>bad-air-day-protection</x:v>
      </x:c>
      <x:c r="E560" s="65" t="str">
        <x:v>bad-air-day-protection:structure:0</x:v>
      </x:c>
      <x:c r="F560" s="65" t="str">
        <x:v>p.1</x:v>
      </x:c>
      <x:c r="G560" s="92" t="n">
        <x:v>0.03065562</x:v>
      </x:c>
      <x:c r="H560" s="65" t="str">
        <x:v>Bad-air-day protection playbook</x:v>
      </x:c>
      <x:c r="I560" s="65" t="str">
        <x:v>World Health Organization, Regional Office for Europe</x:v>
      </x:c>
      <x:c r="J560" s="65" t="str">
        <x:v>Published: 2024-10-04 Status as of: 2026-09-07 (health guidance; not Indonesian law) Document type: health_guidance Tags: topic=exposure-protection; audience=Jakarta-resident; action=protect-now; pollutant=ambient-particles</x:v>
      </x:c>
      <x:c r="K560" s="65" t="str">
        <x:v>https://www.who.int/news-room/questions-and-answers/item/air-pollution-personal-interventions-and-risk-communication</x:v>
      </x:c>
      <x:c r="L560" s="65" t="n">
        <x:v>0</x:v>
      </x:c>
      <x:c r="M560" s="65" t="str">
        <x:v>Machine-suggested near-miss; human review required.</x:v>
      </x:c>
    </x:row>
    <x:row r="561" ht="42" customHeight="1">
      <x:c r="A561" s="65" t="str">
        <x:v>gold30-028</x:v>
      </x:c>
      <x:c r="B561" s="65" t="str">
        <x:v>hybrid_rerank</x:v>
      </x:c>
      <x:c r="C561" s="88" t="n">
        <x:v>1</x:v>
      </x:c>
      <x:c r="D561" s="65" t="str">
        <x:v>jakarta-seasonal-exposure</x:v>
      </x:c>
      <x:c r="E561" s="65" t="str">
        <x:v>jakarta-seasonal-exposure:structure:0</x:v>
      </x:c>
      <x:c r="F561" s="65" t="str">
        <x:v>p.1</x:v>
      </x:c>
      <x:c r="G561" s="92" t="n">
        <x:v>0.09697507</x:v>
      </x:c>
      <x:c r="H561" s="65" t="str">
        <x:v>Jakarta timing and local exposure context</x:v>
      </x:c>
      <x:c r="I561" s="65" t="str">
        <x:v>Dinas Lingkungan Hidup DKI Jakarta</x:v>
      </x:c>
      <x:c r="J561" s="65" t="str">
        <x:v>Published: 2024-04-06 Status as of: 2026-09-07 (official seasonal notice; not a current forecast) Document type: official_public_guidance Tags: topic=exposure-protection; audience=Jakarta-resident; action=protect-now; pollutant=PM2.5</x:v>
      </x:c>
      <x:c r="K561" s="65" t="str">
        <x:v>https://lingkunganhidup.jakarta.go.id/detail-artikel/masuki-musim-kemarau-pemprov-dki-minta-masyarakat-waspadai-penurunan-kualitas-udara</x:v>
      </x:c>
      <x:c r="L561" s="65" t="n">
        <x:v>0</x:v>
      </x:c>
      <x:c r="M561" s="65" t="str">
        <x:v>Machine-suggested near-miss; human review required.</x:v>
      </x:c>
    </x:row>
    <x:row r="562" ht="42" customHeight="1">
      <x:c r="A562" s="65" t="str">
        <x:v>gold30-028</x:v>
      </x:c>
      <x:c r="B562" s="65" t="str">
        <x:v>hybrid_rerank</x:v>
      </x:c>
      <x:c r="C562" s="88" t="n">
        <x:v>2</x:v>
      </x:c>
      <x:c r="D562" s="65" t="str">
        <x:v>jakarta-improvements</x:v>
      </x:c>
      <x:c r="E562" s="65" t="str">
        <x:v>jakarta-improvements:structure:0</x:v>
      </x:c>
      <x:c r="F562" s="65" t="str">
        <x:v>p.1</x:v>
      </x:c>
      <x:c r="G562" s="92" t="n">
        <x:v>0.09678946</x:v>
      </x:c>
      <x:c r="H562" s="65" t="str">
        <x:v>Ways to improve Jakarta air quality</x:v>
      </x:c>
      <x:c r="I562" s="65" t="str">
        <x:v>Pemerintah Provinsi DKI Jakarta / Dinas Lingkungan Hidup</x:v>
      </x:c>
      <x:c r="J562"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562" s="65" t="str">
        <x:v>https://www.jakarta.go.id/page/upaya-bersama-jaga-kualitas-udara-jakarta</x:v>
      </x:c>
      <x:c r="L562" s="65" t="n">
        <x:v>0</x:v>
      </x:c>
      <x:c r="M562" s="65" t="str">
        <x:v>Machine-suggested near-miss; human review required.</x:v>
      </x:c>
    </x:row>
    <x:row r="563" ht="42" customHeight="1">
      <x:c r="A563" s="65" t="str">
        <x:v>gold30-028</x:v>
      </x:c>
      <x:c r="B563" s="65" t="str">
        <x:v>hybrid_rerank</x:v>
      </x:c>
      <x:c r="C563" s="88" t="n">
        <x:v>3</x:v>
      </x:c>
      <x:c r="D563" s="65" t="str">
        <x:v>health-disclaimer</x:v>
      </x:c>
      <x:c r="E563" s="65" t="str">
        <x:v>health-disclaimer:structure:0</x:v>
      </x:c>
      <x:c r="F563" s="65" t="str">
        <x:v>p.1</x:v>
      </x:c>
      <x:c r="G563" s="92" t="n">
        <x:v>0.0094131</x:v>
      </x:c>
      <x:c r="H563" s="65" t="str">
        <x:v>Health communication boundary</x:v>
      </x:c>
      <x:c r="I563" s="65" t="str">
        <x:v>World Health Organization</x:v>
      </x:c>
      <x:c r="J563"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563" s="65" t="str">
        <x:v>https://www.who.int/publications/i/item/9789240000278</x:v>
      </x:c>
      <x:c r="L563" s="65" t="n">
        <x:v>3</x:v>
      </x:c>
      <x:c r="M563" s="65" t="str">
        <x:v>Expected source for this question.</x:v>
      </x:c>
    </x:row>
    <x:row r="564" ht="42" customHeight="1">
      <x:c r="A564" s="65" t="str">
        <x:v>gold30-028</x:v>
      </x:c>
      <x:c r="B564" s="65" t="str">
        <x:v>hybrid_rerank</x:v>
      </x:c>
      <x:c r="C564" s="88" t="n">
        <x:v>4</x:v>
      </x:c>
      <x:c r="D564" s="65" t="str">
        <x:v>exposure-protection</x:v>
      </x:c>
      <x:c r="E564" s="65" t="str">
        <x:v>exposure-protection:structure:0</x:v>
      </x:c>
      <x:c r="F564" s="65" t="str">
        <x:v>p.1</x:v>
      </x:c>
      <x:c r="G564" s="92" t="n">
        <x:v>0.0093267</x:v>
      </x:c>
      <x:c r="H564" s="65" t="str">
        <x:v>Reducing personal exposure to air pollution</x:v>
      </x:c>
      <x:c r="I564" s="65" t="str">
        <x:v>World Health Organization</x:v>
      </x:c>
      <x:c r="J564"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564" s="65" t="str">
        <x:v>https://www.who.int/publications/i/item/9789240000278</x:v>
      </x:c>
      <x:c r="L564" s="65" t="n">
        <x:v>0</x:v>
      </x:c>
      <x:c r="M564" s="65" t="str">
        <x:v>Machine-suggested near-miss; human review required.</x:v>
      </x:c>
    </x:row>
    <x:row r="565" ht="42" customHeight="1">
      <x:c r="A565" s="65" t="str">
        <x:v>gold30-028</x:v>
      </x:c>
      <x:c r="B565" s="65" t="str">
        <x:v>hybrid_rerank</x:v>
      </x:c>
      <x:c r="C565" s="88" t="n">
        <x:v>5</x:v>
      </x:c>
      <x:c r="D565" s="65" t="str">
        <x:v>bad-air-day-protection</x:v>
      </x:c>
      <x:c r="E565" s="65" t="str">
        <x:v>bad-air-day-protection:structure:0</x:v>
      </x:c>
      <x:c r="F565" s="65" t="str">
        <x:v>p.1</x:v>
      </x:c>
      <x:c r="G565" s="92" t="n">
        <x:v>0.00919669</x:v>
      </x:c>
      <x:c r="H565" s="65" t="str">
        <x:v>Bad-air-day protection playbook</x:v>
      </x:c>
      <x:c r="I565" s="65" t="str">
        <x:v>World Health Organization, Regional Office for Europe</x:v>
      </x:c>
      <x:c r="J565" s="65" t="str">
        <x:v>Published: 2024-10-04 Status as of: 2026-09-07 (health guidance; not Indonesian law) Document type: health_guidance Tags: topic=exposure-protection; audience=Jakarta-resident; action=protect-now; pollutant=ambient-particles</x:v>
      </x:c>
      <x:c r="K565" s="65" t="str">
        <x:v>https://www.who.int/news-room/questions-and-answers/item/air-pollution-personal-interventions-and-risk-communication</x:v>
      </x:c>
      <x:c r="L565" s="65" t="n">
        <x:v>0</x:v>
      </x:c>
      <x:c r="M565" s="65" t="str">
        <x:v>Machine-suggested near-miss; human review required.</x:v>
      </x:c>
    </x:row>
    <x:row r="566" ht="42" customHeight="1">
      <x:c r="A566" s="65" t="str">
        <x:v>gold30-029</x:v>
      </x:c>
      <x:c r="B566" s="65" t="str">
        <x:v>bm25</x:v>
      </x:c>
      <x:c r="C566" s="88" t="n">
        <x:v>1</x:v>
      </x:c>
      <x:c r="D566" s="65" t="str">
        <x:v>jakarta-causes</x:v>
      </x:c>
      <x:c r="E566" s="65" t="str">
        <x:v>jakarta-causes:structure:0</x:v>
      </x:c>
      <x:c r="F566" s="65" t="str">
        <x:v>p.1</x:v>
      </x:c>
      <x:c r="G566" s="92" t="n">
        <x:v>0.5</x:v>
      </x:c>
      <x:c r="H566" s="65" t="str">
        <x:v>What causes Jakarta air pollution</x:v>
      </x:c>
      <x:c r="I566" s="65" t="str">
        <x:v>Dinas Lingkungan Hidup DKI Jakarta / Vital Strategies / ITB</x:v>
      </x:c>
      <x:c r="J566"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66" s="65" t="str">
        <x:v>https://rendahemisi.jakarta.go.id/learn</x:v>
      </x:c>
      <x:c r="L566" s="65" t="n">
        <x:v>0</x:v>
      </x:c>
      <x:c r="M566" s="65" t="str">
        <x:v>Machine-suggested near-miss; human review required.</x:v>
      </x:c>
    </x:row>
    <x:row r="567" ht="42" customHeight="1">
      <x:c r="A567" s="65" t="str">
        <x:v>gold30-029</x:v>
      </x:c>
      <x:c r="B567" s="65" t="str">
        <x:v>bm25</x:v>
      </x:c>
      <x:c r="C567" s="88" t="n">
        <x:v>2</x:v>
      </x:c>
      <x:c r="D567" s="65" t="str">
        <x:v>jakarta-historical-city-series</x:v>
      </x:c>
      <x:c r="E567" s="65" t="str">
        <x:v>jakarta-historical-city-series:structure:2</x:v>
      </x:c>
      <x:c r="F567" s="65" t="str">
        <x:v>p.3</x:v>
      </x:c>
      <x:c r="G567" s="92" t="n">
        <x:v>0.5</x:v>
      </x:c>
      <x:c r="H567" s="65" t="str">
        <x:v>Jakarta historical PM2.5 and PM10 series: provenance and quality</x:v>
      </x:c>
      <x:c r="I567" s="65" t="str">
        <x:v>Open-Meteo / CAMS Global; deposited dataset by Nitiraj Kulkarni and Jagadish Tawade</x:v>
      </x:c>
      <x:c r="J567"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67" s="65" t="str">
        <x:v>https://zenodo.org/records/18673885</x:v>
      </x:c>
      <x:c r="L567" s="65" t="n">
        <x:v>0</x:v>
      </x:c>
      <x:c r="M567" s="65" t="str">
        <x:v>Machine-suggested near-miss; human review required.</x:v>
      </x:c>
    </x:row>
    <x:row r="568" ht="42" customHeight="1">
      <x:c r="A568" s="65" t="str">
        <x:v>gold30-029</x:v>
      </x:c>
      <x:c r="B568" s="65" t="str">
        <x:v>bm25</x:v>
      </x:c>
      <x:c r="C568" s="88" t="n">
        <x:v>3</x:v>
      </x:c>
      <x:c r="D568" s="65" t="str">
        <x:v>bad-air-day-protection</x:v>
      </x:c>
      <x:c r="E568" s="65" t="str">
        <x:v>bad-air-day-protection:structure:1</x:v>
      </x:c>
      <x:c r="F568" s="65" t="str">
        <x:v>p.2</x:v>
      </x:c>
      <x:c r="G568" s="92" t="n">
        <x:v>0.4</x:v>
      </x:c>
      <x:c r="H568" s="65" t="str">
        <x:v>Bad-air-day protection playbook</x:v>
      </x:c>
      <x:c r="I568" s="65" t="str">
        <x:v>World Health Organization, Regional Office for Europe</x:v>
      </x:c>
      <x:c r="J568"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568" s="65" t="str">
        <x:v>https://www.who.int/news-room/questions-and-answers/item/air-pollution-personal-interventions-and-risk-communication</x:v>
      </x:c>
      <x:c r="L568" s="65" t="n">
        <x:v>0</x:v>
      </x:c>
      <x:c r="M568" s="65" t="str">
        <x:v>Machine-suggested near-miss; human review required.</x:v>
      </x:c>
    </x:row>
    <x:row r="569" ht="42" customHeight="1">
      <x:c r="A569" s="65" t="str">
        <x:v>gold30-029</x:v>
      </x:c>
      <x:c r="B569" s="65" t="str">
        <x:v>bm25</x:v>
      </x:c>
      <x:c r="C569" s="88" t="n">
        <x:v>4</x:v>
      </x:c>
      <x:c r="D569" s="65" t="str">
        <x:v>individual-emission-actions</x:v>
      </x:c>
      <x:c r="E569" s="65" t="str">
        <x:v>individual-emission-actions:structure:1</x:v>
      </x:c>
      <x:c r="F569" s="65" t="str">
        <x:v>p.2</x:v>
      </x:c>
      <x:c r="G569" s="92" t="n">
        <x:v>0.4</x:v>
      </x:c>
      <x:c r="H569" s="65" t="str">
        <x:v>What an individual can do to reduce emissions and improve accountability</x:v>
      </x:c>
      <x:c r="I569" s="65" t="str">
        <x:v>World Health Organization; Pemerintah Provinsi DKI Jakarta</x:v>
      </x:c>
      <x:c r="J569"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569" s="65" t="str">
        <x:v>https://www.who.int/europe/publications/m/item/personal-level-actions-to-reduce-air-pollution-exposure</x:v>
      </x:c>
      <x:c r="L569" s="65" t="n">
        <x:v>0</x:v>
      </x:c>
      <x:c r="M569" s="65" t="str">
        <x:v>Machine-suggested near-miss; human review required.</x:v>
      </x:c>
    </x:row>
    <x:row r="570" ht="42" customHeight="1">
      <x:c r="A570" s="65" t="str">
        <x:v>gold30-029</x:v>
      </x:c>
      <x:c r="B570" s="65" t="str">
        <x:v>bm25</x:v>
      </x:c>
      <x:c r="C570" s="88" t="n">
        <x:v>5</x:v>
      </x:c>
      <x:c r="D570" s="65" t="str">
        <x:v>policy-improvements-evidence</x:v>
      </x:c>
      <x:c r="E570" s="65" t="str">
        <x:v>policy-improvements-evidence:structure:2</x:v>
      </x:c>
      <x:c r="F570" s="65" t="str">
        <x:v>p.3</x:v>
      </x:c>
      <x:c r="G570" s="92" t="n">
        <x:v>0.4</x:v>
      </x:c>
      <x:c r="H570" s="65" t="str">
        <x:v>Evidence-based policy improvements for Jakarta</x:v>
      </x:c>
      <x:c r="I570" s="65" t="str">
        <x:v>Dinas Lingkungan Hidup DKI Jakarta; World Health Organization</x:v>
      </x:c>
      <x:c r="J57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70" s="65" t="str">
        <x:v>https://www.jakarta.go.id/siaran-pers/4802-SP-HMS-06-2024</x:v>
      </x:c>
      <x:c r="L570" s="65" t="n">
        <x:v>0</x:v>
      </x:c>
      <x:c r="M570" s="65" t="str">
        <x:v>Machine-suggested near-miss; human review required.</x:v>
      </x:c>
    </x:row>
    <x:row r="571" ht="42" customHeight="1">
      <x:c r="A571" s="65" t="str">
        <x:v>gold30-029</x:v>
      </x:c>
      <x:c r="B571" s="65" t="str">
        <x:v>dense</x:v>
      </x:c>
      <x:c r="C571" s="88" t="n">
        <x:v>1</x:v>
      </x:c>
      <x:c r="D571" s="65" t="str">
        <x:v>jakarta-monitoring</x:v>
      </x:c>
      <x:c r="E571" s="65" t="str">
        <x:v>jakarta-monitoring:structure:0</x:v>
      </x:c>
      <x:c r="F571" s="65" t="str">
        <x:v>p.1</x:v>
      </x:c>
      <x:c r="G571" s="92" t="n">
        <x:v>0.37736938</x:v>
      </x:c>
      <x:c r="H571" s="65" t="str">
        <x:v>Jakarta monitoring stations</x:v>
      </x:c>
      <x:c r="I571" s="65" t="str">
        <x:v>Dinas Lingkungan Hidup Provinsi DKI Jakarta</x:v>
      </x:c>
      <x:c r="J571" s="65" t="str">
        <x:v>Jakarta's official monitoring portal publishes station locations, pollutant parameters, current readings, and timestamps. A station observation describes that station and observation time; it should not automatically be generalized to all of Jakarta.</x:v>
      </x:c>
      <x:c r="K571" s="65" t="str">
        <x:v>https://udara.jakarta.go.id/lokasi-spku</x:v>
      </x:c>
      <x:c r="L571" s="65" t="n">
        <x:v>3</x:v>
      </x:c>
      <x:c r="M571" s="65" t="str">
        <x:v>Expected source for this question.</x:v>
      </x:c>
    </x:row>
    <x:row r="572" ht="42" customHeight="1">
      <x:c r="A572" s="65" t="str">
        <x:v>gold30-029</x:v>
      </x:c>
      <x:c r="B572" s="65" t="str">
        <x:v>dense</x:v>
      </x:c>
      <x:c r="C572" s="88" t="n">
        <x:v>2</x:v>
      </x:c>
      <x:c r="D572" s="65" t="str">
        <x:v>jakarta-court-air-quality</x:v>
      </x:c>
      <x:c r="E572" s="65" t="str">
        <x:v>jakarta-court-air-quality:structure:1</x:v>
      </x:c>
      <x:c r="F572" s="65" t="str">
        <x:v>p.2</x:v>
      </x:c>
      <x:c r="G572" s="92" t="n">
        <x:v>0.26529072</x:v>
      </x:c>
      <x:c r="H572" s="65" t="str">
        <x:v>Jakarta air-pollution citizen lawsuit: what the court record establishes</x:v>
      </x:c>
      <x:c r="I572" s="65" t="str">
        <x:v>Mahkamah Agung Republik Indonesia</x:v>
      </x:c>
      <x:c r="J57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72" s="65" t="str">
        <x:v>https://putusan3.mahkamahagung.go.id/pengadilan/profil/pengadilan/pn-jakarta-pusat.html</x:v>
      </x:c>
      <x:c r="L572" s="65" t="n">
        <x:v>0</x:v>
      </x:c>
      <x:c r="M572" s="65" t="str">
        <x:v>Machine-suggested near-miss; human review required.</x:v>
      </x:c>
    </x:row>
    <x:row r="573" ht="42" customHeight="1">
      <x:c r="A573" s="65" t="str">
        <x:v>gold30-029</x:v>
      </x:c>
      <x:c r="B573" s="65" t="str">
        <x:v>dense</x:v>
      </x:c>
      <x:c r="C573" s="88" t="n">
        <x:v>3</x:v>
      </x:c>
      <x:c r="D573" s="65" t="str">
        <x:v>jakarta-sppu-official-status-2024</x:v>
      </x:c>
      <x:c r="E573" s="65" t="str">
        <x:v>jakarta-sppu-official-status-2024:structure:1</x:v>
      </x:c>
      <x:c r="F573" s="65" t="str">
        <x:v>p.2</x:v>
      </x:c>
      <x:c r="G573" s="92" t="n">
        <x:v>0.25682584</x:v>
      </x:c>
      <x:c r="H573" s="65" t="str">
        <x:v>Jakarta SPPU and air-quality implementation status (official statement, 2024)</x:v>
      </x:c>
      <x:c r="I573" s="65" t="str">
        <x:v>Pemerintah Provinsi DKI Jakarta / Dinas Lingkungan Hidup DKI Jakarta</x:v>
      </x:c>
      <x:c r="J573"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573" s="65" t="str">
        <x:v>https://www.jakarta.go.id/siaran-pers/4802-SP-HMS-06-2024</x:v>
      </x:c>
      <x:c r="L573" s="65" t="n">
        <x:v>0</x:v>
      </x:c>
      <x:c r="M573" s="65" t="str">
        <x:v>Machine-suggested near-miss; human review required.</x:v>
      </x:c>
    </x:row>
    <x:row r="574" ht="42" customHeight="1">
      <x:c r="A574" s="65" t="str">
        <x:v>gold30-029</x:v>
      </x:c>
      <x:c r="B574" s="65" t="str">
        <x:v>dense</x:v>
      </x:c>
      <x:c r="C574" s="88" t="n">
        <x:v>4</x:v>
      </x:c>
      <x:c r="D574" s="65" t="str">
        <x:v>jakarta-causes</x:v>
      </x:c>
      <x:c r="E574" s="65" t="str">
        <x:v>jakarta-causes:structure:0</x:v>
      </x:c>
      <x:c r="F574" s="65" t="str">
        <x:v>p.1</x:v>
      </x:c>
      <x:c r="G574" s="92" t="n">
        <x:v>0.25668748</x:v>
      </x:c>
      <x:c r="H574" s="65" t="str">
        <x:v>What causes Jakarta air pollution</x:v>
      </x:c>
      <x:c r="I574" s="65" t="str">
        <x:v>Dinas Lingkungan Hidup DKI Jakarta / Vital Strategies / ITB</x:v>
      </x:c>
      <x:c r="J574"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74" s="65" t="str">
        <x:v>https://rendahemisi.jakarta.go.id/learn</x:v>
      </x:c>
      <x:c r="L574" s="65" t="n">
        <x:v>0</x:v>
      </x:c>
      <x:c r="M574" s="65" t="str">
        <x:v>Machine-suggested near-miss; human review required.</x:v>
      </x:c>
    </x:row>
    <x:row r="575" ht="42" customHeight="1">
      <x:c r="A575" s="65" t="str">
        <x:v>gold30-029</x:v>
      </x:c>
      <x:c r="B575" s="65" t="str">
        <x:v>dense</x:v>
      </x:c>
      <x:c r="C575" s="88" t="n">
        <x:v>5</x:v>
      </x:c>
      <x:c r="D575" s="65" t="str">
        <x:v>jakarta-policy-implementation</x:v>
      </x:c>
      <x:c r="E575" s="65" t="str">
        <x:v>jakarta-policy-implementation:structure:2</x:v>
      </x:c>
      <x:c r="F575" s="65" t="str">
        <x:v>p.3</x:v>
      </x:c>
      <x:c r="G575" s="92" t="n">
        <x:v>0.25504152</x:v>
      </x:c>
      <x:c r="H575" s="65" t="str">
        <x:v>Why rules can coexist with poor air: implementation evidence</x:v>
      </x:c>
      <x:c r="I575" s="65" t="str">
        <x:v>Pemerintah Provinsi DKI Jakarta; Dinas Lingkungan Hidup DKI Jakarta; Mahkamah Agung</x:v>
      </x:c>
      <x:c r="J575"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575" s="65" t="str">
        <x:v>https://www.jakarta.go.id/siaran-pers/4802-SP-HMS-06-2024</x:v>
      </x:c>
      <x:c r="L575" s="65" t="n">
        <x:v>0</x:v>
      </x:c>
      <x:c r="M575" s="65" t="str">
        <x:v>Machine-suggested near-miss; human review required.</x:v>
      </x:c>
    </x:row>
    <x:row r="576" ht="42" customHeight="1">
      <x:c r="A576" s="65" t="str">
        <x:v>gold30-029</x:v>
      </x:c>
      <x:c r="B576" s="65" t="str">
        <x:v>hybrid</x:v>
      </x:c>
      <x:c r="C576" s="88" t="n">
        <x:v>1</x:v>
      </x:c>
      <x:c r="D576" s="65" t="str">
        <x:v>jakarta-causes</x:v>
      </x:c>
      <x:c r="E576" s="65" t="str">
        <x:v>jakarta-causes:structure:0</x:v>
      </x:c>
      <x:c r="F576" s="65" t="str">
        <x:v>p.1</x:v>
      </x:c>
      <x:c r="G576" s="92" t="n">
        <x:v>0.03233094</x:v>
      </x:c>
      <x:c r="H576" s="65" t="str">
        <x:v>What causes Jakarta air pollution</x:v>
      </x:c>
      <x:c r="I576" s="65" t="str">
        <x:v>Dinas Lingkungan Hidup DKI Jakarta / Vital Strategies / ITB</x:v>
      </x:c>
      <x:c r="J576"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76" s="65" t="str">
        <x:v>https://rendahemisi.jakarta.go.id/learn</x:v>
      </x:c>
      <x:c r="L576" s="65" t="n">
        <x:v>0</x:v>
      </x:c>
      <x:c r="M576" s="65" t="str">
        <x:v>Machine-suggested near-miss; human review required.</x:v>
      </x:c>
    </x:row>
    <x:row r="577" ht="42" customHeight="1">
      <x:c r="A577" s="65" t="str">
        <x:v>gold30-029</x:v>
      </x:c>
      <x:c r="B577" s="65" t="str">
        <x:v>hybrid</x:v>
      </x:c>
      <x:c r="C577" s="88" t="n">
        <x:v>2</x:v>
      </x:c>
      <x:c r="D577" s="65" t="str">
        <x:v>jakarta-monitoring</x:v>
      </x:c>
      <x:c r="E577" s="65" t="str">
        <x:v>jakarta-monitoring:structure:0</x:v>
      </x:c>
      <x:c r="F577" s="65" t="str">
        <x:v>p.1</x:v>
      </x:c>
      <x:c r="G577" s="92" t="n">
        <x:v>0.03187283</x:v>
      </x:c>
      <x:c r="H577" s="65" t="str">
        <x:v>Jakarta monitoring stations</x:v>
      </x:c>
      <x:c r="I577" s="65" t="str">
        <x:v>Dinas Lingkungan Hidup Provinsi DKI Jakarta</x:v>
      </x:c>
      <x:c r="J577" s="65" t="str">
        <x:v>Jakarta's official monitoring portal publishes station locations, pollutant parameters, current readings, and timestamps. A station observation describes that station and observation time; it should not automatically be generalized to all of Jakarta.</x:v>
      </x:c>
      <x:c r="K577" s="65" t="str">
        <x:v>https://udara.jakarta.go.id/lokasi-spku</x:v>
      </x:c>
      <x:c r="L577" s="65" t="n">
        <x:v>3</x:v>
      </x:c>
      <x:c r="M577" s="65" t="str">
        <x:v>Expected source for this question.</x:v>
      </x:c>
    </x:row>
    <x:row r="578" ht="42" customHeight="1">
      <x:c r="A578" s="65" t="str">
        <x:v>gold30-029</x:v>
      </x:c>
      <x:c r="B578" s="65" t="str">
        <x:v>hybrid</x:v>
      </x:c>
      <x:c r="C578" s="88" t="n">
        <x:v>3</x:v>
      </x:c>
      <x:c r="D578" s="65" t="str">
        <x:v>jakarta-historical-city-series</x:v>
      </x:c>
      <x:c r="E578" s="65" t="str">
        <x:v>jakarta-historical-city-series:structure:2</x:v>
      </x:c>
      <x:c r="F578" s="65" t="str">
        <x:v>p.3</x:v>
      </x:c>
      <x:c r="G578" s="92" t="n">
        <x:v>0.03112903</x:v>
      </x:c>
      <x:c r="H578" s="65" t="str">
        <x:v>Jakarta historical PM2.5 and PM10 series: provenance and quality</x:v>
      </x:c>
      <x:c r="I578" s="65" t="str">
        <x:v>Open-Meteo / CAMS Global; deposited dataset by Nitiraj Kulkarni and Jagadish Tawade</x:v>
      </x:c>
      <x:c r="J578"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78" s="65" t="str">
        <x:v>https://zenodo.org/records/18673885</x:v>
      </x:c>
      <x:c r="L578" s="65" t="n">
        <x:v>0</x:v>
      </x:c>
      <x:c r="M578" s="65" t="str">
        <x:v>Machine-suggested near-miss; human review required.</x:v>
      </x:c>
    </x:row>
    <x:row r="579" ht="42" customHeight="1">
      <x:c r="A579" s="65" t="str">
        <x:v>gold30-029</x:v>
      </x:c>
      <x:c r="B579" s="65" t="str">
        <x:v>hybrid</x:v>
      </x:c>
      <x:c r="C579" s="88" t="n">
        <x:v>4</x:v>
      </x:c>
      <x:c r="D579" s="65" t="str">
        <x:v>jakarta-policy-implementation</x:v>
      </x:c>
      <x:c r="E579" s="65" t="str">
        <x:v>jakarta-policy-implementation:structure:2</x:v>
      </x:c>
      <x:c r="F579" s="65" t="str">
        <x:v>p.3</x:v>
      </x:c>
      <x:c r="G579" s="92" t="n">
        <x:v>0.03061768</x:v>
      </x:c>
      <x:c r="H579" s="65" t="str">
        <x:v>Why rules can coexist with poor air: implementation evidence</x:v>
      </x:c>
      <x:c r="I579" s="65" t="str">
        <x:v>Pemerintah Provinsi DKI Jakarta; Dinas Lingkungan Hidup DKI Jakarta; Mahkamah Agung</x:v>
      </x:c>
      <x:c r="J579"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579" s="65" t="str">
        <x:v>https://www.jakarta.go.id/siaran-pers/4802-SP-HMS-06-2024</x:v>
      </x:c>
      <x:c r="L579" s="65" t="n">
        <x:v>0</x:v>
      </x:c>
      <x:c r="M579" s="65" t="str">
        <x:v>Machine-suggested near-miss; human review required.</x:v>
      </x:c>
    </x:row>
    <x:row r="580" ht="42" customHeight="1">
      <x:c r="A580" s="65" t="str">
        <x:v>gold30-029</x:v>
      </x:c>
      <x:c r="B580" s="65" t="str">
        <x:v>hybrid</x:v>
      </x:c>
      <x:c r="C580" s="88" t="n">
        <x:v>5</x:v>
      </x:c>
      <x:c r="D580" s="65" t="str">
        <x:v>policy-improvements-evidence</x:v>
      </x:c>
      <x:c r="E580" s="65" t="str">
        <x:v>policy-improvements-evidence:structure:2</x:v>
      </x:c>
      <x:c r="F580" s="65" t="str">
        <x:v>p.3</x:v>
      </x:c>
      <x:c r="G580" s="92" t="n">
        <x:v>0.02995604</x:v>
      </x:c>
      <x:c r="H580" s="65" t="str">
        <x:v>Evidence-based policy improvements for Jakarta</x:v>
      </x:c>
      <x:c r="I580" s="65" t="str">
        <x:v>Dinas Lingkungan Hidup DKI Jakarta; World Health Organization</x:v>
      </x:c>
      <x:c r="J58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80" s="65" t="str">
        <x:v>https://www.jakarta.go.id/siaran-pers/4802-SP-HMS-06-2024</x:v>
      </x:c>
      <x:c r="L580" s="65" t="n">
        <x:v>0</x:v>
      </x:c>
      <x:c r="M580" s="65" t="str">
        <x:v>Machine-suggested near-miss; human review required.</x:v>
      </x:c>
    </x:row>
    <x:row r="581" ht="42" customHeight="1">
      <x:c r="A581" s="65" t="str">
        <x:v>gold30-029</x:v>
      </x:c>
      <x:c r="B581" s="65" t="str">
        <x:v>hybrid_rerank</x:v>
      </x:c>
      <x:c r="C581" s="88" t="n">
        <x:v>1</x:v>
      </x:c>
      <x:c r="D581" s="65" t="str">
        <x:v>jakarta-causes</x:v>
      </x:c>
      <x:c r="E581" s="65" t="str">
        <x:v>jakarta-causes:structure:0</x:v>
      </x:c>
      <x:c r="F581" s="65" t="str">
        <x:v>p.1</x:v>
      </x:c>
      <x:c r="G581" s="92" t="n">
        <x:v>0.35969928</x:v>
      </x:c>
      <x:c r="H581" s="65" t="str">
        <x:v>What causes Jakarta air pollution</x:v>
      </x:c>
      <x:c r="I581" s="65" t="str">
        <x:v>Dinas Lingkungan Hidup DKI Jakarta / Vital Strategies / ITB</x:v>
      </x:c>
      <x:c r="J581"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81" s="65" t="str">
        <x:v>https://rendahemisi.jakarta.go.id/learn</x:v>
      </x:c>
      <x:c r="L581" s="65" t="n">
        <x:v>0</x:v>
      </x:c>
      <x:c r="M581" s="65" t="str">
        <x:v>Machine-suggested near-miss; human review required.</x:v>
      </x:c>
    </x:row>
    <x:row r="582" ht="42" customHeight="1">
      <x:c r="A582" s="65" t="str">
        <x:v>gold30-029</x:v>
      </x:c>
      <x:c r="B582" s="65" t="str">
        <x:v>hybrid_rerank</x:v>
      </x:c>
      <x:c r="C582" s="88" t="n">
        <x:v>2</x:v>
      </x:c>
      <x:c r="D582" s="65" t="str">
        <x:v>jakarta-historical-city-series</x:v>
      </x:c>
      <x:c r="E582" s="65" t="str">
        <x:v>jakarta-historical-city-series:structure:2</x:v>
      </x:c>
      <x:c r="F582" s="65" t="str">
        <x:v>p.3</x:v>
      </x:c>
      <x:c r="G582" s="92" t="n">
        <x:v>0.35933871</x:v>
      </x:c>
      <x:c r="H582" s="65" t="str">
        <x:v>Jakarta historical PM2.5 and PM10 series: provenance and quality</x:v>
      </x:c>
      <x:c r="I582" s="65" t="str">
        <x:v>Open-Meteo / CAMS Global; deposited dataset by Nitiraj Kulkarni and Jagadish Tawade</x:v>
      </x:c>
      <x:c r="J582"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82" s="65" t="str">
        <x:v>https://zenodo.org/records/18673885</x:v>
      </x:c>
      <x:c r="L582" s="65" t="n">
        <x:v>0</x:v>
      </x:c>
      <x:c r="M582" s="65" t="str">
        <x:v>Machine-suggested near-miss; human review required.</x:v>
      </x:c>
    </x:row>
    <x:row r="583" ht="42" customHeight="1">
      <x:c r="A583" s="65" t="str">
        <x:v>gold30-029</x:v>
      </x:c>
      <x:c r="B583" s="65" t="str">
        <x:v>hybrid_rerank</x:v>
      </x:c>
      <x:c r="C583" s="88" t="n">
        <x:v>3</x:v>
      </x:c>
      <x:c r="D583" s="65" t="str">
        <x:v>policy-improvements-evidence</x:v>
      </x:c>
      <x:c r="E583" s="65" t="str">
        <x:v>policy-improvements-evidence:structure:2</x:v>
      </x:c>
      <x:c r="F583" s="65" t="str">
        <x:v>p.3</x:v>
      </x:c>
      <x:c r="G583" s="92" t="n">
        <x:v>0.28898681</x:v>
      </x:c>
      <x:c r="H583" s="65" t="str">
        <x:v>Evidence-based policy improvements for Jakarta</x:v>
      </x:c>
      <x:c r="I583" s="65" t="str">
        <x:v>Dinas Lingkungan Hidup DKI Jakarta; World Health Organization</x:v>
      </x:c>
      <x:c r="J583"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83" s="65" t="str">
        <x:v>https://www.jakarta.go.id/siaran-pers/4802-SP-HMS-06-2024</x:v>
      </x:c>
      <x:c r="L583" s="65" t="n">
        <x:v>0</x:v>
      </x:c>
      <x:c r="M583" s="65" t="str">
        <x:v>Machine-suggested near-miss; human review required.</x:v>
      </x:c>
    </x:row>
    <x:row r="584" ht="42" customHeight="1">
      <x:c r="A584" s="65" t="str">
        <x:v>gold30-029</x:v>
      </x:c>
      <x:c r="B584" s="65" t="str">
        <x:v>hybrid_rerank</x:v>
      </x:c>
      <x:c r="C584" s="88" t="n">
        <x:v>4</x:v>
      </x:c>
      <x:c r="D584" s="65" t="str">
        <x:v>bad-air-day-protection</x:v>
      </x:c>
      <x:c r="E584" s="65" t="str">
        <x:v>bad-air-day-protection:structure:1</x:v>
      </x:c>
      <x:c r="F584" s="65" t="str">
        <x:v>p.2</x:v>
      </x:c>
      <x:c r="G584" s="92" t="n">
        <x:v>0.2847619</x:v>
      </x:c>
      <x:c r="H584" s="65" t="str">
        <x:v>Bad-air-day protection playbook</x:v>
      </x:c>
      <x:c r="I584" s="65" t="str">
        <x:v>World Health Organization, Regional Office for Europe</x:v>
      </x:c>
      <x:c r="J584"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584" s="65" t="str">
        <x:v>https://www.who.int/news-room/questions-and-answers/item/air-pollution-personal-interventions-and-risk-communication</x:v>
      </x:c>
      <x:c r="L584" s="65" t="n">
        <x:v>0</x:v>
      </x:c>
      <x:c r="M584" s="65" t="str">
        <x:v>Machine-suggested near-miss; human review required.</x:v>
      </x:c>
    </x:row>
    <x:row r="585" ht="42" customHeight="1">
      <x:c r="A585" s="65" t="str">
        <x:v>gold30-029</x:v>
      </x:c>
      <x:c r="B585" s="65" t="str">
        <x:v>hybrid_rerank</x:v>
      </x:c>
      <x:c r="C585" s="88" t="n">
        <x:v>5</x:v>
      </x:c>
      <x:c r="D585" s="65" t="str">
        <x:v>jakarta-monitoring</x:v>
      </x:c>
      <x:c r="E585" s="65" t="str">
        <x:v>jakarta-monitoring:structure:0</x:v>
      </x:c>
      <x:c r="F585" s="65" t="str">
        <x:v>p.1</x:v>
      </x:c>
      <x:c r="G585" s="92" t="n">
        <x:v>0.21956185</x:v>
      </x:c>
      <x:c r="H585" s="65" t="str">
        <x:v>Jakarta monitoring stations</x:v>
      </x:c>
      <x:c r="I585" s="65" t="str">
        <x:v>Dinas Lingkungan Hidup Provinsi DKI Jakarta</x:v>
      </x:c>
      <x:c r="J585" s="65" t="str">
        <x:v>Jakarta's official monitoring portal publishes station locations, pollutant parameters, current readings, and timestamps. A station observation describes that station and observation time; it should not automatically be generalized to all of Jakarta.</x:v>
      </x:c>
      <x:c r="K585" s="65" t="str">
        <x:v>https://udara.jakarta.go.id/lokasi-spku</x:v>
      </x:c>
      <x:c r="L585" s="65" t="n">
        <x:v>3</x:v>
      </x:c>
      <x:c r="M585" s="65" t="str">
        <x:v>Expected source for this question.</x:v>
      </x:c>
    </x:row>
    <x:row r="586" ht="42" customHeight="1">
      <x:c r="A586" s="65" t="str">
        <x:v>gold30-030</x:v>
      </x:c>
      <x:c r="B586" s="65" t="str">
        <x:v>bm25</x:v>
      </x:c>
      <x:c r="C586" s="88" t="n">
        <x:v>1</x:v>
      </x:c>
      <x:c r="D586" s="65" t="str">
        <x:v>bad-air-day-protection</x:v>
      </x:c>
      <x:c r="E586" s="65" t="str">
        <x:v>bad-air-day-protection:structure:0</x:v>
      </x:c>
      <x:c r="F586" s="65" t="str">
        <x:v>p.1</x:v>
      </x:c>
      <x:c r="G586" s="92" t="n">
        <x:v>0</x:v>
      </x:c>
      <x:c r="H586" s="65" t="str">
        <x:v>Bad-air-day protection playbook</x:v>
      </x:c>
      <x:c r="I586" s="65" t="str">
        <x:v>World Health Organization, Regional Office for Europe</x:v>
      </x:c>
      <x:c r="J586" s="65" t="str">
        <x:v>Published: 2024-10-04 Status as of: 2026-09-07 (health guidance; not Indonesian law) Document type: health_guidance Tags: topic=exposure-protection; audience=Jakarta-resident; action=protect-now; pollutant=ambient-particles</x:v>
      </x:c>
      <x:c r="K586" s="65" t="str">
        <x:v>https://www.who.int/news-room/questions-and-answers/item/air-pollution-personal-interventions-and-risk-communication</x:v>
      </x:c>
      <x:c r="L586" s="65" t="n">
        <x:v>0</x:v>
      </x:c>
      <x:c r="M586" s="65" t="str">
        <x:v>Machine-suggested near-miss; human review required.</x:v>
      </x:c>
    </x:row>
    <x:row r="587" ht="42" customHeight="1">
      <x:c r="A587" s="65" t="str">
        <x:v>gold30-030</x:v>
      </x:c>
      <x:c r="B587" s="65" t="str">
        <x:v>bm25</x:v>
      </x:c>
      <x:c r="C587" s="88" t="n">
        <x:v>2</x:v>
      </x:c>
      <x:c r="D587" s="65" t="str">
        <x:v>clean-air-room</x:v>
      </x:c>
      <x:c r="E587" s="65" t="str">
        <x:v>clean-air-room:structure:0</x:v>
      </x:c>
      <x:c r="F587" s="65" t="str">
        <x:v>p.1</x:v>
      </x:c>
      <x:c r="G587" s="92" t="n">
        <x:v>0</x:v>
      </x:c>
      <x:c r="H587" s="65" t="str">
        <x:v>Indoor filtration and a clean-air room</x:v>
      </x:c>
      <x:c r="I587" s="65" t="str">
        <x:v>United States Environmental Protection Agency</x:v>
      </x:c>
      <x:c r="J587" s="65" t="str">
        <x:v>Published: not stated; page last updated 2026-02-17 (accessed 2026-09-07) Status as of: 2026-09-07 (technical guidance; not Indonesian law) Document type: indoor_air_guidance Tags: topic=indoor-filtration; audience=household; action=protect-now; pollutant=particles</x:v>
      </x:c>
      <x:c r="K587" s="65" t="str">
        <x:v>https://www.epa.gov/indoor-air-quality-iaq/guide-air-cleaners-home</x:v>
      </x:c>
      <x:c r="L587" s="65" t="n">
        <x:v>0</x:v>
      </x:c>
      <x:c r="M587" s="65" t="str">
        <x:v>Machine-suggested near-miss; human review required.</x:v>
      </x:c>
    </x:row>
    <x:row r="588" ht="42" customHeight="1">
      <x:c r="A588" s="65" t="str">
        <x:v>gold30-030</x:v>
      </x:c>
      <x:c r="B588" s="65" t="str">
        <x:v>bm25</x:v>
      </x:c>
      <x:c r="C588" s="88" t="n">
        <x:v>3</x:v>
      </x:c>
      <x:c r="D588" s="65" t="str">
        <x:v>epa-air-cleaners-home-2026</x:v>
      </x:c>
      <x:c r="E588" s="65" t="str">
        <x:v>epa-air-cleaners-home-2026:structure:0</x:v>
      </x:c>
      <x:c r="F588" s="65" t="str">
        <x:v>p.1</x:v>
      </x:c>
      <x:c r="G588" s="92" t="n">
        <x:v>0</x:v>
      </x:c>
      <x:c r="H588" s="65" t="str">
        <x:v>US EPA Guide to Air Cleaners in the Home (2nd edition)</x:v>
      </x:c>
      <x:c r="I588" s="65" t="str">
        <x:v>United States Environmental Protection Agency</x:v>
      </x:c>
      <x:c r="J588" s="65" t="str">
        <x:v>The EPA guide discusses portable air cleaners, heating/ventilation and air-conditioning filters, indoor pollutant sources and practical limits. It is technical household guidance and should not be presented as a Jakarta regulation.</x:v>
      </x:c>
      <x:c r="K588" s="65" t="str">
        <x:v>https://www.epa.gov/indoor-air-quality-iaq/guide-air-cleaners-home</x:v>
      </x:c>
      <x:c r="L588" s="65" t="n">
        <x:v>0</x:v>
      </x:c>
      <x:c r="M588" s="65" t="str">
        <x:v>Machine-suggested near-miss; human review required.</x:v>
      </x:c>
    </x:row>
    <x:row r="589" ht="42" customHeight="1">
      <x:c r="A589" s="65" t="str">
        <x:v>gold30-030</x:v>
      </x:c>
      <x:c r="B589" s="65" t="str">
        <x:v>bm25</x:v>
      </x:c>
      <x:c r="C589" s="88" t="n">
        <x:v>4</x:v>
      </x:c>
      <x:c r="D589" s="65" t="str">
        <x:v>exposure-protection</x:v>
      </x:c>
      <x:c r="E589" s="65" t="str">
        <x:v>exposure-protection:structure:0</x:v>
      </x:c>
      <x:c r="F589" s="65" t="str">
        <x:v>p.1</x:v>
      </x:c>
      <x:c r="G589" s="92" t="n">
        <x:v>0</x:v>
      </x:c>
      <x:c r="H589" s="65" t="str">
        <x:v>Reducing personal exposure to air pollution</x:v>
      </x:c>
      <x:c r="I589" s="65" t="str">
        <x:v>World Health Organization</x:v>
      </x:c>
      <x:c r="J589"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589" s="65" t="str">
        <x:v>https://www.who.int/publications/i/item/9789240000278</x:v>
      </x:c>
      <x:c r="L589" s="65" t="n">
        <x:v>0</x:v>
      </x:c>
      <x:c r="M589" s="65" t="str">
        <x:v>Machine-suggested near-miss; human review required.</x:v>
      </x:c>
    </x:row>
    <x:row r="590" ht="42" customHeight="1">
      <x:c r="A590" s="65" t="str">
        <x:v>gold30-030</x:v>
      </x:c>
      <x:c r="B590" s="65" t="str">
        <x:v>bm25</x:v>
      </x:c>
      <x:c r="C590" s="88" t="n">
        <x:v>5</x:v>
      </x:c>
      <x:c r="D590" s="65" t="str">
        <x:v>health-disclaimer</x:v>
      </x:c>
      <x:c r="E590" s="65" t="str">
        <x:v>health-disclaimer:structure:0</x:v>
      </x:c>
      <x:c r="F590" s="65" t="str">
        <x:v>p.1</x:v>
      </x:c>
      <x:c r="G590" s="92" t="n">
        <x:v>0</x:v>
      </x:c>
      <x:c r="H590" s="65" t="str">
        <x:v>Health communication boundary</x:v>
      </x:c>
      <x:c r="I590" s="65" t="str">
        <x:v>World Health Organization</x:v>
      </x:c>
      <x:c r="J590"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590" s="65" t="str">
        <x:v>https://www.who.int/publications/i/item/9789240000278</x:v>
      </x:c>
      <x:c r="L590" s="65" t="n">
        <x:v>0</x:v>
      </x:c>
      <x:c r="M590" s="65" t="str">
        <x:v>Machine-suggested near-miss; human review required.</x:v>
      </x:c>
    </x:row>
    <x:row r="591" ht="42" customHeight="1">
      <x:c r="A591" s="65" t="str">
        <x:v>gold30-030</x:v>
      </x:c>
      <x:c r="B591" s="65" t="str">
        <x:v>dense</x:v>
      </x:c>
      <x:c r="C591" s="88" t="n">
        <x:v>1</x:v>
      </x:c>
      <x:c r="D591" s="65" t="str">
        <x:v>pp-22-2021-air-quality</x:v>
      </x:c>
      <x:c r="E591" s="65" t="str">
        <x:v>pp-22-2021-air-quality:structure:0</x:v>
      </x:c>
      <x:c r="F591" s="65" t="str">
        <x:v>p.1</x:v>
      </x:c>
      <x:c r="G591" s="92" t="n">
        <x:v>0.17257758</x:v>
      </x:c>
      <x:c r="H591" s="65" t="str">
        <x:v>PP No. 22 Tahun 2021 — environmental protection and ambient air quality</x:v>
      </x:c>
      <x:c r="I591" s="65" t="str">
        <x:v>Pemerintah Republik Indonesia / Database Peraturan BPK</x:v>
      </x:c>
      <x:c r="J591"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591" s="65" t="str">
        <x:v>https://peraturan.bpk.go.id/Details/161852/pp-no-22tahun-2021</x:v>
      </x:c>
      <x:c r="L591" s="65" t="n">
        <x:v>0</x:v>
      </x:c>
      <x:c r="M591" s="65" t="str">
        <x:v>Machine-suggested near-miss; human review required.</x:v>
      </x:c>
    </x:row>
    <x:row r="592" ht="42" customHeight="1">
      <x:c r="A592" s="65" t="str">
        <x:v>gold30-030</x:v>
      </x:c>
      <x:c r="B592" s="65" t="str">
        <x:v>dense</x:v>
      </x:c>
      <x:c r="C592" s="88" t="n">
        <x:v>2</x:v>
      </x:c>
      <x:c r="D592" s="65" t="str">
        <x:v>jakarta-court-air-quality</x:v>
      </x:c>
      <x:c r="E592" s="65" t="str">
        <x:v>jakarta-court-air-quality:structure:0</x:v>
      </x:c>
      <x:c r="F592" s="65" t="str">
        <x:v>p.1</x:v>
      </x:c>
      <x:c r="G592" s="92" t="n">
        <x:v>0.1645679</x:v>
      </x:c>
      <x:c r="H592" s="65" t="str">
        <x:v>Jakarta air-pollution citizen lawsuit: what the court record establishes</x:v>
      </x:c>
      <x:c r="I592" s="65" t="str">
        <x:v>Mahkamah Agung Republik Indonesia</x:v>
      </x:c>
      <x:c r="J592" s="65" t="str">
        <x:v>Published: decision dated 2021-09-16; directory accessed 2026-09-07 Status as of: 2026-09-07 (court-record scope; execution status must be checked separately) Document type: court_record Tags: topic=regulation-implementation; audience=public-accountability; action=participation</x:v>
      </x:c>
      <x:c r="K592" s="65" t="str">
        <x:v>https://putusan3.mahkamahagung.go.id/pengadilan/profil/pengadilan/pn-jakarta-pusat.html</x:v>
      </x:c>
      <x:c r="L592" s="65" t="n">
        <x:v>0</x:v>
      </x:c>
      <x:c r="M592" s="65" t="str">
        <x:v>Machine-suggested near-miss; human review required.</x:v>
      </x:c>
    </x:row>
    <x:row r="593" ht="42" customHeight="1">
      <x:c r="A593" s="65" t="str">
        <x:v>gold30-030</x:v>
      </x:c>
      <x:c r="B593" s="65" t="str">
        <x:v>dense</x:v>
      </x:c>
      <x:c r="C593" s="88" t="n">
        <x:v>3</x:v>
      </x:c>
      <x:c r="D593" s="65" t="str">
        <x:v>jakarta-policy-status</x:v>
      </x:c>
      <x:c r="E593" s="65" t="str">
        <x:v>jakarta-policy-status:structure:0</x:v>
      </x:c>
      <x:c r="F593" s="65" t="str">
        <x:v>p.1</x:v>
      </x:c>
      <x:c r="G593" s="92" t="n">
        <x:v>0.1415931</x:v>
      </x:c>
      <x:c r="H593" s="65" t="str">
        <x:v>Policy proposals and implementation gaps</x:v>
      </x:c>
      <x:c r="I593" s="65" t="str">
        <x:v>Pemerintah Provinsi DKI Jakarta / JDIH</x:v>
      </x:c>
      <x:c r="J593"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593" s="65" t="str">
        <x:v>https://www.jakarta.go.id/siaran-pers/3850-SP-HMS-01-2023</x:v>
      </x:c>
      <x:c r="L593" s="65" t="n">
        <x:v>0</x:v>
      </x:c>
      <x:c r="M593" s="65" t="str">
        <x:v>Machine-suggested near-miss; human review required.</x:v>
      </x:c>
    </x:row>
    <x:row r="594" ht="42" customHeight="1">
      <x:c r="A594" s="65" t="str">
        <x:v>gold30-030</x:v>
      </x:c>
      <x:c r="B594" s="65" t="str">
        <x:v>dense</x:v>
      </x:c>
      <x:c r="C594" s="88" t="n">
        <x:v>4</x:v>
      </x:c>
      <x:c r="D594" s="65" t="str">
        <x:v>permen-lhk-8-2023-vehicle-emissions</x:v>
      </x:c>
      <x:c r="E594" s="65" t="str">
        <x:v>permen-lhk-8-2023-vehicle-emissions:structure:0</x:v>
      </x:c>
      <x:c r="F594" s="65" t="str">
        <x:v>p.1</x:v>
      </x:c>
      <x:c r="G594" s="92" t="n">
        <x:v>0.138886</x:v>
      </x:c>
      <x:c r="H594" s="65" t="str">
        <x:v>Permen LHK No. 8 Tahun 2023 — vehicle emission standards and testing</x:v>
      </x:c>
      <x:c r="I594" s="65" t="str">
        <x:v>Kementerian Lingkungan Hidup dan Kehutanan / Database Peraturan BPK</x:v>
      </x:c>
      <x:c r="J594"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594" s="65" t="str">
        <x:v>https://peraturan.bpk.go.id/Details/262504/permen-lhk-no-8-tahun-2023</x:v>
      </x:c>
      <x:c r="L594" s="65" t="n">
        <x:v>0</x:v>
      </x:c>
      <x:c r="M594" s="65" t="str">
        <x:v>Machine-suggested near-miss; human review required.</x:v>
      </x:c>
    </x:row>
    <x:row r="595" ht="42" customHeight="1">
      <x:c r="A595" s="65" t="str">
        <x:v>gold30-030</x:v>
      </x:c>
      <x:c r="B595" s="65" t="str">
        <x:v>dense</x:v>
      </x:c>
      <x:c r="C595" s="88" t="n">
        <x:v>5</x:v>
      </x:c>
      <x:c r="D595" s="65" t="str">
        <x:v>jakarta-seasonal-exposure</x:v>
      </x:c>
      <x:c r="E595" s="65" t="str">
        <x:v>jakarta-seasonal-exposure:structure:0</x:v>
      </x:c>
      <x:c r="F595" s="65" t="str">
        <x:v>p.1</x:v>
      </x:c>
      <x:c r="G595" s="92" t="n">
        <x:v>0.13733105</x:v>
      </x:c>
      <x:c r="H595" s="65" t="str">
        <x:v>Jakarta timing and local exposure context</x:v>
      </x:c>
      <x:c r="I595" s="65" t="str">
        <x:v>Dinas Lingkungan Hidup DKI Jakarta</x:v>
      </x:c>
      <x:c r="J595" s="65" t="str">
        <x:v>Published: 2024-04-06 Status as of: 2026-09-07 (official seasonal notice; not a current forecast) Document type: official_public_guidance Tags: topic=exposure-protection; audience=Jakarta-resident; action=protect-now; pollutant=PM2.5</x:v>
      </x:c>
      <x:c r="K595" s="65" t="str">
        <x:v>https://lingkunganhidup.jakarta.go.id/detail-artikel/masuki-musim-kemarau-pemprov-dki-minta-masyarakat-waspadai-penurunan-kualitas-udara</x:v>
      </x:c>
      <x:c r="L595" s="65" t="n">
        <x:v>0</x:v>
      </x:c>
      <x:c r="M595" s="65" t="str">
        <x:v>Machine-suggested near-miss; human review required.</x:v>
      </x:c>
    </x:row>
    <x:row r="596" ht="42" customHeight="1">
      <x:c r="A596" s="65" t="str">
        <x:v>gold30-030</x:v>
      </x:c>
      <x:c r="B596" s="65" t="str">
        <x:v>hybrid</x:v>
      </x:c>
      <x:c r="C596" s="88" t="n">
        <x:v>1</x:v>
      </x:c>
      <x:c r="D596" s="65" t="str">
        <x:v>jakarta-court-air-quality</x:v>
      </x:c>
      <x:c r="E596" s="65" t="str">
        <x:v>jakarta-court-air-quality:structure:0</x:v>
      </x:c>
      <x:c r="F596" s="65" t="str">
        <x:v>p.1</x:v>
      </x:c>
      <x:c r="G596" s="92" t="n">
        <x:v>0.03073733</x:v>
      </x:c>
      <x:c r="H596" s="65" t="str">
        <x:v>Jakarta air-pollution citizen lawsuit: what the court record establishes</x:v>
      </x:c>
      <x:c r="I596" s="65" t="str">
        <x:v>Mahkamah Agung Republik Indonesia</x:v>
      </x:c>
      <x:c r="J596" s="65" t="str">
        <x:v>Published: decision dated 2021-09-16; directory accessed 2026-09-07 Status as of: 2026-09-07 (court-record scope; execution status must be checked separately) Document type: court_record Tags: topic=regulation-implementation; audience=public-accountability; action=participation</x:v>
      </x:c>
      <x:c r="K596" s="65" t="str">
        <x:v>https://putusan3.mahkamahagung.go.id/pengadilan/profil/pengadilan/pn-jakarta-pusat.html</x:v>
      </x:c>
      <x:c r="L596" s="65" t="n">
        <x:v>0</x:v>
      </x:c>
      <x:c r="M596" s="65" t="str">
        <x:v>Machine-suggested near-miss; human review required.</x:v>
      </x:c>
    </x:row>
    <x:row r="597" ht="42" customHeight="1">
      <x:c r="A597" s="65" t="str">
        <x:v>gold30-030</x:v>
      </x:c>
      <x:c r="B597" s="65" t="str">
        <x:v>hybrid</x:v>
      </x:c>
      <x:c r="C597" s="88" t="n">
        <x:v>2</x:v>
      </x:c>
      <x:c r="D597" s="65" t="str">
        <x:v>pp-22-2021-air-quality</x:v>
      </x:c>
      <x:c r="E597" s="65" t="str">
        <x:v>pp-22-2021-air-quality:structure:0</x:v>
      </x:c>
      <x:c r="F597" s="65" t="str">
        <x:v>p.1</x:v>
      </x:c>
      <x:c r="G597" s="92" t="n">
        <x:v>0.01672131</x:v>
      </x:c>
      <x:c r="H597" s="65" t="str">
        <x:v>PP No. 22 Tahun 2021 — environmental protection and ambient air quality</x:v>
      </x:c>
      <x:c r="I597" s="65" t="str">
        <x:v>Pemerintah Republik Indonesia / Database Peraturan BPK</x:v>
      </x:c>
      <x:c r="J597"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597" s="65" t="str">
        <x:v>https://peraturan.bpk.go.id/Details/161852/pp-no-22tahun-2021</x:v>
      </x:c>
      <x:c r="L597" s="65" t="n">
        <x:v>0</x:v>
      </x:c>
      <x:c r="M597" s="65" t="str">
        <x:v>Machine-suggested near-miss; human review required.</x:v>
      </x:c>
    </x:row>
    <x:row r="598" ht="42" customHeight="1">
      <x:c r="A598" s="65" t="str">
        <x:v>gold30-030</x:v>
      </x:c>
      <x:c r="B598" s="65" t="str">
        <x:v>hybrid</x:v>
      </x:c>
      <x:c r="C598" s="88" t="n">
        <x:v>3</x:v>
      </x:c>
      <x:c r="D598" s="65" t="str">
        <x:v>bad-air-day-protection</x:v>
      </x:c>
      <x:c r="E598" s="65" t="str">
        <x:v>bad-air-day-protection:structure:0</x:v>
      </x:c>
      <x:c r="F598" s="65" t="str">
        <x:v>p.1</x:v>
      </x:c>
      <x:c r="G598" s="92" t="n">
        <x:v>0.01639344</x:v>
      </x:c>
      <x:c r="H598" s="65" t="str">
        <x:v>Bad-air-day protection playbook</x:v>
      </x:c>
      <x:c r="I598" s="65" t="str">
        <x:v>World Health Organization, Regional Office for Europe</x:v>
      </x:c>
      <x:c r="J598" s="65" t="str">
        <x:v>Published: 2024-10-04 Status as of: 2026-09-07 (health guidance; not Indonesian law) Document type: health_guidance Tags: topic=exposure-protection; audience=Jakarta-resident; action=protect-now; pollutant=ambient-particles</x:v>
      </x:c>
      <x:c r="K598" s="65" t="str">
        <x:v>https://www.who.int/news-room/questions-and-answers/item/air-pollution-personal-interventions-and-risk-communication</x:v>
      </x:c>
      <x:c r="L598" s="65" t="n">
        <x:v>0</x:v>
      </x:c>
      <x:c r="M598" s="65" t="str">
        <x:v>Machine-suggested near-miss; human review required.</x:v>
      </x:c>
    </x:row>
    <x:row r="599" ht="42" customHeight="1">
      <x:c r="A599" s="65" t="str">
        <x:v>gold30-030</x:v>
      </x:c>
      <x:c r="B599" s="65" t="str">
        <x:v>hybrid</x:v>
      </x:c>
      <x:c r="C599" s="88" t="n">
        <x:v>4</x:v>
      </x:c>
      <x:c r="D599" s="65" t="str">
        <x:v>jakarta-policy-status</x:v>
      </x:c>
      <x:c r="E599" s="65" t="str">
        <x:v>jakarta-policy-status:structure:0</x:v>
      </x:c>
      <x:c r="F599" s="65" t="str">
        <x:v>p.1</x:v>
      </x:c>
      <x:c r="G599" s="92" t="n">
        <x:v>0.01619048</x:v>
      </x:c>
      <x:c r="H599" s="65" t="str">
        <x:v>Policy proposals and implementation gaps</x:v>
      </x:c>
      <x:c r="I599" s="65" t="str">
        <x:v>Pemerintah Provinsi DKI Jakarta / JDIH</x:v>
      </x:c>
      <x:c r="J599"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599" s="65" t="str">
        <x:v>https://www.jakarta.go.id/siaran-pers/3850-SP-HMS-01-2023</x:v>
      </x:c>
      <x:c r="L599" s="65" t="n">
        <x:v>0</x:v>
      </x:c>
      <x:c r="M599" s="65" t="str">
        <x:v>Machine-suggested near-miss; human review required.</x:v>
      </x:c>
    </x:row>
    <x:row r="600" ht="42" customHeight="1">
      <x:c r="A600" s="65" t="str">
        <x:v>gold30-030</x:v>
      </x:c>
      <x:c r="B600" s="65" t="str">
        <x:v>hybrid</x:v>
      </x:c>
      <x:c r="C600" s="88" t="n">
        <x:v>5</x:v>
      </x:c>
      <x:c r="D600" s="65" t="str">
        <x:v>clean-air-room</x:v>
      </x:c>
      <x:c r="E600" s="65" t="str">
        <x:v>clean-air-room:structure:0</x:v>
      </x:c>
      <x:c r="F600" s="65" t="str">
        <x:v>p.1</x:v>
      </x:c>
      <x:c r="G600" s="92" t="n">
        <x:v>0.01612903</x:v>
      </x:c>
      <x:c r="H600" s="65" t="str">
        <x:v>Indoor filtration and a clean-air room</x:v>
      </x:c>
      <x:c r="I600" s="65" t="str">
        <x:v>United States Environmental Protection Agency</x:v>
      </x:c>
      <x:c r="J600" s="65" t="str">
        <x:v>Published: not stated; page last updated 2026-02-17 (accessed 2026-09-07) Status as of: 2026-09-07 (technical guidance; not Indonesian law) Document type: indoor_air_guidance Tags: topic=indoor-filtration; audience=household; action=protect-now; pollutant=particles</x:v>
      </x:c>
      <x:c r="K600" s="65" t="str">
        <x:v>https://www.epa.gov/indoor-air-quality-iaq/guide-air-cleaners-home</x:v>
      </x:c>
      <x:c r="L600" s="65" t="n">
        <x:v>0</x:v>
      </x:c>
      <x:c r="M600" s="65" t="str">
        <x:v>Machine-suggested near-miss; human review required.</x:v>
      </x:c>
    </x:row>
    <x:row r="601" ht="42" customHeight="1">
      <x:c r="A601" s="65" t="str">
        <x:v>gold30-030</x:v>
      </x:c>
      <x:c r="B601" s="65" t="str">
        <x:v>hybrid_rerank</x:v>
      </x:c>
      <x:c r="C601" s="88" t="n">
        <x:v>1</x:v>
      </x:c>
      <x:c r="D601" s="65" t="str">
        <x:v>jakarta-court-air-quality</x:v>
      </x:c>
      <x:c r="E601" s="65" t="str">
        <x:v>jakarta-court-air-quality:structure:0</x:v>
      </x:c>
      <x:c r="F601" s="65" t="str">
        <x:v>p.1</x:v>
      </x:c>
      <x:c r="G601" s="92" t="n">
        <x:v>0.0092212</x:v>
      </x:c>
      <x:c r="H601" s="65" t="str">
        <x:v>Jakarta air-pollution citizen lawsuit: what the court record establishes</x:v>
      </x:c>
      <x:c r="I601" s="65" t="str">
        <x:v>Mahkamah Agung Republik Indonesia</x:v>
      </x:c>
      <x:c r="J601" s="65" t="str">
        <x:v>Published: decision dated 2021-09-16; directory accessed 2026-09-07 Status as of: 2026-09-07 (court-record scope; execution status must be checked separately) Document type: court_record Tags: topic=regulation-implementation; audience=public-accountability; action=participation</x:v>
      </x:c>
      <x:c r="K601" s="65" t="str">
        <x:v>https://putusan3.mahkamahagung.go.id/pengadilan/profil/pengadilan/pn-jakarta-pusat.html</x:v>
      </x:c>
      <x:c r="L601" s="65" t="n">
        <x:v>0</x:v>
      </x:c>
      <x:c r="M601" s="65" t="str">
        <x:v>Machine-suggested near-miss; human review required.</x:v>
      </x:c>
    </x:row>
    <x:row r="602" ht="42" customHeight="1">
      <x:c r="A602" s="65" t="str">
        <x:v>gold30-030</x:v>
      </x:c>
      <x:c r="B602" s="65" t="str">
        <x:v>hybrid_rerank</x:v>
      </x:c>
      <x:c r="C602" s="88" t="n">
        <x:v>2</x:v>
      </x:c>
      <x:c r="D602" s="65" t="str">
        <x:v>pp-22-2021-air-quality</x:v>
      </x:c>
      <x:c r="E602" s="65" t="str">
        <x:v>pp-22-2021-air-quality:structure:0</x:v>
      </x:c>
      <x:c r="F602" s="65" t="str">
        <x:v>p.1</x:v>
      </x:c>
      <x:c r="G602" s="92" t="n">
        <x:v>0.00501639</x:v>
      </x:c>
      <x:c r="H602" s="65" t="str">
        <x:v>PP No. 22 Tahun 2021 — environmental protection and ambient air quality</x:v>
      </x:c>
      <x:c r="I602" s="65" t="str">
        <x:v>Pemerintah Republik Indonesia / Database Peraturan BPK</x:v>
      </x:c>
      <x:c r="J602"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602" s="65" t="str">
        <x:v>https://peraturan.bpk.go.id/Details/161852/pp-no-22tahun-2021</x:v>
      </x:c>
      <x:c r="L602" s="65" t="n">
        <x:v>0</x:v>
      </x:c>
      <x:c r="M602" s="65" t="str">
        <x:v>Machine-suggested near-miss; human review required.</x:v>
      </x:c>
    </x:row>
    <x:row r="603" ht="42" customHeight="1">
      <x:c r="A603" s="65" t="str">
        <x:v>gold30-030</x:v>
      </x:c>
      <x:c r="B603" s="65" t="str">
        <x:v>hybrid_rerank</x:v>
      </x:c>
      <x:c r="C603" s="88" t="n">
        <x:v>3</x:v>
      </x:c>
      <x:c r="D603" s="65" t="str">
        <x:v>bad-air-day-protection</x:v>
      </x:c>
      <x:c r="E603" s="65" t="str">
        <x:v>bad-air-day-protection:structure:0</x:v>
      </x:c>
      <x:c r="F603" s="65" t="str">
        <x:v>p.1</x:v>
      </x:c>
      <x:c r="G603" s="92" t="n">
        <x:v>0.00491803</x:v>
      </x:c>
      <x:c r="H603" s="65" t="str">
        <x:v>Bad-air-day protection playbook</x:v>
      </x:c>
      <x:c r="I603" s="65" t="str">
        <x:v>World Health Organization, Regional Office for Europe</x:v>
      </x:c>
      <x:c r="J603" s="65" t="str">
        <x:v>Published: 2024-10-04 Status as of: 2026-09-07 (health guidance; not Indonesian law) Document type: health_guidance Tags: topic=exposure-protection; audience=Jakarta-resident; action=protect-now; pollutant=ambient-particles</x:v>
      </x:c>
      <x:c r="K603" s="65" t="str">
        <x:v>https://www.who.int/news-room/questions-and-answers/item/air-pollution-personal-interventions-and-risk-communication</x:v>
      </x:c>
      <x:c r="L603" s="65" t="n">
        <x:v>0</x:v>
      </x:c>
      <x:c r="M603" s="65" t="str">
        <x:v>Machine-suggested near-miss; human review required.</x:v>
      </x:c>
    </x:row>
    <x:row r="604" ht="42" customHeight="1">
      <x:c r="A604" s="65" t="str">
        <x:v>gold30-030</x:v>
      </x:c>
      <x:c r="B604" s="65" t="str">
        <x:v>hybrid_rerank</x:v>
      </x:c>
      <x:c r="C604" s="88" t="n">
        <x:v>4</x:v>
      </x:c>
      <x:c r="D604" s="65" t="str">
        <x:v>jakarta-policy-status</x:v>
      </x:c>
      <x:c r="E604" s="65" t="str">
        <x:v>jakarta-policy-status:structure:0</x:v>
      </x:c>
      <x:c r="F604" s="65" t="str">
        <x:v>p.1</x:v>
      </x:c>
      <x:c r="G604" s="92" t="n">
        <x:v>0.00485714</x:v>
      </x:c>
      <x:c r="H604" s="65" t="str">
        <x:v>Policy proposals and implementation gaps</x:v>
      </x:c>
      <x:c r="I604" s="65" t="str">
        <x:v>Pemerintah Provinsi DKI Jakarta / JDIH</x:v>
      </x:c>
      <x:c r="J604"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604" s="65" t="str">
        <x:v>https://www.jakarta.go.id/siaran-pers/3850-SP-HMS-01-2023</x:v>
      </x:c>
      <x:c r="L604" s="65" t="n">
        <x:v>0</x:v>
      </x:c>
      <x:c r="M604" s="65" t="str">
        <x:v>Machine-suggested near-miss; human review required.</x:v>
      </x:c>
    </x:row>
    <x:row r="605" ht="42" customHeight="1">
      <x:c r="A605" s="65" t="str">
        <x:v>gold30-030</x:v>
      </x:c>
      <x:c r="B605" s="65" t="str">
        <x:v>hybrid_rerank</x:v>
      </x:c>
      <x:c r="C605" s="88" t="n">
        <x:v>5</x:v>
      </x:c>
      <x:c r="D605" s="65" t="str">
        <x:v>clean-air-room</x:v>
      </x:c>
      <x:c r="E605" s="65" t="str">
        <x:v>clean-air-room:structure:0</x:v>
      </x:c>
      <x:c r="F605" s="65" t="str">
        <x:v>p.1</x:v>
      </x:c>
      <x:c r="G605" s="92" t="n">
        <x:v>0.00483871</x:v>
      </x:c>
      <x:c r="H605" s="65" t="str">
        <x:v>Indoor filtration and a clean-air room</x:v>
      </x:c>
      <x:c r="I605" s="65" t="str">
        <x:v>United States Environmental Protection Agency</x:v>
      </x:c>
      <x:c r="J605" s="65" t="str">
        <x:v>Published: not stated; page last updated 2026-02-17 (accessed 2026-09-07) Status as of: 2026-09-07 (technical guidance; not Indonesian law) Document type: indoor_air_guidance Tags: topic=indoor-filtration; audience=household; action=protect-now; pollutant=particles</x:v>
      </x:c>
      <x:c r="K605" s="65" t="str">
        <x:v>https://www.epa.gov/indoor-air-quality-iaq/guide-air-cleaners-home</x:v>
      </x:c>
      <x:c r="L605" s="65" t="n">
        <x:v>0</x:v>
      </x:c>
      <x:c r="M605" s="65" t="str">
        <x:v>Machine-suggested near-miss; human review required.</x:v>
      </x:c>
    </x:row>
  </x:sheetData>
  <x:mergeCells>
    <x:mergeCell ref="A1:M1"/>
    <x:mergeCell ref="A2:M2"/>
  </x:mergeCells>
  <x:pageMargins left="0.7" right="0.7" top="0.75" bottom="0.75" header="0.3" footer="0.3"/>
  <x:tableParts count="1">
    <x:tablePart xmlns:r="http://schemas.openxmlformats.org/officeDocument/2006/relationships" r:id="R77e837e6baf4494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58" hidden="0" customWidth="1"/>
    <x:col min="3" max="3" width="24" hidden="0" customWidth="1"/>
    <x:col min="4" max="4" width="24" hidden="0" customWidth="1"/>
    <x:col min="5" max="5" width="52" hidden="0" customWidth="1"/>
  </x:cols>
  <x:sheetData>
    <x:row r="1" ht="34" customHeight="1">
      <x:c r="A1" s="4" t="str">
        <x:v>Reference</x:v>
      </x:c>
      <x:c r="B1" s="4"/>
      <x:c r="C1" s="4"/>
      <x:c r="D1" s="4"/>
      <x:c r="E1" s="4"/>
    </x:row>
    <x:row r="2" ht="30" customHeight="1">
      <x:c r="A2" s="8" t="str">
        <x:v>Definitions and completion checks for this packet.</x:v>
      </x:c>
      <x:c r="B2" s="8"/>
      <x:c r="C2" s="8"/>
      <x:c r="D2" s="8"/>
      <x:c r="E2" s="8"/>
    </x:row>
    <x:row r="4" ht="32" customHeight="1">
      <x:c r="A4" s="28" t="str">
        <x:v>Status</x:v>
      </x:c>
      <x:c r="B4" s="29" t="str">
        <x:v>Meaning</x:v>
      </x:c>
      <x:c r="D4" s="28" t="str">
        <x:v>Difficulty</x:v>
      </x:c>
      <x:c r="E4" s="29" t="str">
        <x:v>Guidance</x:v>
      </x:c>
    </x:row>
    <x:row r="5" ht="30" customHeight="1">
      <x:c r="A5" s="94" t="str">
        <x:v>Pending</x:v>
      </x:c>
      <x:c r="B5" s="94" t="str">
        <x:v>Not yet decided; finalizer will refuse this row.</x:v>
      </x:c>
      <x:c r="D5" s="94" t="str">
        <x:v>easy</x:v>
      </x:c>
      <x:c r="E5" s="94" t="str">
        <x:v>One clear source and direct wording.</x:v>
      </x:c>
    </x:row>
    <x:row r="6" ht="30" customHeight="1">
      <x:c r="A6" s="94" t="str">
        <x:v>Approved</x:v>
      </x:c>
      <x:c r="B6" s="94" t="str">
        <x:v>Proposed question/evidence accepted; enter exact human chunk IDs.</x:v>
      </x:c>
      <x:c r="D6" s="94" t="str">
        <x:v>medium</x:v>
      </x:c>
      <x:c r="E6" s="94" t="str">
        <x:v>Several concepts, a caveat or complementary source.</x:v>
      </x:c>
    </x:row>
    <x:row r="7" ht="30" customHeight="1">
      <x:c r="A7" s="94" t="str">
        <x:v>Corrected</x:v>
      </x:c>
      <x:c r="B7" s="94" t="str">
        <x:v>Question/evidence corrected; enter exact human chunk IDs and note the change.</x:v>
      </x:c>
      <x:c r="D7" s="94" t="str">
        <x:v>hard</x:v>
      </x:c>
      <x:c r="E7" s="94" t="str">
        <x:v>Ambiguity, negative evidence, cross-source reasoning or strict boundaries.</x:v>
      </x:c>
    </x:row>
    <x:row r="8">
      <x:c r="A8" s="94" t="str">
        <x:v>Rejected</x:v>
      </x:c>
      <x:c r="B8" s="94" t="str">
        <x:v>Do not retain this item; record the reason in correction_notes.</x:v>
      </x:c>
    </x:row>
    <x:row r="11" ht="32" customHeight="1">
      <x:c r="A11" s="28" t="str">
        <x:v>Topic</x:v>
      </x:c>
      <x:c r="B11" s="29" t="str">
        <x:v>Definition</x:v>
      </x:c>
      <x:c r="D11" s="28" t="str">
        <x:v>Proposed grade</x:v>
      </x:c>
      <x:c r="E11" s="29" t="str">
        <x:v>Guidance</x:v>
      </x:c>
    </x:row>
    <x:row r="12" ht="28" customHeight="1">
      <x:c r="A12" s="94" t="str">
        <x:v>current_measurements</x:v>
      </x:c>
      <x:c r="B12" s="94" t="str">
        <x:v>Current station readings, timestamps and index interpretation.</x:v>
      </x:c>
      <x:c r="D12" s="98" t="n">
        <x:v>3</x:v>
      </x:c>
      <x:c r="E12" s="93" t="str">
        <x:v>Directly supports the question's intended answer.</x:v>
      </x:c>
    </x:row>
    <x:row r="13" ht="28" customHeight="1">
      <x:c r="A13" s="94" t="str">
        <x:v>historical_category_threshold</x:v>
      </x:c>
      <x:c r="B13" s="94" t="str">
        <x:v>Historical series provenance, category boundaries and guideline thresholds.</x:v>
      </x:c>
      <x:c r="D13" s="98" t="n">
        <x:v>2</x:v>
      </x:c>
      <x:c r="E13" s="93" t="str">
        <x:v>Partially supports or supplies necessary context.</x:v>
      </x:c>
    </x:row>
    <x:row r="14" ht="28" customHeight="1">
      <x:c r="A14" s="94" t="str">
        <x:v>causes</x:v>
      </x:c>
      <x:c r="B14" s="94" t="str">
        <x:v>Likely contributors, source apportionment and causal limits.</x:v>
      </x:c>
      <x:c r="D14" s="98" t="n">
        <x:v>0</x:v>
      </x:c>
      <x:c r="E14" s="93" t="str">
        <x:v>Not relevant or a near-miss; human review required.</x:v>
      </x:c>
    </x:row>
    <x:row r="15" ht="28" customHeight="1">
      <x:c r="A15" s="94" t="str">
        <x:v>regulations_implementation</x:v>
      </x:c>
      <x:c r="B15" s="94" t="str">
        <x:v>Instrument status, scope, monitoring and implementation evidence.</x:v>
      </x:c>
    </x:row>
    <x:row r="16" ht="28" customHeight="1">
      <x:c r="A16" s="94" t="str">
        <x:v>protection_individual_action</x:v>
      </x:c>
      <x:c r="B16" s="94" t="str">
        <x:v>Exposure reduction, indoor filtration, respirators and individual actions.</x:v>
      </x:c>
    </x:row>
    <x:row r="17" ht="28" customHeight="1">
      <x:c r="A17" s="94" t="str">
        <x:v>multi_turn_followups</x:v>
      </x:c>
      <x:c r="B17" s="94" t="str">
        <x:v>A follow-up question with explicit parent conversation context.</x:v>
      </x:c>
    </x:row>
    <x:row r="18" ht="28" customHeight="1">
      <x:c r="A18" s="94" t="str">
        <x:v>missing_data_safety_abstention</x:v>
      </x:c>
      <x:c r="B18" s="94" t="str">
        <x:v>Missing values, health boundaries and claims that require later evidence.</x:v>
      </x:c>
    </x:row>
    <x:row r="22" ht="32" customHeight="1">
      <x:c r="A22" s="28" t="str">
        <x:v>Completion checks</x:v>
      </x:c>
      <x:c r="B22" s="58"/>
      <x:c r="C22" s="58"/>
      <x:c r="D22" s="58"/>
      <x:c r="E22" s="29"/>
    </x:row>
    <x:row r="23" ht="24" customHeight="1">
      <x:c r="A23" s="99" t="str">
        <x:v>☐ 30 rows have a nonblank decision.</x:v>
      </x:c>
      <x:c r="B23" s="99"/>
      <x:c r="C23" s="99"/>
      <x:c r="D23" s="99"/>
      <x:c r="E23" s="99"/>
    </x:row>
    <x:row r="24" ht="24" customHeight="1">
      <x:c r="A24" s="99" t="str">
        <x:v>☐ All status values are Approved, Corrected or Rejected.</x:v>
      </x:c>
      <x:c r="B24" s="99"/>
      <x:c r="C24" s="99"/>
      <x:c r="D24" s="99"/>
      <x:c r="E24" s="99"/>
    </x:row>
    <x:row r="25" ht="24" customHeight="1">
      <x:c r="A25" s="99" t="str">
        <x:v>☐ Human chunk IDs resolve exactly to data/index/chunks.jsonl.</x:v>
      </x:c>
      <x:c r="B25" s="99"/>
      <x:c r="C25" s="99"/>
      <x:c r="D25" s="99"/>
      <x:c r="E25" s="99"/>
    </x:row>
    <x:row r="26" ht="24" customHeight="1">
      <x:c r="A26" s="99" t="str">
        <x:v>☐ Approved/Corrected rows have reviewer and reviewed_at.</x:v>
      </x:c>
      <x:c r="B26" s="99"/>
      <x:c r="C26" s="99"/>
      <x:c r="D26" s="99"/>
      <x:c r="E26" s="99"/>
    </x:row>
    <x:row r="27" ht="24" customHeight="1">
      <x:c r="A27" s="99" t="str">
        <x:v>☐ Rejected rows have correction_notes.</x:v>
      </x:c>
      <x:c r="B27" s="99"/>
      <x:c r="C27" s="99"/>
      <x:c r="D27" s="99"/>
      <x:c r="E27" s="99"/>
    </x:row>
  </x:sheetData>
  <x:mergeCells>
    <x:mergeCell ref="A1:E1"/>
    <x:mergeCell ref="A2:E2"/>
    <x:mergeCell ref="A22:E22"/>
    <x:mergeCell ref="A23:E23"/>
    <x:mergeCell ref="A24:E24"/>
    <x:mergeCell ref="A25:E25"/>
    <x:mergeCell ref="A26:E26"/>
    <x:mergeCell ref="A27:E27"/>
  </x:mergeCells>
  <x:pageMargins left="0.7" right="0.7" top="0.75" bottom="0.75" header="0.3" footer="0.3"/>
</x:worksheet>
</file>