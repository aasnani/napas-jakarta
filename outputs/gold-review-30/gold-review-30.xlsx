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981baf6178442cd" /></Relationships>
</file>

<file path=xl/workbook.xml><?xml version="1.0" encoding="utf-8"?>
<x:workbook xmlns:x="http://schemas.openxmlformats.org/spreadsheetml/2006/main">
  <x:sheets>
    <x:sheet xmlns:r="http://schemas.openxmlformats.org/officeDocument/2006/relationships" name="Start Here" sheetId="1" r:id="R27303b73751b4310"/>
    <x:sheet xmlns:r="http://schemas.openxmlformats.org/officeDocument/2006/relationships" name="Review Queue" sheetId="2" r:id="Ra1a4ca4f05ff42ac"/>
    <x:sheet xmlns:r="http://schemas.openxmlformats.org/officeDocument/2006/relationships" name="Evidence" sheetId="3" r:id="R55672693004d4804"/>
    <x:sheet xmlns:r="http://schemas.openxmlformats.org/officeDocument/2006/relationships" name="Reference" sheetId="4" r:id="R9b2f95abd5ca49fe"/>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
    <x:numFmt numFmtId="203" formatCode="0.00000000"/>
  </x:numFmts>
  <x:fonts count="14">
    <x:font>
      <x:sz val="11"/>
      <x:name val="Carlito"/>
    </x:font>
    <x:font>
      <x:b/>
      <x:sz val="18"/>
      <x:color rgb="FFFFFFFF"/>
      <x:name val="Carlito"/>
    </x:font>
    <x:font>
      <x:i/>
      <x:sz val="10"/>
      <x:color rgb="FF40566D"/>
      <x:name val="Carlito"/>
    </x:font>
    <x:font>
      <x:b/>
      <x:sz val="11"/>
      <x:color rgb="FF7A5300"/>
      <x:name val="Carlito"/>
    </x:font>
    <x:font>
      <x:b/>
      <x:sz val="10"/>
      <x:color rgb="FFFFFFFF"/>
      <x:name val="Carlito"/>
    </x:font>
    <x:font>
      <x:sz val="11"/>
      <x:color rgb="FF17202A"/>
      <x:name val="Carlito"/>
    </x:font>
    <x:font>
      <x:b/>
      <x:sz val="14"/>
      <x:color rgb="FF17324D"/>
      <x:name val="Carlito"/>
    </x:font>
    <x:font>
      <x:b/>
      <x:sz val="11"/>
      <x:color rgb="FF17324D"/>
      <x:name val="Carlito"/>
    </x:font>
    <x:font>
      <x:sz val="10"/>
      <x:color rgb="FF17202A"/>
      <x:name val="Carlito"/>
    </x:font>
    <x:font>
      <x:b/>
      <x:sz val="10"/>
      <x:color rgb="FF17324D"/>
      <x:name val="Carlito"/>
    </x:font>
    <x:font>
      <x:i/>
      <x:sz val="11"/>
      <x:color rgb="FF40566D"/>
      <x:name val="Carlito"/>
    </x:font>
    <x:font>
      <x:sz val="9"/>
      <x:color rgb="FF17202A"/>
      <x:name val="Carlito"/>
    </x:font>
    <x:font>
      <x:b/>
      <x:sz val="9"/>
      <x:color rgb="FF7A5300"/>
      <x:name val="Carlito"/>
    </x:font>
    <x:font>
      <x:sz val="9"/>
      <x:color rgb="FF7A5300"/>
      <x:name val="Carlito"/>
    </x:font>
  </x:fonts>
  <x:fills count="9">
    <x:fill>
      <x:patternFill patternType="none"/>
    </x:fill>
    <x:fill>
      <x:patternFill patternType="gray125"/>
    </x:fill>
    <x:fill>
      <x:patternFill patternType="solid">
        <x:fgColor rgb="FF17324D"/>
      </x:patternFill>
    </x:fill>
    <x:fill>
      <x:patternFill patternType="solid">
        <x:fgColor rgb="FFEAF2FB"/>
      </x:patternFill>
    </x:fill>
    <x:fill>
      <x:patternFill patternType="solid">
        <x:fgColor rgb="FFFFF4CC"/>
      </x:patternFill>
    </x:fill>
    <x:fill>
      <x:patternFill patternType="solid">
        <x:fgColor rgb="FF1F6FEB"/>
      </x:patternFill>
    </x:fill>
    <x:fill>
      <x:patternFill patternType="solid">
        <x:fgColor rgb="FFFFFFFF"/>
      </x:patternFill>
    </x:fill>
    <x:fill>
      <x:patternFill patternType="solid">
        <x:fgColor rgb="FFF3F6F9"/>
      </x:patternFill>
    </x:fill>
    <x:fill>
      <x:patternFill patternType="solid">
        <x:fgColor rgb="FFFFFDF5"/>
      </x:patternFill>
    </x:fill>
  </x:fills>
  <x:borders count="12">
    <x:border/>
    <x:border>
      <x:left style="thin">
        <x:color rgb="FFE3B341"/>
      </x:left>
      <x:top style="thin">
        <x:color rgb="FFE3B341"/>
      </x:top>
      <x:bottom style="thin">
        <x:color rgb="FFE3B341"/>
      </x:bottom>
    </x:border>
    <x:border>
      <x:top style="thin">
        <x:color rgb="FFE3B341"/>
      </x:top>
      <x:bottom style="thin">
        <x:color rgb="FFE3B341"/>
      </x:bottom>
    </x:border>
    <x:border>
      <x:right style="thin">
        <x:color rgb="FFE3B341"/>
      </x:right>
      <x:top style="thin">
        <x:color rgb="FFE3B341"/>
      </x:top>
      <x:bottom style="thin">
        <x:color rgb="FFE3B341"/>
      </x:bottom>
    </x:border>
    <x:border>
      <x:left style="thin">
        <x:color rgb="FFD7E0EA"/>
      </x:left>
      <x:top style="thin">
        <x:color rgb="FFD7E0EA"/>
      </x:top>
      <x:bottom style="thin">
        <x:color rgb="FFD7E0EA"/>
      </x:bottom>
    </x:border>
    <x:border>
      <x:right style="thin">
        <x:color rgb="FFD7E0EA"/>
      </x:right>
      <x:top style="thin">
        <x:color rgb="FFD7E0EA"/>
      </x:top>
      <x:bottom style="thin">
        <x:color rgb="FFD7E0EA"/>
      </x:bottom>
    </x:border>
    <x:border>
      <x:left style="thin">
        <x:color rgb="FFD7E0EA"/>
      </x:left>
      <x:right style="thin">
        <x:color rgb="FFD7E0EA"/>
      </x:right>
      <x:top style="thin">
        <x:color rgb="FFD7E0EA"/>
      </x:top>
      <x:bottom style="thin">
        <x:color rgb="FFD7E0EA"/>
      </x:bottom>
    </x:border>
    <x:border>
      <x:top style="thin">
        <x:color rgb="FFD7E0EA"/>
      </x:top>
      <x:bottom style="thin">
        <x:color rgb="FFD7E0EA"/>
      </x:bottom>
    </x:border>
    <x:border>
      <x:bottom style="thin">
        <x:color rgb="FFD7E0EA"/>
      </x:bottom>
    </x:border>
    <x:border>
      <x:left style="thin">
        <x:color rgb="FFE3B341"/>
      </x:left>
      <x:right style="thin">
        <x:color rgb="FFE3B341"/>
      </x:right>
      <x:top style="thin">
        <x:color rgb="FFE3B341"/>
      </x:top>
      <x:bottom style="thin">
        <x:color rgb="FFD7E0EA"/>
      </x:bottom>
    </x:border>
    <x:border>
      <x:left style="thin">
        <x:color rgb="FFE3B341"/>
      </x:left>
      <x:right style="thin">
        <x:color rgb="FFE3B341"/>
      </x:right>
      <x:top style="thin">
        <x:color rgb="FFD7E0EA"/>
      </x:top>
      <x:bottom style="thin">
        <x:color rgb="FFD7E0EA"/>
      </x:bottom>
    </x:border>
    <x:border>
      <x:left style="thin">
        <x:color rgb="FFE3B341"/>
      </x:left>
      <x:right style="thin">
        <x:color rgb="FFE3B341"/>
      </x:right>
      <x:top style="thin">
        <x:color rgb="FFD7E0EA"/>
      </x:top>
      <x:bottom style="thin">
        <x:color rgb="FFE3B341"/>
      </x:bottom>
    </x:border>
  </x:borders>
  <x:cellStyleXfs count="1">
    <x:xf numFmtId="0" fontId="0" fillId="0" borderId="0"/>
  </x:cellStyleXfs>
  <x:cellXfs count="10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4" xfId="0" applyNumberFormat="1" applyFont="1" applyFill="1" applyBorder="1"/>
    <x:xf numFmtId="0" fontId="4" fillId="5" borderId="5" xfId="0" applyNumberFormat="1" applyFont="1" applyFill="1" applyBorder="1"/>
    <x:xf numFmtId="0" fontId="4" fillId="5" borderId="4" xfId="0" applyNumberFormat="1" applyFont="1" applyFill="1" applyBorder="1" applyAlignment="1">
      <x:alignment wrapText="1"/>
    </x:xf>
    <x:xf numFmtId="0" fontId="4" fillId="5" borderId="5" xfId="0" applyNumberFormat="1" applyFont="1" applyFill="1" applyBorder="1" applyAlignment="1">
      <x:alignment wrapText="1"/>
    </x:xf>
    <x:xf numFmtId="0" fontId="4" fillId="5" borderId="4" xfId="0" applyNumberFormat="1" applyFont="1" applyFill="1" applyBorder="1" applyAlignment="1">
      <x:alignment horizontal="center" wrapText="1"/>
    </x:xf>
    <x:xf numFmtId="0" fontId="4" fillId="5" borderId="5" xfId="0" applyNumberFormat="1" applyFont="1" applyFill="1" applyBorder="1" applyAlignment="1">
      <x:alignment horizontal="center" wrapText="1"/>
    </x:xf>
    <x:xf numFmtId="0" fontId="4" fillId="5" borderId="4" xfId="0" applyNumberFormat="1" applyFont="1" applyFill="1" applyBorder="1" applyAlignment="1">
      <x:alignment horizontal="center" vertical="center" wrapText="1"/>
    </x:xf>
    <x:xf numFmtId="0" fontId="4" fillId="5" borderId="5" xfId="0" applyNumberFormat="1" applyFont="1" applyFill="1" applyBorder="1" applyAlignment="1">
      <x:alignment horizontal="center" vertical="center" wrapText="1"/>
    </x:xf>
    <x:xf numFmtId="0" fontId="0" fillId="6" borderId="0" xfId="0" applyNumberFormat="1" applyFont="1" applyFill="1" applyBorder="1"/>
    <x:xf numFmtId="0" fontId="5" fillId="6" borderId="0" xfId="0" applyNumberFormat="1" applyFont="1" applyFill="1" applyBorder="1"/>
    <x:xf numFmtId="0" fontId="5" fillId="6" borderId="6" xfId="0" applyNumberFormat="1" applyFont="1" applyFill="1" applyBorder="1"/>
    <x:xf numFmtId="0" fontId="5" fillId="7" borderId="6" xfId="0" applyNumberFormat="1" applyFont="1" applyFill="1" applyBorder="1"/>
    <x:xf numFmtId="0" fontId="6" fillId="7" borderId="6" xfId="0" applyNumberFormat="1" applyFont="1" applyFill="1" applyBorder="1"/>
    <x:xf numFmtId="200" fontId="6" fillId="7" borderId="6" xfId="0" applyNumberFormat="1" applyFont="1" applyFill="1" applyBorder="1"/>
    <x:xf numFmtId="200" fontId="6" fillId="7" borderId="6" xfId="0" applyNumberFormat="1" applyFont="1" applyFill="1" applyBorder="1" applyAlignment="1">
      <x:alignment horizontal="right"/>
    </x:xf>
    <x:xf numFmtId="0" fontId="7" fillId="7" borderId="6" xfId="0" applyNumberFormat="1" applyFont="1" applyFill="1" applyBorder="1"/>
    <x:xf numFmtId="200" fontId="7" fillId="7" borderId="6" xfId="0" applyNumberFormat="1" applyFont="1" applyFill="1" applyBorder="1"/>
    <x:xf numFmtId="200" fontId="7" fillId="7" borderId="6" xfId="0" applyNumberFormat="1" applyFont="1" applyFill="1" applyBorder="1" applyAlignment="1">
      <x:alignment horizontal="right"/>
    </x:xf>
    <x:xf numFmtId="0" fontId="8" fillId="6" borderId="0" xfId="0" applyNumberFormat="1" applyFont="1" applyFill="1" applyBorder="1"/>
    <x:xf numFmtId="0" fontId="8" fillId="6" borderId="6" xfId="0" applyNumberFormat="1" applyFont="1" applyFill="1" applyBorder="1"/>
    <x:xf numFmtId="0" fontId="8" fillId="6" borderId="6" xfId="0" applyNumberFormat="1" applyFont="1" applyFill="1" applyBorder="1" applyAlignment="1">
      <x:alignment wrapText="1"/>
    </x:xf>
    <x:xf numFmtId="0" fontId="8" fillId="7" borderId="6" xfId="0" applyNumberFormat="1" applyFont="1" applyFill="1" applyBorder="1" applyAlignment="1">
      <x:alignment wrapText="1"/>
    </x:xf>
    <x:xf numFmtId="0" fontId="9" fillId="7" borderId="6" xfId="0" applyNumberFormat="1" applyFont="1" applyFill="1" applyBorder="1" applyAlignment="1">
      <x:alignment wrapText="1"/>
    </x:xf>
    <x:xf numFmtId="200" fontId="9" fillId="7" borderId="6" xfId="0" applyNumberFormat="1" applyFont="1" applyFill="1" applyBorder="1" applyAlignment="1">
      <x:alignment wrapText="1"/>
    </x:xf>
    <x:xf numFmtId="200" fontId="9" fillId="7" borderId="6" xfId="0" applyNumberFormat="1" applyFont="1" applyFill="1" applyBorder="1" applyAlignment="1">
      <x:alignment horizontal="right" wrapText="1"/>
    </x:xf>
    <x:xf numFmtId="0" fontId="8" fillId="7" borderId="6" xfId="0" applyNumberFormat="1" applyFont="1" applyFill="1" applyBorder="1"/>
    <x:xf numFmtId="0" fontId="9" fillId="7" borderId="6" xfId="0" applyNumberFormat="1" applyFont="1" applyFill="1" applyBorder="1"/>
    <x:xf numFmtId="200" fontId="9" fillId="7" borderId="6" xfId="0" applyNumberFormat="1" applyFont="1" applyFill="1" applyBorder="1"/>
    <x:xf numFmtId="200" fontId="9" fillId="7" borderId="6" xfId="0" applyNumberFormat="1" applyFont="1" applyFill="1" applyBorder="1" applyAlignment="1">
      <x:alignment horizontal="right"/>
    </x:xf>
    <x:xf numFmtId="0" fontId="8" fillId="6" borderId="6" xfId="0" applyNumberFormat="1" applyFont="1" applyFill="1" applyBorder="1" applyAlignment="1">
      <x:alignment vertical="center" wrapText="1"/>
    </x:xf>
    <x:xf numFmtId="0" fontId="10" fillId="3" borderId="0" xfId="0" applyNumberFormat="1" applyFont="1" applyFill="1" applyBorder="1"/>
    <x:xf numFmtId="0" fontId="10" fillId="3" borderId="0" xfId="0" applyNumberFormat="1" applyFont="1" applyFill="1" applyBorder="1" applyAlignment="1">
      <x:alignment wrapText="1"/>
    </x:xf>
    <x:xf numFmtId="0" fontId="10" fillId="3" borderId="0" xfId="0" applyNumberFormat="1" applyFont="1" applyFill="1" applyBorder="1" applyAlignment="1">
      <x:alignment vertical="center" wrapText="1"/>
    </x:xf>
    <x:xf numFmtId="0" fontId="4" fillId="5" borderId="7" xfId="0" applyNumberFormat="1" applyFont="1" applyFill="1" applyBorder="1"/>
    <x:xf numFmtId="0" fontId="4" fillId="5" borderId="7" xfId="0" applyNumberFormat="1" applyFont="1" applyFill="1" applyBorder="1" applyAlignment="1">
      <x:alignment wrapText="1"/>
    </x:xf>
    <x:xf numFmtId="0" fontId="4" fillId="5" borderId="7" xfId="0" applyNumberFormat="1" applyFont="1" applyFill="1" applyBorder="1" applyAlignment="1">
      <x:alignment horizontal="center" wrapText="1"/>
    </x:xf>
    <x:xf numFmtId="0" fontId="4" fillId="5" borderId="7" xfId="0" applyNumberFormat="1" applyFont="1" applyFill="1" applyBorder="1" applyAlignment="1">
      <x:alignment horizontal="center" vertical="center" wrapText="1"/>
    </x:xf>
    <x:xf numFmtId="0" fontId="11" fillId="6" borderId="0" xfId="0" applyNumberFormat="1" applyFont="1" applyFill="1" applyBorder="1"/>
    <x:xf numFmtId="0" fontId="11" fillId="6" borderId="8" xfId="0" applyNumberFormat="1" applyFont="1" applyFill="1" applyBorder="1"/>
    <x:xf numFmtId="0" fontId="11" fillId="6" borderId="7" xfId="0" applyNumberFormat="1" applyFont="1" applyFill="1" applyBorder="1"/>
    <x:xf numFmtId="0" fontId="11" fillId="6" borderId="8" xfId="0" applyNumberFormat="1" applyFont="1" applyFill="1" applyBorder="1" applyAlignment="1">
      <x:alignment wrapText="1"/>
    </x:xf>
    <x:xf numFmtId="0" fontId="11" fillId="6" borderId="7" xfId="0" applyNumberFormat="1" applyFont="1" applyFill="1" applyBorder="1" applyAlignment="1">
      <x:alignment wrapText="1"/>
    </x:xf>
    <x:xf numFmtId="0" fontId="11" fillId="6" borderId="8" xfId="0" applyNumberFormat="1" applyFont="1" applyFill="1" applyBorder="1" applyAlignment="1">
      <x:alignment vertical="top" wrapText="1"/>
    </x:xf>
    <x:xf numFmtId="0" fontId="11" fillId="6" borderId="7" xfId="0" applyNumberFormat="1" applyFont="1" applyFill="1" applyBorder="1" applyAlignment="1">
      <x:alignment vertical="top" wrapText="1"/>
    </x:xf>
    <x:xf numFmtId="0" fontId="11" fillId="4" borderId="8" xfId="0" applyNumberFormat="1" applyFont="1" applyFill="1" applyBorder="1" applyAlignment="1">
      <x:alignment vertical="top" wrapText="1"/>
    </x:xf>
    <x:xf numFmtId="0" fontId="11" fillId="4" borderId="7" xfId="0" applyNumberFormat="1" applyFont="1" applyFill="1" applyBorder="1" applyAlignment="1">
      <x:alignment vertical="top" wrapText="1"/>
    </x:xf>
    <x:xf numFmtId="0" fontId="12" fillId="4" borderId="8" xfId="0" applyNumberFormat="1" applyFont="1" applyFill="1" applyBorder="1" applyAlignment="1">
      <x:alignment vertical="top" wrapText="1"/>
    </x:xf>
    <x:xf numFmtId="0" fontId="12" fillId="4" borderId="7" xfId="0" applyNumberFormat="1" applyFont="1" applyFill="1" applyBorder="1" applyAlignment="1">
      <x:alignment vertical="top" wrapText="1"/>
    </x:xf>
    <x:xf numFmtId="0" fontId="12" fillId="4" borderId="9" xfId="0" applyNumberFormat="1" applyFont="1" applyFill="1" applyBorder="1" applyAlignment="1">
      <x:alignment vertical="top" wrapText="1"/>
    </x:xf>
    <x:xf numFmtId="0" fontId="12" fillId="4" borderId="10" xfId="0" applyNumberFormat="1" applyFont="1" applyFill="1" applyBorder="1" applyAlignment="1">
      <x:alignment vertical="top" wrapText="1"/>
    </x:xf>
    <x:xf numFmtId="0" fontId="12" fillId="4" borderId="11" xfId="0" applyNumberFormat="1" applyFont="1" applyFill="1" applyBorder="1" applyAlignment="1">
      <x:alignment vertical="top" wrapText="1"/>
    </x:xf>
    <x:xf numFmtId="0" fontId="12" fillId="4" borderId="9" xfId="0" applyNumberFormat="1" applyFont="1" applyFill="1" applyBorder="1" applyAlignment="1">
      <x:alignment horizontal="center" vertical="top" wrapText="1"/>
    </x:xf>
    <x:xf numFmtId="0" fontId="12" fillId="4" borderId="10" xfId="0" applyNumberFormat="1" applyFont="1" applyFill="1" applyBorder="1" applyAlignment="1">
      <x:alignment horizontal="center" vertical="top" wrapText="1"/>
    </x:xf>
    <x:xf numFmtId="0" fontId="12" fillId="4" borderId="11" xfId="0" applyNumberFormat="1" applyFont="1" applyFill="1" applyBorder="1" applyAlignment="1">
      <x:alignment horizontal="center" vertical="top" wrapText="1"/>
    </x:xf>
    <x:xf numFmtId="0" fontId="12" fillId="4" borderId="9" xfId="0" applyNumberFormat="1" applyFont="1" applyFill="1" applyBorder="1" applyAlignment="1">
      <x:alignment horizontal="center" vertical="center" wrapText="1"/>
    </x:xf>
    <x:xf numFmtId="0" fontId="12" fillId="4" borderId="10" xfId="0" applyNumberFormat="1" applyFont="1" applyFill="1" applyBorder="1" applyAlignment="1">
      <x:alignment horizontal="center" vertical="center" wrapText="1"/>
    </x:xf>
    <x:xf numFmtId="0" fontId="12" fillId="4" borderId="11" xfId="0" applyNumberFormat="1" applyFont="1" applyFill="1" applyBorder="1" applyAlignment="1">
      <x:alignment horizontal="center" vertical="center" wrapText="1"/>
    </x:xf>
    <x:xf numFmtId="0" fontId="11" fillId="8" borderId="8" xfId="0" applyNumberFormat="1" applyFont="1" applyFill="1" applyBorder="1" applyAlignment="1">
      <x:alignment vertical="top" wrapText="1"/>
    </x:xf>
    <x:xf numFmtId="0" fontId="11" fillId="8" borderId="7" xfId="0" applyNumberFormat="1" applyFont="1" applyFill="1" applyBorder="1" applyAlignment="1">
      <x:alignment vertical="top" wrapText="1"/>
    </x:xf>
    <x:xf numFmtId="0" fontId="13" fillId="8" borderId="8" xfId="0" applyNumberFormat="1" applyFont="1" applyFill="1" applyBorder="1" applyAlignment="1">
      <x:alignment vertical="top" wrapText="1"/>
    </x:xf>
    <x:xf numFmtId="0" fontId="13" fillId="8" borderId="7" xfId="0" applyNumberFormat="1" applyFont="1" applyFill="1" applyBorder="1" applyAlignment="1">
      <x:alignment vertical="top" wrapText="1"/>
    </x:xf>
    <x:xf numFmtId="201" fontId="13" fillId="8" borderId="8" xfId="0" applyNumberFormat="1" applyFont="1" applyFill="1" applyBorder="1" applyAlignment="1">
      <x:alignment vertical="top" wrapText="1"/>
    </x:xf>
    <x:xf numFmtId="201" fontId="13" fillId="8" borderId="7" xfId="0" applyNumberFormat="1" applyFont="1" applyFill="1" applyBorder="1" applyAlignment="1">
      <x:alignment vertical="top" wrapText="1"/>
    </x:xf>
    <x:xf numFmtId="202" fontId="11" fillId="6" borderId="8" xfId="0" applyNumberFormat="1" applyFont="1" applyFill="1" applyBorder="1" applyAlignment="1">
      <x:alignment vertical="top" wrapText="1"/>
    </x:xf>
    <x:xf numFmtId="202" fontId="11" fillId="6" borderId="7" xfId="0" applyNumberFormat="1" applyFont="1" applyFill="1" applyBorder="1" applyAlignment="1">
      <x:alignment vertical="top" wrapText="1"/>
    </x:xf>
    <x:xf numFmtId="202" fontId="11" fillId="6" borderId="8" xfId="0" applyNumberFormat="1" applyFont="1" applyFill="1" applyBorder="1" applyAlignment="1">
      <x:alignment horizontal="right" vertical="top" wrapText="1"/>
    </x:xf>
    <x:xf numFmtId="202" fontId="11" fillId="6" borderId="7" xfId="0" applyNumberFormat="1" applyFont="1" applyFill="1" applyBorder="1" applyAlignment="1">
      <x:alignment horizontal="right" vertical="top" wrapText="1"/>
    </x:xf>
    <x:xf numFmtId="203" fontId="11" fillId="6" borderId="8" xfId="0" applyNumberFormat="1" applyFont="1" applyFill="1" applyBorder="1" applyAlignment="1">
      <x:alignment vertical="top" wrapText="1"/>
    </x:xf>
    <x:xf numFmtId="203" fontId="11" fillId="6" borderId="7" xfId="0" applyNumberFormat="1" applyFont="1" applyFill="1" applyBorder="1" applyAlignment="1">
      <x:alignment vertical="top" wrapText="1"/>
    </x:xf>
    <x:xf numFmtId="203" fontId="11" fillId="6" borderId="8" xfId="0" applyNumberFormat="1" applyFont="1" applyFill="1" applyBorder="1" applyAlignment="1">
      <x:alignment horizontal="right" vertical="top" wrapText="1"/>
    </x:xf>
    <x:xf numFmtId="203" fontId="11" fillId="6" borderId="7" xfId="0" applyNumberFormat="1" applyFont="1" applyFill="1" applyBorder="1" applyAlignment="1">
      <x:alignment horizontal="right" vertical="top" wrapText="1"/>
    </x:xf>
    <x:xf numFmtId="0" fontId="5" fillId="6" borderId="6" xfId="0" applyNumberFormat="1" applyFont="1" applyFill="1" applyBorder="1" applyAlignment="1">
      <x:alignment wrapText="1"/>
    </x:xf>
    <x:xf numFmtId="0" fontId="5" fillId="6" borderId="6" xfId="0" applyNumberFormat="1" applyFont="1" applyFill="1" applyBorder="1" applyAlignment="1">
      <x:alignment vertical="top" wrapText="1"/>
    </x:xf>
    <x:xf numFmtId="0" fontId="0" fillId="7" borderId="0" xfId="0" applyNumberFormat="1" applyFont="1" applyFill="1" applyBorder="1"/>
    <x:xf numFmtId="0" fontId="7" fillId="7" borderId="0" xfId="0" applyNumberFormat="1" applyFont="1" applyFill="1" applyBorder="1"/>
    <x:xf numFmtId="202" fontId="7" fillId="7" borderId="6" xfId="0" applyNumberFormat="1" applyFont="1" applyFill="1" applyBorder="1"/>
    <x:xf numFmtId="202" fontId="7" fillId="7" borderId="6" xfId="0" applyNumberFormat="1" applyFont="1" applyFill="1" applyBorder="1" applyAlignment="1">
      <x:alignment horizontal="center"/>
    </x:xf>
    <x:xf numFmtId="0" fontId="5" fillId="6" borderId="6" xfId="0" applyNumberFormat="1" applyFont="1" applyFill="1" applyBorder="1" applyAlignment="1">
      <x:alignment vertical="center" wrapText="1"/>
    </x:xf>
  </x:cellXfs>
  <x:cellStyles count="1">
    <x:cellStyle name="Normal" xfId="0"/>
  </x:cellStyles>
  <x:dxfs count="3">
    <x:dxf>
      <x:font>
        <x:b/>
        <x:color rgb="FF166534"/>
      </x:font>
      <x:fill>
        <x:patternFill patternType="solid">
          <x:bgColor rgb="FFDCFCE7"/>
        </x:patternFill>
      </x:fill>
    </x:dxf>
    <x:dxf>
      <x:font>
        <x:b/>
        <x:color rgb="FF1D4ED8"/>
      </x:font>
      <x:fill>
        <x:patternFill patternType="solid">
          <x:bgColor rgb="FFEAF2FB"/>
        </x:patternFill>
      </x:fill>
    </x:dxf>
    <x:dxf>
      <x:font>
        <x:b/>
        <x:color rgb="FF991B1B"/>
      </x:font>
      <x:fill>
        <x:patternFill patternType="solid">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bbf4366720149ab" /><Relationship Type="http://schemas.openxmlformats.org/officeDocument/2006/relationships/theme" Target="/xl/theme/theme1.xml" Id="Rab82782a0f804f4f" /><Relationship Type="http://schemas.openxmlformats.org/officeDocument/2006/relationships/sharedStrings" Target="/xl/sharedStrings.xml" Id="Rc89596bbdc814717" /><Relationship Type="http://schemas.openxmlformats.org/officeDocument/2006/relationships/worksheet" Target="/xl/worksheets/sheet1.xml" Id="R27303b73751b4310" /><Relationship Type="http://schemas.openxmlformats.org/officeDocument/2006/relationships/worksheet" Target="/xl/worksheets/sheet2.xml" Id="Ra1a4ca4f05ff42ac" /><Relationship Type="http://schemas.openxmlformats.org/officeDocument/2006/relationships/worksheet" Target="/xl/worksheets/sheet3.xml" Id="R55672693004d4804" /><Relationship Type="http://schemas.openxmlformats.org/officeDocument/2006/relationships/worksheet" Target="/xl/worksheets/sheet4.xml" Id="R9b2f95abd5ca49fe" /></Relationships>
</file>

<file path=xl/tables/table1.xml><?xml version="1.0" encoding="utf-8"?>
<x:table xmlns:x="http://schemas.openxmlformats.org/spreadsheetml/2006/main" id="1" name="ReviewQueueTable" displayName="ReviewQueueTable" ref="A5:S35" headerRowCount="1" totalsRowCount="0" totalsRowShown="0">
  <x:tableColumns count="19">
    <x:tableColumn id="1" name="question_id"/>
    <x:tableColumn id="2" name="seed_id"/>
    <x:tableColumn id="3" name="language"/>
    <x:tableColumn id="4" name="topic"/>
    <x:tableColumn id="5" name="difficulty"/>
    <x:tableColumn id="6" name="Status"/>
    <x:tableColumn id="7" name="expected_route"/>
    <x:tableColumn id="8" name="question"/>
    <x:tableColumn id="9" name="parent context"/>
    <x:tableColumn id="10" name="expected no result"/>
    <x:tableColumn id="11" name="proposed source IDs"/>
    <x:tableColumn id="12" name="proposed chunk IDs"/>
    <x:tableColumn id="13" name="proposed rationale"/>
    <x:tableColumn id="14" name="human_relevant_chunk_ids"/>
    <x:tableColumn id="15" name="reviewer"/>
    <x:tableColumn id="16" name="reviewed_at"/>
    <x:tableColumn id="17" name="correction_notes"/>
    <x:tableColumn id="18" name="production mode"/>
    <x:tableColumn id="19" name="packet state"/>
  </x:tableColumns>
  <x:tableStyleInfo name="TableStyleMedium2" showFirstColumn="0" showLastColumn="0" showRowStripes="1" showColumnStripes="0"/>
</x:table>
</file>

<file path=xl/tables/table2.xml><?xml version="1.0" encoding="utf-8"?>
<x:table xmlns:x="http://schemas.openxmlformats.org/spreadsheetml/2006/main" id="2" name="EvidenceTable" displayName="EvidenceTable" ref="A5:M605" headerRowCount="1" totalsRowCount="0" totalsRowShown="0">
  <x:tableColumns count="13">
    <x:tableColumn id="1" name="question_id"/>
    <x:tableColumn id="2" name="mode"/>
    <x:tableColumn id="3" name="rank"/>
    <x:tableColumn id="4" name="source_id"/>
    <x:tableColumn id="5" name="chunk_id"/>
    <x:tableColumn id="6" name="locator"/>
    <x:tableColumn id="7" name="score"/>
    <x:tableColumn id="8" name="title"/>
    <x:tableColumn id="9" name="publisher"/>
    <x:tableColumn id="10" name="excerpt"/>
    <x:tableColumn id="11" name="URL"/>
    <x:tableColumn id="12" name="proposed grade"/>
    <x:tableColumn id="13" name="proposed rationa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994873f0e8c42cd" /></Relationships>
</file>

<file path=xl/worksheets/_rels/sheet3.xml.rels>&#65279;<?xml version="1.0" encoding="utf-8"?><Relationships xmlns="http://schemas.openxmlformats.org/package/2006/relationships"><Relationship Type="http://schemas.openxmlformats.org/officeDocument/2006/relationships/table" Target="/xl/tables/table2.xml" Id="R6d1122c3611c4b4f" /></Relationships>
</file>

<file path=xl/worksheets/sheet1.xml><?xml version="1.0" encoding="utf-8"?>
<x:worksheet xmlns:x="http://schemas.openxmlformats.org/spreadsheetml/2006/main">
  <x:sheetViews>
    <x:sheetView showGridLines="0" workbookViewId="0"/>
  </x:sheetViews>
  <x:sheetFormatPr defaultRowHeight="15"/>
  <x:cols>
    <x:col min="1" max="1" width="30" hidden="0" customWidth="1"/>
    <x:col min="2" max="2" width="17" hidden="0" customWidth="1"/>
    <x:col min="3" max="3" width="17" hidden="0" customWidth="1"/>
    <x:col min="4" max="4" width="17" hidden="0" customWidth="1"/>
    <x:col min="5" max="5" width="17" hidden="0" customWidth="1"/>
    <x:col min="6" max="6" width="17" hidden="0" customWidth="1"/>
    <x:col min="7" max="7" width="27" hidden="0" customWidth="1"/>
    <x:col min="8" max="8" width="28" hidden="0" customWidth="1"/>
  </x:cols>
  <x:sheetData>
    <x:row r="1" ht="34" customHeight="1">
      <x:c r="A1" s="4" t="str">
        <x:v>Napas Jakarta · 30-question review queue</x:v>
      </x:c>
      <x:c r="B1" s="4"/>
      <x:c r="C1" s="4"/>
      <x:c r="D1" s="4"/>
      <x:c r="E1" s="4"/>
      <x:c r="F1" s="4"/>
      <x:c r="G1" s="4"/>
      <x:c r="H1" s="4"/>
    </x:row>
    <x:row r="2" ht="30" customHeight="1">
      <x:c r="A2" s="8" t="str">
        <x:v>Machine-suggested evidence packet for a focused human review pass. The queue is not approved until every row is decided.</x:v>
      </x:c>
      <x:c r="B2" s="8"/>
      <x:c r="C2" s="8"/>
      <x:c r="D2" s="8"/>
      <x:c r="E2" s="8"/>
      <x:c r="F2" s="8"/>
      <x:c r="G2" s="8"/>
      <x:c r="H2" s="8"/>
    </x:row>
    <x:row r="4" ht="30" customHeight="1">
      <x:c r="A4" s="17" t="str">
        <x:v>PENDING HUMAN REVIEW — proposed source/chunk labels are suggestions only. Review the Evidence sheet, then edit Status and the blank human fields on Review Queue.</x:v>
      </x:c>
      <x:c r="B4" s="18"/>
      <x:c r="C4" s="18"/>
      <x:c r="D4" s="18"/>
      <x:c r="E4" s="18"/>
      <x:c r="F4" s="18"/>
      <x:c r="G4" s="18"/>
      <x:c r="H4" s="19"/>
    </x:row>
    <x:row r="6" ht="32" customHeight="1">
      <x:c r="A6" s="28" t="str">
        <x:v>Progress</x:v>
      </x:c>
      <x:c r="B6" s="29" t="str">
        <x:v>Count</x:v>
      </x:c>
      <x:c r="D6" s="28" t="str">
        <x:v>Language</x:v>
      </x:c>
      <x:c r="E6" s="29" t="str">
        <x:v>Count</x:v>
      </x:c>
      <x:c r="G6" s="28" t="str">
        <x:v>Corpus snapshot</x:v>
      </x:c>
      <x:c r="H6" s="29" t="str">
        <x:v>Value</x:v>
      </x:c>
    </x:row>
    <x:row r="7">
      <x:c r="A7" s="32" t="str">
        <x:v>Total questions</x:v>
      </x:c>
      <x:c r="B7" s="36" t="n">
        <x:f>COUNTA('Review Queue'!$A$6:$A$35)</x:f>
        <x:v>30</x:v>
      </x:c>
      <x:c r="D7" s="32" t="str">
        <x:v>English</x:v>
      </x:c>
      <x:c r="E7" s="39" t="n">
        <x:f>COUNTIF('Review Queue'!$C$6:$C$35,D7)</x:f>
        <x:v>15</x:v>
      </x:c>
      <x:c r="G7" s="42" t="str">
        <x:v>Documents</x:v>
      </x:c>
      <x:c r="H7" s="46" t="n">
        <x:v>29</x:v>
      </x:c>
    </x:row>
    <x:row r="8">
      <x:c r="A8" s="32" t="str">
        <x:v>Approved</x:v>
      </x:c>
      <x:c r="B8" s="36" t="n">
        <x:f>COUNTIF('Review Queue'!$F$6:$F$35,"Approved")</x:f>
        <x:v>0</x:v>
      </x:c>
      <x:c r="D8" s="32" t="str">
        <x:v>Bahasa Indonesia</x:v>
      </x:c>
      <x:c r="E8" s="39" t="n">
        <x:f>COUNTIF('Review Queue'!$C$6:$C$35,D8)</x:f>
        <x:v>15</x:v>
      </x:c>
      <x:c r="G8" s="42" t="str">
        <x:v>Chunks</x:v>
      </x:c>
      <x:c r="H8" s="46" t="n">
        <x:v>113</x:v>
      </x:c>
    </x:row>
    <x:row r="9">
      <x:c r="A9" s="32" t="str">
        <x:v>Corrected</x:v>
      </x:c>
      <x:c r="B9" s="36" t="n">
        <x:f>COUNTIF('Review Queue'!$F$6:$F$35,"Corrected")</x:f>
        <x:v>0</x:v>
      </x:c>
      <x:c r="G9" s="42" t="str">
        <x:v>Corpus fingerprint</x:v>
      </x:c>
      <x:c r="H9" s="42" t="str">
        <x:v>377ba2e4b26b2f8be68b4ec854d234fad27b11f7c9d0745fe2e04f1ff9b905a4</x:v>
      </x:c>
    </x:row>
    <x:row r="10">
      <x:c r="A10" s="32" t="str">
        <x:v>Rejected</x:v>
      </x:c>
      <x:c r="B10" s="36" t="n">
        <x:f>COUNTIF('Review Queue'!$F$6:$F$35,"Rejected")</x:f>
        <x:v>0</x:v>
      </x:c>
      <x:c r="G10" s="42" t="str">
        <x:v>Report fingerprint</x:v>
      </x:c>
      <x:c r="H10" s="42" t="str">
        <x:v>972c34481355f45f5b548fe5eca44e18a25f27a2244c471b287ee234691ba15d</x:v>
      </x:c>
    </x:row>
    <x:row r="11">
      <x:c r="A11" s="32" t="str">
        <x:v>Pending</x:v>
      </x:c>
      <x:c r="B11" s="36" t="n">
        <x:f>COUNTIF('Review Queue'!$F$6:$F$35,"Pending")</x:f>
        <x:v>30</x:v>
      </x:c>
      <x:c r="G11" s="42" t="str">
        <x:v>Packet state</x:v>
      </x:c>
      <x:c r="H11" s="42" t="str">
        <x:v>pending_human</x:v>
      </x:c>
    </x:row>
    <x:row r="14" ht="32" customHeight="1">
      <x:c r="A14" s="28" t="str">
        <x:v>Topic distribution</x:v>
      </x:c>
      <x:c r="B14" s="29" t="str">
        <x:v>Count</x:v>
      </x:c>
      <x:c r="D14" s="28" t="str">
        <x:v>Difficulty distribution</x:v>
      </x:c>
      <x:c r="E14" s="29" t="str">
        <x:v>Count</x:v>
      </x:c>
      <x:c r="G14" s="28" t="str">
        <x:v>How to review</x:v>
      </x:c>
      <x:c r="H14" s="29"/>
    </x:row>
    <x:row r="15" ht="26" customHeight="1">
      <x:c r="A15" s="41" t="str">
        <x:v>current_measurements</x:v>
      </x:c>
      <x:c r="B15" s="50" t="n">
        <x:f>COUNTIF('Review Queue'!$D$6:$D$35,A15)</x:f>
        <x:v>4</x:v>
      </x:c>
      <x:c r="D15" s="32" t="str">
        <x:v>easy</x:v>
      </x:c>
      <x:c r="E15" s="39" t="n">
        <x:f>COUNTIF('Review Queue'!$E$6:$E$35,D15)</x:f>
        <x:v>10</x:v>
      </x:c>
      <x:c r="G15" s="51" t="str">
        <x:v>1. Filter Evidence by question_id and inspect the proposed passages.</x:v>
      </x:c>
      <x:c r="H15" s="51"/>
    </x:row>
    <x:row r="16" ht="26" customHeight="1">
      <x:c r="A16" s="41" t="str">
        <x:v>historical_category_threshold</x:v>
      </x:c>
      <x:c r="B16" s="50" t="n">
        <x:f>COUNTIF('Review Queue'!$D$6:$D$35,A16)</x:f>
        <x:v>5</x:v>
      </x:c>
      <x:c r="D16" s="32" t="str">
        <x:v>medium</x:v>
      </x:c>
      <x:c r="E16" s="39" t="n">
        <x:f>COUNTIF('Review Queue'!$E$6:$E$35,D16)</x:f>
        <x:v>12</x:v>
      </x:c>
      <x:c r="G16" s="51" t="str">
        <x:v>2. Set Status to Approved, Corrected, or Rejected.</x:v>
      </x:c>
      <x:c r="H16" s="51"/>
    </x:row>
    <x:row r="17" ht="26" customHeight="1">
      <x:c r="A17" s="41" t="str">
        <x:v>causes</x:v>
      </x:c>
      <x:c r="B17" s="50" t="n">
        <x:f>COUNTIF('Review Queue'!$D$6:$D$35,A17)</x:f>
        <x:v>4</x:v>
      </x:c>
      <x:c r="D17" s="32" t="str">
        <x:v>hard</x:v>
      </x:c>
      <x:c r="E17" s="39" t="n">
        <x:f>COUNTIF('Review Queue'!$E$6:$E$35,D17)</x:f>
        <x:v>8</x:v>
      </x:c>
      <x:c r="G17" s="51" t="str">
        <x:v>3. Enter exact human chunk IDs for Approved/Corrected.</x:v>
      </x:c>
      <x:c r="H17" s="51"/>
    </x:row>
    <x:row r="18" ht="26" customHeight="1">
      <x:c r="A18" s="41" t="str">
        <x:v>regulations_implementation</x:v>
      </x:c>
      <x:c r="B18" s="50" t="n">
        <x:f>COUNTIF('Review Queue'!$D$6:$D$35,A18)</x:f>
        <x:v>5</x:v>
      </x:c>
      <x:c r="G18" s="51" t="str">
        <x:v>4. Add reviewer, date, and correction notes.</x:v>
      </x:c>
      <x:c r="H18" s="51"/>
    </x:row>
    <x:row r="19" ht="26" customHeight="1">
      <x:c r="A19" s="41" t="str">
        <x:v>protection_individual_action</x:v>
      </x:c>
      <x:c r="B19" s="50" t="n">
        <x:f>COUNTIF('Review Queue'!$D$6:$D$35,A19)</x:f>
        <x:v>5</x:v>
      </x:c>
      <x:c r="G19" s="51" t="str">
        <x:v>5. Export the six editable columns to CSV.</x:v>
      </x:c>
      <x:c r="H19" s="51"/>
    </x:row>
    <x:row r="20" ht="26" customHeight="1">
      <x:c r="A20" s="41" t="str">
        <x:v>multi_turn_followups</x:v>
      </x:c>
      <x:c r="B20" s="50" t="n">
        <x:f>COUNTIF('Review Queue'!$D$6:$D$35,A20)</x:f>
        <x:v>4</x:v>
      </x:c>
      <x:c r="G20" s="51" t="str">
        <x:v>6. Run evaluation/finalize_gold_review.py after all rows are decided.</x:v>
      </x:c>
      <x:c r="H20" s="51"/>
    </x:row>
    <x:row r="21">
      <x:c r="A21" s="41" t="str">
        <x:v>missing_data_safety_abstention</x:v>
      </x:c>
      <x:c r="B21" s="50" t="n">
        <x:f>COUNTIF('Review Queue'!$D$6:$D$35,A21)</x:f>
        <x:v>3</x:v>
      </x:c>
    </x:row>
    <x:row r="23" ht="26" customHeight="1">
      <x:c r="A23" s="54" t="str">
        <x:v>The separate development pool contains 120 seeded rows. They are listed in the manifest and are not part of this focused queue.</x:v>
      </x:c>
      <x:c r="B23" s="54"/>
      <x:c r="C23" s="54"/>
      <x:c r="D23" s="54"/>
      <x:c r="E23" s="54"/>
      <x:c r="F23" s="54"/>
      <x:c r="G23" s="54"/>
      <x:c r="H23" s="54"/>
    </x:row>
  </x:sheetData>
  <x:mergeCells>
    <x:mergeCell ref="A1:H1"/>
    <x:mergeCell ref="A2:H2"/>
    <x:mergeCell ref="A4:H4"/>
    <x:mergeCell ref="G14:H14"/>
    <x:mergeCell ref="G15:H15"/>
    <x:mergeCell ref="G16:H16"/>
    <x:mergeCell ref="G17:H17"/>
    <x:mergeCell ref="G18:H18"/>
    <x:mergeCell ref="G19:H19"/>
    <x:mergeCell ref="G20:H20"/>
    <x:mergeCell ref="A23:H2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5" hidden="0" customWidth="1"/>
    <x:col min="2" max="2" width="15" hidden="0" customWidth="1"/>
    <x:col min="3" max="3" width="16" hidden="0" customWidth="1"/>
    <x:col min="4" max="4" width="28" hidden="0" customWidth="1"/>
    <x:col min="5" max="5" width="12" hidden="0" customWidth="1"/>
    <x:col min="6" max="6" width="13" hidden="0" customWidth="1"/>
    <x:col min="7" max="7" width="24" hidden="0" customWidth="1"/>
    <x:col min="8" max="8" width="45" hidden="0" customWidth="1"/>
    <x:col min="9" max="9" width="40" hidden="0" customWidth="1"/>
    <x:col min="10" max="10" width="16" hidden="0" customWidth="1"/>
    <x:col min="11" max="11" width="30" hidden="0" customWidth="1"/>
    <x:col min="12" max="12" width="40" hidden="0" customWidth="1"/>
    <x:col min="13" max="13" width="58" hidden="0" customWidth="1"/>
    <x:col min="14" max="14" width="34" hidden="0" customWidth="1"/>
    <x:col min="15" max="15" width="18" hidden="0" customWidth="1"/>
    <x:col min="16" max="16" width="15" hidden="0" customWidth="1"/>
    <x:col min="17" max="17" width="42" hidden="0" customWidth="1"/>
    <x:col min="18" max="18" width="18" hidden="0" customWidth="1"/>
    <x:col min="19" max="19" width="16" hidden="0" customWidth="1"/>
  </x:cols>
  <x:sheetData>
    <x:row r="1" ht="34" customHeight="1">
      <x:c r="A1" s="4" t="str">
        <x:v>Review Queue</x:v>
      </x:c>
      <x:c r="B1" s="4"/>
      <x:c r="C1" s="4"/>
      <x:c r="D1" s="4"/>
      <x:c r="E1" s="4"/>
      <x:c r="F1" s="4"/>
      <x:c r="G1" s="4"/>
      <x:c r="H1" s="4"/>
      <x:c r="I1" s="4"/>
      <x:c r="J1" s="4"/>
      <x:c r="K1" s="4"/>
      <x:c r="L1" s="4"/>
      <x:c r="M1" s="4"/>
      <x:c r="N1" s="4"/>
      <x:c r="O1" s="4"/>
      <x:c r="P1" s="4"/>
      <x:c r="Q1" s="4"/>
      <x:c r="R1" s="4"/>
      <x:c r="S1" s="4"/>
    </x:row>
    <x:row r="2" ht="30" customHeight="1">
      <x:c r="A2" s="8" t="str">
        <x:v>One row per candidate. Editable cells are Status, human_relevant_chunk_ids, reviewer, reviewed_at, and correction_notes.</x:v>
      </x:c>
      <x:c r="B2" s="8"/>
      <x:c r="C2" s="8"/>
      <x:c r="D2" s="8"/>
      <x:c r="E2" s="8"/>
      <x:c r="F2" s="8"/>
      <x:c r="G2" s="8"/>
      <x:c r="H2" s="8"/>
      <x:c r="I2" s="8"/>
      <x:c r="J2" s="8"/>
      <x:c r="K2" s="8"/>
      <x:c r="L2" s="8"/>
      <x:c r="M2" s="8"/>
      <x:c r="N2" s="8"/>
      <x:c r="O2" s="8"/>
      <x:c r="P2" s="8"/>
      <x:c r="Q2" s="8"/>
      <x:c r="R2" s="8"/>
      <x:c r="S2" s="8"/>
    </x:row>
    <x:row r="5" ht="32" customHeight="1">
      <x:c r="A5" s="28" t="str">
        <x:v>question_id</x:v>
      </x:c>
      <x:c r="B5" s="58" t="str">
        <x:v>seed_id</x:v>
      </x:c>
      <x:c r="C5" s="58" t="str">
        <x:v>language</x:v>
      </x:c>
      <x:c r="D5" s="58" t="str">
        <x:v>topic</x:v>
      </x:c>
      <x:c r="E5" s="58" t="str">
        <x:v>difficulty</x:v>
      </x:c>
      <x:c r="F5" s="58" t="str">
        <x:v>Status</x:v>
      </x:c>
      <x:c r="G5" s="58" t="str">
        <x:v>expected_route</x:v>
      </x:c>
      <x:c r="H5" s="58" t="str">
        <x:v>question</x:v>
      </x:c>
      <x:c r="I5" s="58" t="str">
        <x:v>parent context</x:v>
      </x:c>
      <x:c r="J5" s="58" t="str">
        <x:v>expected no result</x:v>
      </x:c>
      <x:c r="K5" s="58" t="str">
        <x:v>proposed source IDs</x:v>
      </x:c>
      <x:c r="L5" s="58" t="str">
        <x:v>proposed chunk IDs</x:v>
      </x:c>
      <x:c r="M5" s="58" t="str">
        <x:v>proposed rationale</x:v>
      </x:c>
      <x:c r="N5" s="58" t="str">
        <x:v>human_relevant_chunk_ids</x:v>
      </x:c>
      <x:c r="O5" s="58" t="str">
        <x:v>reviewer</x:v>
      </x:c>
      <x:c r="P5" s="58" t="str">
        <x:v>reviewed_at</x:v>
      </x:c>
      <x:c r="Q5" s="58" t="str">
        <x:v>correction_notes</x:v>
      </x:c>
      <x:c r="R5" s="58" t="str">
        <x:v>production mode</x:v>
      </x:c>
      <x:c r="S5" s="29" t="str">
        <x:v>packet state</x:v>
      </x:c>
    </x:row>
    <x:row r="6" ht="56" customHeight="1">
      <x:c r="A6" s="64" t="str">
        <x:v>gold30-001</x:v>
      </x:c>
      <x:c r="B6" s="64" t="str">
        <x:v>expanded-111</x:v>
      </x:c>
      <x:c r="C6" s="64" t="str">
        <x:v>English</x:v>
      </x:c>
      <x:c r="D6" s="64" t="str">
        <x:v>current_measurements</x:v>
      </x:c>
      <x:c r="E6" s="64" t="str">
        <x:v>easy</x:v>
      </x:c>
      <x:c r="F6" s="76" t="str">
        <x:v>Pending</x:v>
      </x:c>
      <x:c r="G6" s="64" t="str">
        <x:v>latest_measurements</x:v>
      </x:c>
      <x:c r="H6" s="64" t="str">
        <x:v>What is the latest PM2.5 reading for Jakarta Pusat, and when was it observed?</x:v>
      </x:c>
      <x:c r="I6" s="64" t="str"/>
      <x:c r="J6" s="64" t="str">
        <x:v>No</x:v>
      </x:c>
      <x:c r="K6" s="64" t="str">
        <x:v>jakarta-monitoring</x:v>
      </x:c>
      <x:c r="L6" s="64" t="str">
        <x:v>jakarta-monitoring:structure:0 (p.1)</x:v>
      </x:c>
      <x:c r="M6" s="64" t="str">
        <x:v>The official station portal establishes that readings need a station, pollutant, value and timestamp; a current value must come from the measurement tool.</x:v>
      </x:c>
      <x:c r="N6" s="81" t="str"/>
      <x:c r="O6" s="81" t="str"/>
      <x:c r="P6" s="83"/>
      <x:c r="Q6" s="81" t="str"/>
      <x:c r="R6" s="64" t="str">
        <x:v>hybrid_rerank</x:v>
      </x:c>
      <x:c r="S6" s="64" t="str">
        <x:v>pending_human</x:v>
      </x:c>
    </x:row>
    <x:row r="7" ht="56" customHeight="1">
      <x:c r="A7" s="65" t="str">
        <x:v>gold30-002</x:v>
      </x:c>
      <x:c r="B7" s="65" t="str">
        <x:v>expanded-011</x:v>
      </x:c>
      <x:c r="C7" s="65" t="str">
        <x:v>Bahasa Indonesia</x:v>
      </x:c>
      <x:c r="D7" s="65" t="str">
        <x:v>current_measurements</x:v>
      </x:c>
      <x:c r="E7" s="65" t="str">
        <x:v>medium</x:v>
      </x:c>
      <x:c r="F7" s="77" t="str">
        <x:v>Pending</x:v>
      </x:c>
      <x:c r="G7" s="65" t="str">
        <x:v>latest_measurements</x:v>
      </x:c>
      <x:c r="H7" s="65" t="str">
        <x:v>Stasiun mana di Jakarta yang punya pembacaan ISPU terbaru paling tinggi?</x:v>
      </x:c>
      <x:c r="I7" s="65" t="str"/>
      <x:c r="J7" s="65" t="str">
        <x:v>No</x:v>
      </x:c>
      <x:c r="K7" s="65" t="str">
        <x:v>jakarta-monitoring, ispu</x:v>
      </x:c>
      <x:c r="L7" s="65" t="str">
        <x:v>jakarta-monitoring:structure:0 (p.1); ispu:structure:0 (p.1)</x:v>
      </x:c>
      <x:c r="M7" s="65" t="str">
        <x:v>Requires a current-station lookup plus the ISPU category interpretation; the corpus alone cannot substitute for a live observation.</x:v>
      </x:c>
      <x:c r="N7" s="82" t="str"/>
      <x:c r="O7" s="82" t="str"/>
      <x:c r="P7" s="84"/>
      <x:c r="Q7" s="82" t="str"/>
      <x:c r="R7" s="65" t="str">
        <x:v>hybrid_rerank</x:v>
      </x:c>
      <x:c r="S7" s="65" t="str">
        <x:v>pending_human</x:v>
      </x:c>
    </x:row>
    <x:row r="8" ht="56" customHeight="1">
      <x:c r="A8" s="65" t="str">
        <x:v>gold30-003</x:v>
      </x:c>
      <x:c r="B8" s="65" t="str">
        <x:v>expanded-001</x:v>
      </x:c>
      <x:c r="C8" s="65" t="str">
        <x:v>English</x:v>
      </x:c>
      <x:c r="D8" s="65" t="str">
        <x:v>current_measurements</x:v>
      </x:c>
      <x:c r="E8" s="65" t="str">
        <x:v>easy</x:v>
      </x:c>
      <x:c r="F8" s="77" t="str">
        <x:v>Pending</x:v>
      </x:c>
      <x:c r="G8" s="65" t="str">
        <x:v>index_interpretation</x:v>
      </x:c>
      <x:c r="H8" s="65" t="str">
        <x:v>Is an ISPU of 125 a concentration of 125 µg/m³?</x:v>
      </x:c>
      <x:c r="I8" s="65" t="str"/>
      <x:c r="J8" s="65" t="str">
        <x:v>No</x:v>
      </x:c>
      <x:c r="K8" s="65" t="str">
        <x:v>ispu</x:v>
      </x:c>
      <x:c r="L8" s="65" t="str">
        <x:v>ispu:structure:0 (p.1)</x:v>
      </x:c>
      <x:c r="M8" s="65" t="str">
        <x:v>The ISPU source explicitly separates the unitless index from a physical pollutant concentration.</x:v>
      </x:c>
      <x:c r="N8" s="82" t="str"/>
      <x:c r="O8" s="82" t="str"/>
      <x:c r="P8" s="84"/>
      <x:c r="Q8" s="82" t="str"/>
      <x:c r="R8" s="65" t="str">
        <x:v>hybrid_rerank</x:v>
      </x:c>
      <x:c r="S8" s="65" t="str">
        <x:v>pending_human</x:v>
      </x:c>
    </x:row>
    <x:row r="9" ht="56" customHeight="1">
      <x:c r="A9" s="65" t="str">
        <x:v>gold30-004</x:v>
      </x:c>
      <x:c r="B9" s="65" t="str">
        <x:v>expanded-016</x:v>
      </x:c>
      <x:c r="C9" s="65" t="str">
        <x:v>Bahasa Indonesia</x:v>
      </x:c>
      <x:c r="D9" s="65" t="str">
        <x:v>current_measurements</x:v>
      </x:c>
      <x:c r="E9" s="65" t="str">
        <x:v>medium</x:v>
      </x:c>
      <x:c r="F9" s="77" t="str">
        <x:v>Pending</x:v>
      </x:c>
      <x:c r="G9" s="65" t="str">
        <x:v>latest_measurements</x:v>
      </x:c>
      <x:c r="H9" s="65" t="str">
        <x:v>Tolong cek kualitas udara di Kepulauan Seribu—jika tidak ada data, apa yang bisa disimpulkan?</x:v>
      </x:c>
      <x:c r="I9" s="65" t="str"/>
      <x:c r="J9" s="65" t="str">
        <x:v>Yes</x:v>
      </x:c>
      <x:c r="K9" s="65" t="str">
        <x:v>jakarta-monitoring</x:v>
      </x:c>
      <x:c r="L9" s="65" t="str">
        <x:v>jakarta-monitoring:structure:0 (p.1)</x:v>
      </x:c>
      <x:c r="M9" s="65" t="str">
        <x:v>This is a negative/no-result case: the answer should report absence of a matching observation rather than inventing a value; the portal source documents station scope.</x:v>
      </x:c>
      <x:c r="N9" s="82" t="str"/>
      <x:c r="O9" s="82" t="str"/>
      <x:c r="P9" s="84"/>
      <x:c r="Q9" s="82" t="str"/>
      <x:c r="R9" s="65" t="str">
        <x:v>hybrid_rerank</x:v>
      </x:c>
      <x:c r="S9" s="65" t="str">
        <x:v>pending_human</x:v>
      </x:c>
    </x:row>
    <x:row r="10" ht="56" customHeight="1">
      <x:c r="A10" s="65" t="str">
        <x:v>gold30-005</x:v>
      </x:c>
      <x:c r="B10" s="65" t="str">
        <x:v>expanded-006</x:v>
      </x:c>
      <x:c r="C10" s="65" t="str">
        <x:v>English</x:v>
      </x:c>
      <x:c r="D10" s="65" t="str">
        <x:v>historical_category_threshold</x:v>
      </x:c>
      <x:c r="E10" s="65" t="str">
        <x:v>easy</x:v>
      </x:c>
      <x:c r="F10" s="77" t="str">
        <x:v>Pending</x:v>
      </x:c>
      <x:c r="G10" s="65" t="str">
        <x:v>index_interpretation</x:v>
      </x:c>
      <x:c r="H10" s="65" t="str">
        <x:v>What does ISPU 45 mean, and how is that different from PM2.5 at 15 µg/m³?</x:v>
      </x:c>
      <x:c r="I10" s="65" t="str"/>
      <x:c r="J10" s="65" t="str">
        <x:v>No</x:v>
      </x:c>
      <x:c r="K10" s="65" t="str">
        <x:v>ispu</x:v>
      </x:c>
      <x:c r="L10" s="65" t="str">
        <x:v>ispu:structure:1 (p.2)</x:v>
      </x:c>
      <x:c r="M10" s="65" t="str">
        <x:v>ISPU 45 is a category value, while PM2.5 is a concentration with units; the index source supports the distinction.</x:v>
      </x:c>
      <x:c r="N10" s="82" t="str"/>
      <x:c r="O10" s="82" t="str"/>
      <x:c r="P10" s="84"/>
      <x:c r="Q10" s="82" t="str"/>
      <x:c r="R10" s="65" t="str">
        <x:v>hybrid_rerank</x:v>
      </x:c>
      <x:c r="S10" s="65" t="str">
        <x:v>pending_human</x:v>
      </x:c>
    </x:row>
    <x:row r="11" ht="56" customHeight="1">
      <x:c r="A11" s="65" t="str">
        <x:v>gold30-006</x:v>
      </x:c>
      <x:c r="B11" s="65" t="str">
        <x:v>expanded-026</x:v>
      </x:c>
      <x:c r="C11" s="65" t="str">
        <x:v>Bahasa Indonesia</x:v>
      </x:c>
      <x:c r="D11" s="65" t="str">
        <x:v>historical_category_threshold</x:v>
      </x:c>
      <x:c r="E11" s="65" t="str">
        <x:v>hard</x:v>
      </x:c>
      <x:c r="F11" s="77" t="str">
        <x:v>Pending</x:v>
      </x:c>
      <x:c r="G11" s="65" t="str">
        <x:v>guideline_vs_law</x:v>
      </x:c>
      <x:c r="H11" s="65" t="str">
        <x:v>Berapa pedoman WHO PM2.5 tahunan dan 24 jam, dan apakah itu ambang hukum Indonesia?</x:v>
      </x:c>
      <x:c r="I11" s="65" t="str"/>
      <x:c r="J11" s="65" t="str">
        <x:v>No</x:v>
      </x:c>
      <x:c r="K11" s="65" t="str">
        <x:v>who-aqg-2021-extract, jakarta-regulations</x:v>
      </x:c>
      <x:c r="L11" s="65" t="str">
        <x:v>who-aqg-2021-extract:structure:2 (p.3); jakarta-regulations:structure:0 (p.1)</x:v>
      </x:c>
      <x:c r="M11" s="65" t="str">
        <x:v>Needs complementary WHO numeric guidance and Indonesian legal-status context; neither source alone answers both parts.</x:v>
      </x:c>
      <x:c r="N11" s="82" t="str"/>
      <x:c r="O11" s="82" t="str"/>
      <x:c r="P11" s="84"/>
      <x:c r="Q11" s="82" t="str"/>
      <x:c r="R11" s="65" t="str">
        <x:v>hybrid_rerank</x:v>
      </x:c>
      <x:c r="S11" s="65" t="str">
        <x:v>pending_human</x:v>
      </x:c>
    </x:row>
    <x:row r="12" ht="56" customHeight="1">
      <x:c r="A12" s="65" t="str">
        <x:v>gold30-007</x:v>
      </x:c>
      <x:c r="B12" s="65" t="str">
        <x:v>expanded-121</x:v>
      </x:c>
      <x:c r="C12" s="65" t="str">
        <x:v>English</x:v>
      </x:c>
      <x:c r="D12" s="65" t="str">
        <x:v>historical_category_threshold</x:v>
      </x:c>
      <x:c r="E12" s="65" t="str">
        <x:v>easy</x:v>
      </x:c>
      <x:c r="F12" s="77" t="str">
        <x:v>Pending</x:v>
      </x:c>
      <x:c r="G12" s="65" t="str">
        <x:v>historical_provenance</x:v>
      </x:c>
      <x:c r="H12" s="65" t="str">
        <x:v>Did Jakarta's historical PM2.5 series come from station sensors or a model?</x:v>
      </x:c>
      <x:c r="I12" s="65" t="str"/>
      <x:c r="J12" s="65" t="str">
        <x:v>No</x:v>
      </x:c>
      <x:c r="K12" s="65" t="str">
        <x:v>jakarta-historical-city-series</x:v>
      </x:c>
      <x:c r="L12" s="65" t="str">
        <x:v>jakarta-historical-city-series:structure:2 (p.3)</x:v>
      </x:c>
      <x:c r="M12" s="65" t="str">
        <x:v>The historical-series provenance notes CAMS/Open-Meteo model concentrations rather than DKI station measurements.</x:v>
      </x:c>
      <x:c r="N12" s="82" t="str"/>
      <x:c r="O12" s="82" t="str"/>
      <x:c r="P12" s="84"/>
      <x:c r="Q12" s="82" t="str"/>
      <x:c r="R12" s="65" t="str">
        <x:v>hybrid_rerank</x:v>
      </x:c>
      <x:c r="S12" s="65" t="str">
        <x:v>pending_human</x:v>
      </x:c>
    </x:row>
    <x:row r="13" ht="56" customHeight="1">
      <x:c r="A13" s="65" t="str">
        <x:v>gold30-008</x:v>
      </x:c>
      <x:c r="B13" s="65" t="str">
        <x:v>expanded-126</x:v>
      </x:c>
      <x:c r="C13" s="65" t="str">
        <x:v>Bahasa Indonesia</x:v>
      </x:c>
      <x:c r="D13" s="65" t="str">
        <x:v>historical_category_threshold</x:v>
      </x:c>
      <x:c r="E13" s="65" t="str">
        <x:v>easy</x:v>
      </x:c>
      <x:c r="F13" s="77" t="str">
        <x:v>Pending</x:v>
      </x:c>
      <x:c r="G13" s="65" t="str">
        <x:v>historical_provenance</x:v>
      </x:c>
      <x:c r="H13" s="65" t="str">
        <x:v>Mengapa PM10 dan PM2.5 pada data historis dipisahkan?</x:v>
      </x:c>
      <x:c r="I13" s="65" t="str"/>
      <x:c r="J13" s="65" t="str">
        <x:v>No</x:v>
      </x:c>
      <x:c r="K13" s="65" t="str">
        <x:v>jakarta-historical-city-series</x:v>
      </x:c>
      <x:c r="L13" s="65" t="str">
        <x:v>jakarta-historical-city-series:structure:2 (p.3)</x:v>
      </x:c>
      <x:c r="M13" s="65" t="str">
        <x:v>The series description defines PM10 and PM2.5 as separate pollutant variables with separate units and averaging.</x:v>
      </x:c>
      <x:c r="N13" s="82" t="str"/>
      <x:c r="O13" s="82" t="str"/>
      <x:c r="P13" s="84"/>
      <x:c r="Q13" s="82" t="str"/>
      <x:c r="R13" s="65" t="str">
        <x:v>hybrid_rerank</x:v>
      </x:c>
      <x:c r="S13" s="65" t="str">
        <x:v>pending_human</x:v>
      </x:c>
    </x:row>
    <x:row r="14" ht="56" customHeight="1">
      <x:c r="A14" s="65" t="str">
        <x:v>gold30-009</x:v>
      </x:c>
      <x:c r="B14" s="65" t="str">
        <x:v>expanded-021</x:v>
      </x:c>
      <x:c r="C14" s="65" t="str">
        <x:v>English</x:v>
      </x:c>
      <x:c r="D14" s="65" t="str">
        <x:v>historical_category_threshold</x:v>
      </x:c>
      <x:c r="E14" s="65" t="str">
        <x:v>hard</x:v>
      </x:c>
      <x:c r="F14" s="77" t="str">
        <x:v>Pending</x:v>
      </x:c>
      <x:c r="G14" s="65" t="str">
        <x:v>guideline_vs_index</x:v>
      </x:c>
      <x:c r="H14" s="65" t="str">
        <x:v>Can an ISPU category alone tell me whether the WHO annual guideline was met?</x:v>
      </x:c>
      <x:c r="I14" s="65" t="str"/>
      <x:c r="J14" s="65" t="str">
        <x:v>No</x:v>
      </x:c>
      <x:c r="K14" s="65" t="str">
        <x:v>ispu, who-aqg-2021-extract</x:v>
      </x:c>
      <x:c r="L14" s="65" t="str">
        <x:v>ispu:structure:0 (p.1); who-aqg-2021-extract:structure:2 (p.3)</x:v>
      </x:c>
      <x:c r="M14" s="65" t="str">
        <x:v>Requires keeping an index category, concentration, pollutant and averaging period distinct; complementary sources are needed.</x:v>
      </x:c>
      <x:c r="N14" s="82" t="str"/>
      <x:c r="O14" s="82" t="str"/>
      <x:c r="P14" s="84"/>
      <x:c r="Q14" s="82" t="str"/>
      <x:c r="R14" s="65" t="str">
        <x:v>hybrid_rerank</x:v>
      </x:c>
      <x:c r="S14" s="65" t="str">
        <x:v>pending_human</x:v>
      </x:c>
    </x:row>
    <x:row r="15" ht="56" customHeight="1">
      <x:c r="A15" s="65" t="str">
        <x:v>gold30-010</x:v>
      </x:c>
      <x:c r="B15" s="65" t="str">
        <x:v>expanded-036</x:v>
      </x:c>
      <x:c r="C15" s="65" t="str">
        <x:v>Bahasa Indonesia</x:v>
      </x:c>
      <x:c r="D15" s="65" t="str">
        <x:v>causes</x:v>
      </x:c>
      <x:c r="E15" s="65" t="str">
        <x:v>medium</x:v>
      </x:c>
      <x:c r="F15" s="77" t="str">
        <x:v>Pending</x:v>
      </x:c>
      <x:c r="G15" s="65" t="str">
        <x:v>source_apportionment</x:v>
      </x:c>
      <x:c r="H15" s="65" t="str">
        <x:v>Sumber apa yang terkait dengan PM2.5 Jakarta, dan mengapa satu sumber tidak boleh langsung disebut penyebab pembacaan satu stasiun?</x:v>
      </x:c>
      <x:c r="I15" s="65" t="str"/>
      <x:c r="J15" s="65" t="str">
        <x:v>No</x:v>
      </x:c>
      <x:c r="K15" s="65" t="str">
        <x:v>jakarta-causes</x:v>
      </x:c>
      <x:c r="L15" s="65" t="str">
        <x:v>jakarta-causes:structure:0 (p.1)</x:v>
      </x:c>
      <x:c r="M15" s="65" t="str">
        <x:v>The causes record distinguishes likely contributors and cautions against causal claims about a single timestamped station reading.</x:v>
      </x:c>
      <x:c r="N15" s="82" t="str"/>
      <x:c r="O15" s="82" t="str"/>
      <x:c r="P15" s="84"/>
      <x:c r="Q15" s="82" t="str"/>
      <x:c r="R15" s="65" t="str">
        <x:v>hybrid_rerank</x:v>
      </x:c>
      <x:c r="S15" s="65" t="str">
        <x:v>pending_human</x:v>
      </x:c>
    </x:row>
    <x:row r="16" ht="56" customHeight="1">
      <x:c r="A16" s="65" t="str">
        <x:v>gold30-011</x:v>
      </x:c>
      <x:c r="B16" s="65" t="str">
        <x:v>expanded-122</x:v>
      </x:c>
      <x:c r="C16" s="65" t="str">
        <x:v>English</x:v>
      </x:c>
      <x:c r="D16" s="65" t="str">
        <x:v>causes</x:v>
      </x:c>
      <x:c r="E16" s="65" t="str">
        <x:v>medium</x:v>
      </x:c>
      <x:c r="F16" s="77" t="str">
        <x:v>Pending</x:v>
      </x:c>
      <x:c r="G16" s="65" t="str">
        <x:v>source_apportionment</x:v>
      </x:c>
      <x:c r="H16" s="65" t="str">
        <x:v>What is the difference between an emissions inventory and source apportionment?</x:v>
      </x:c>
      <x:c r="I16" s="65" t="str"/>
      <x:c r="J16" s="65" t="str">
        <x:v>No</x:v>
      </x:c>
      <x:c r="K16" s="65" t="str">
        <x:v>jakarta-causes</x:v>
      </x:c>
      <x:c r="L16" s="65" t="str">
        <x:v>jakarta-causes:structure:1 (p.2)</x:v>
      </x:c>
      <x:c r="M16" s="65" t="str">
        <x:v>The causes record explains the different methods and their interpretation limits.</x:v>
      </x:c>
      <x:c r="N16" s="82" t="str"/>
      <x:c r="O16" s="82" t="str"/>
      <x:c r="P16" s="84"/>
      <x:c r="Q16" s="82" t="str"/>
      <x:c r="R16" s="65" t="str">
        <x:v>hybrid_rerank</x:v>
      </x:c>
      <x:c r="S16" s="65" t="str">
        <x:v>pending_human</x:v>
      </x:c>
    </x:row>
    <x:row r="17" ht="56" customHeight="1">
      <x:c r="A17" s="65" t="str">
        <x:v>gold30-012</x:v>
      </x:c>
      <x:c r="B17" s="65" t="str">
        <x:v>expanded-041</x:v>
      </x:c>
      <x:c r="C17" s="65" t="str">
        <x:v>Bahasa Indonesia</x:v>
      </x:c>
      <x:c r="D17" s="65" t="str">
        <x:v>causes</x:v>
      </x:c>
      <x:c r="E17" s="65" t="str">
        <x:v>hard</x:v>
      </x:c>
      <x:c r="F17" s="77" t="str">
        <x:v>Pending</x:v>
      </x:c>
      <x:c r="G17" s="65" t="str">
        <x:v>causal_inference</x:v>
      </x:c>
      <x:c r="H17" s="65" t="str">
        <x:v>Apakah pembacaan tinggi di jalan saya membuktikan pabrik menjadi penyebabnya?</x:v>
      </x:c>
      <x:c r="I17" s="65" t="str"/>
      <x:c r="J17" s="65" t="str">
        <x:v>No</x:v>
      </x:c>
      <x:c r="K17" s="65" t="str">
        <x:v>jakarta-causes</x:v>
      </x:c>
      <x:c r="L17" s="65" t="str">
        <x:v>jakarta-causes:structure:0 (p.1)</x:v>
      </x:c>
      <x:c r="M17" s="65" t="str">
        <x:v>Ambiguous causal question; the source supports multiple contributors and explicitly rejects assigning one cause to one reading without local evidence.</x:v>
      </x:c>
      <x:c r="N17" s="82" t="str"/>
      <x:c r="O17" s="82" t="str"/>
      <x:c r="P17" s="84"/>
      <x:c r="Q17" s="82" t="str"/>
      <x:c r="R17" s="65" t="str">
        <x:v>hybrid_rerank</x:v>
      </x:c>
      <x:c r="S17" s="65" t="str">
        <x:v>pending_human</x:v>
      </x:c>
    </x:row>
    <x:row r="18" ht="56" customHeight="1">
      <x:c r="A18" s="65" t="str">
        <x:v>gold30-013</x:v>
      </x:c>
      <x:c r="B18" s="65" t="str">
        <x:v>expanded-031</x:v>
      </x:c>
      <x:c r="C18" s="65" t="str">
        <x:v>English</x:v>
      </x:c>
      <x:c r="D18" s="65" t="str">
        <x:v>causes</x:v>
      </x:c>
      <x:c r="E18" s="65" t="str">
        <x:v>medium</x:v>
      </x:c>
      <x:c r="F18" s="77" t="str">
        <x:v>Pending</x:v>
      </x:c>
      <x:c r="G18" s="65" t="str">
        <x:v>regional_sources</x:v>
      </x:c>
      <x:c r="H18" s="65" t="str">
        <x:v>Does Jakarta's air pollution come only from inside the city?</x:v>
      </x:c>
      <x:c r="I18" s="65" t="str"/>
      <x:c r="J18" s="65" t="str">
        <x:v>No</x:v>
      </x:c>
      <x:c r="K18" s="65" t="str">
        <x:v>jakarta-causes, jakarta-policy-implementation</x:v>
      </x:c>
      <x:c r="L18" s="65" t="str">
        <x:v>jakarta-causes:structure:0 (p.1); jakarta-policy-implementation:structure:2 (p.3)</x:v>
      </x:c>
      <x:c r="M18" s="65" t="str">
        <x:v>Needs the causes discussion of local and regional sources and the implementation record's airshed/coordination context.</x:v>
      </x:c>
      <x:c r="N18" s="82" t="str"/>
      <x:c r="O18" s="82" t="str"/>
      <x:c r="P18" s="84"/>
      <x:c r="Q18" s="82" t="str"/>
      <x:c r="R18" s="65" t="str">
        <x:v>hybrid_rerank</x:v>
      </x:c>
      <x:c r="S18" s="65" t="str">
        <x:v>pending_human</x:v>
      </x:c>
    </x:row>
    <x:row r="19" ht="56" customHeight="1">
      <x:c r="A19" s="65" t="str">
        <x:v>gold30-014</x:v>
      </x:c>
      <x:c r="B19" s="65" t="str">
        <x:v>expanded-051</x:v>
      </x:c>
      <x:c r="C19" s="65" t="str">
        <x:v>Bahasa Indonesia</x:v>
      </x:c>
      <x:c r="D19" s="65" t="str">
        <x:v>regulations_implementation</x:v>
      </x:c>
      <x:c r="E19" s="65" t="str">
        <x:v>hard</x:v>
      </x:c>
      <x:c r="F19" s="77" t="str">
        <x:v>Pending</x:v>
      </x:c>
      <x:c r="G19" s="65" t="str">
        <x:v>regulation_current</x:v>
      </x:c>
      <x:c r="H19" s="65" t="str">
        <x:v>Apakah Pergub 66/2020 masih tercatat berlaku, dan apa yang dibuktikannya tentang penegakan?</x:v>
      </x:c>
      <x:c r="I19" s="65" t="str"/>
      <x:c r="J19" s="65" t="str">
        <x:v>No</x:v>
      </x:c>
      <x:c r="K19" s="65" t="str">
        <x:v>pergub-66-2020-vehicle-testing, jakarta-emission-testing</x:v>
      </x:c>
      <x:c r="L19" s="65" t="str">
        <x:v>pergub-66-2020-vehicle-testing:structure:0 (p.1); jakarta-emission-testing:structure:0 (p.1)</x:v>
      </x:c>
      <x:c r="M19" s="65" t="str">
        <x:v>Separates legal status from evidence of enforcement; the legal record and DKI FAQ provide complementary context.</x:v>
      </x:c>
      <x:c r="N19" s="82" t="str"/>
      <x:c r="O19" s="82" t="str"/>
      <x:c r="P19" s="84"/>
      <x:c r="Q19" s="82" t="str"/>
      <x:c r="R19" s="65" t="str">
        <x:v>hybrid_rerank</x:v>
      </x:c>
      <x:c r="S19" s="65" t="str">
        <x:v>pending_human</x:v>
      </x:c>
    </x:row>
    <x:row r="20" ht="56" customHeight="1">
      <x:c r="A20" s="65" t="str">
        <x:v>gold30-015</x:v>
      </x:c>
      <x:c r="B20" s="65" t="str">
        <x:v>expanded-056</x:v>
      </x:c>
      <x:c r="C20" s="65" t="str">
        <x:v>English</x:v>
      </x:c>
      <x:c r="D20" s="65" t="str">
        <x:v>regulations_implementation</x:v>
      </x:c>
      <x:c r="E20" s="65" t="str">
        <x:v>easy</x:v>
      </x:c>
      <x:c r="F20" s="77" t="str">
        <x:v>Pending</x:v>
      </x:c>
      <x:c r="G20" s="65" t="str">
        <x:v>regulation_scope</x:v>
      </x:c>
      <x:c r="H20" s="65" t="str">
        <x:v>Which vehicle categories and ages are covered by Permen LHK 8/2023?</x:v>
      </x:c>
      <x:c r="I20" s="65" t="str"/>
      <x:c r="J20" s="65" t="str">
        <x:v>No</x:v>
      </x:c>
      <x:c r="K20" s="65" t="str">
        <x:v>permen-lhk-8-2023-vehicle-emissions</x:v>
      </x:c>
      <x:c r="L20" s="65" t="str">
        <x:v>permen-lhk-8-2023-vehicle-emissions:structure:0 (p.1)</x:v>
      </x:c>
      <x:c r="M20" s="65" t="str">
        <x:v>The official abstract states categories M, N, O and L and the more-than-three-years condition.</x:v>
      </x:c>
      <x:c r="N20" s="82" t="str"/>
      <x:c r="O20" s="82" t="str"/>
      <x:c r="P20" s="84"/>
      <x:c r="Q20" s="82" t="str"/>
      <x:c r="R20" s="65" t="str">
        <x:v>hybrid_rerank</x:v>
      </x:c>
      <x:c r="S20" s="65" t="str">
        <x:v>pending_human</x:v>
      </x:c>
    </x:row>
    <x:row r="21" ht="56" customHeight="1">
      <x:c r="A21" s="65" t="str">
        <x:v>gold30-016</x:v>
      </x:c>
      <x:c r="B21" s="65" t="str">
        <x:v>expanded-061</x:v>
      </x:c>
      <x:c r="C21" s="65" t="str">
        <x:v>Bahasa Indonesia</x:v>
      </x:c>
      <x:c r="D21" s="65" t="str">
        <x:v>regulations_implementation</x:v>
      </x:c>
      <x:c r="E21" s="65" t="str">
        <x:v>medium</x:v>
      </x:c>
      <x:c r="F21" s="77" t="str">
        <x:v>Pending</x:v>
      </x:c>
      <x:c r="G21" s="65" t="str">
        <x:v>implementation_evidence</x:v>
      </x:c>
      <x:c r="H21" s="65" t="str">
        <x:v>Apakah konektivitas CEMS menunjukkan bahwa setiap cerobong sudah memenuhi batas emisi?</x:v>
      </x:c>
      <x:c r="I21" s="65" t="str"/>
      <x:c r="J21" s="65" t="str">
        <x:v>No</x:v>
      </x:c>
      <x:c r="K21" s="65" t="str">
        <x:v>permen-lhk-13-2021-cems, jakarta-cems-monitoring</x:v>
      </x:c>
      <x:c r="L21" s="65" t="str">
        <x:v>permen-lhk-13-2021-cems:structure:0 (p.1); jakarta-cems-monitoring:structure:1 (p.2)</x:v>
      </x:c>
      <x:c r="M21" s="65" t="str">
        <x:v>Requires the regulation's CEMS boundary and the DKI monitoring-programme caveat that connectivity is not compliance proof.</x:v>
      </x:c>
      <x:c r="N21" s="82" t="str"/>
      <x:c r="O21" s="82" t="str"/>
      <x:c r="P21" s="84"/>
      <x:c r="Q21" s="82" t="str"/>
      <x:c r="R21" s="65" t="str">
        <x:v>hybrid_rerank</x:v>
      </x:c>
      <x:c r="S21" s="65" t="str">
        <x:v>pending_human</x:v>
      </x:c>
    </x:row>
    <x:row r="22" ht="56" customHeight="1">
      <x:c r="A22" s="65" t="str">
        <x:v>gold30-017</x:v>
      </x:c>
      <x:c r="B22" s="65" t="str">
        <x:v>expanded-066</x:v>
      </x:c>
      <x:c r="C22" s="65" t="str">
        <x:v>English</x:v>
      </x:c>
      <x:c r="D22" s="65" t="str">
        <x:v>regulations_implementation</x:v>
      </x:c>
      <x:c r="E22" s="65" t="str">
        <x:v>medium</x:v>
      </x:c>
      <x:c r="F22" s="77" t="str">
        <x:v>Pending</x:v>
      </x:c>
      <x:c r="G22" s="65" t="str">
        <x:v>court_record_status</x:v>
      </x:c>
      <x:c r="H22" s="65" t="str">
        <x:v>What does the Jakarta air-pollution court record establish, and does it prove every order was implemented?</x:v>
      </x:c>
      <x:c r="I22" s="65" t="str"/>
      <x:c r="J22" s="65" t="str">
        <x:v>No</x:v>
      </x:c>
      <x:c r="K22" s="65" t="str">
        <x:v>jakarta-court-air-quality, ma-jakarta-air-lawsuit-record</x:v>
      </x:c>
      <x:c r="L22" s="65" t="str">
        <x:v>jakarta-court-air-quality:structure:1 (p.2); ma-jakarta-air-lawsuit-record:structure:1 (p.2)</x:v>
      </x:c>
      <x:c r="M22" s="65" t="str">
        <x:v>Court-record identity and execution status are separate questions; both normalized records state that implementation needs later verification.</x:v>
      </x:c>
      <x:c r="N22" s="82" t="str"/>
      <x:c r="O22" s="82" t="str"/>
      <x:c r="P22" s="84"/>
      <x:c r="Q22" s="82" t="str"/>
      <x:c r="R22" s="65" t="str">
        <x:v>hybrid_rerank</x:v>
      </x:c>
      <x:c r="S22" s="65" t="str">
        <x:v>pending_human</x:v>
      </x:c>
    </x:row>
    <x:row r="23" ht="56" customHeight="1">
      <x:c r="A23" s="65" t="str">
        <x:v>gold30-018</x:v>
      </x:c>
      <x:c r="B23" s="65" t="str">
        <x:v>expanded-062</x:v>
      </x:c>
      <x:c r="C23" s="65" t="str">
        <x:v>Bahasa Indonesia</x:v>
      </x:c>
      <x:c r="D23" s="65" t="str">
        <x:v>regulations_implementation</x:v>
      </x:c>
      <x:c r="E23" s="65" t="str">
        <x:v>hard</x:v>
      </x:c>
      <x:c r="F23" s="77" t="str">
        <x:v>Pending</x:v>
      </x:c>
      <x:c r="G23" s="65" t="str">
        <x:v>policy_implementation</x:v>
      </x:c>
      <x:c r="H23" s="65" t="str">
        <x:v>Mengapa aturan dapat tetap ada sementara kualitas udara Jakarta masih buruk?</x:v>
      </x:c>
      <x:c r="I23" s="65" t="str"/>
      <x:c r="J23" s="65" t="str">
        <x:v>No</x:v>
      </x:c>
      <x:c r="K23" s="65" t="str">
        <x:v>jakarta-policy-implementation, jakarta-regulations, jakarta-court-air-quality</x:v>
      </x:c>
      <x:c r="L23" s="65" t="str">
        <x:v>jakarta-policy-implementation:structure:0 (p.1); jakarta-regulations:structure:0 (p.1); jakarta-court-air-quality:structure:1 (p.2)</x:v>
      </x:c>
      <x:c r="M23" s="65" t="str">
        <x:v>Complementary rule-on-paper, implementation-gap and court context are required for a cautious explanation.</x:v>
      </x:c>
      <x:c r="N23" s="82" t="str"/>
      <x:c r="O23" s="82" t="str"/>
      <x:c r="P23" s="84"/>
      <x:c r="Q23" s="82" t="str"/>
      <x:c r="R23" s="65" t="str">
        <x:v>hybrid_rerank</x:v>
      </x:c>
      <x:c r="S23" s="65" t="str">
        <x:v>pending_human</x:v>
      </x:c>
    </x:row>
    <x:row r="24" ht="56" customHeight="1">
      <x:c r="A24" s="65" t="str">
        <x:v>gold30-019</x:v>
      </x:c>
      <x:c r="B24" s="65" t="str">
        <x:v>expanded-091</x:v>
      </x:c>
      <x:c r="C24" s="65" t="str">
        <x:v>English</x:v>
      </x:c>
      <x:c r="D24" s="65" t="str">
        <x:v>protection_individual_action</x:v>
      </x:c>
      <x:c r="E24" s="65" t="str">
        <x:v>medium</x:v>
      </x:c>
      <x:c r="F24" s="77" t="str">
        <x:v>Pending</x:v>
      </x:c>
      <x:c r="G24" s="65" t="str">
        <x:v>exposure_reduction</x:v>
      </x:c>
      <x:c r="H24" s="65" t="str">
        <x:v>What should I do on a bad-air day, and do masks replace clean-air policy?</x:v>
      </x:c>
      <x:c r="I24" s="65" t="str"/>
      <x:c r="J24" s="65" t="str">
        <x:v>No</x:v>
      </x:c>
      <x:c r="K24" s="65" t="str">
        <x:v>bad-air-day-protection, exposure-protection</x:v>
      </x:c>
      <x:c r="L24" s="65" t="str">
        <x:v>bad-air-day-protection:structure:3 (p.4); exposure-protection:structure:1 (p.2)</x:v>
      </x:c>
      <x:c r="M24" s="65" t="str">
        <x:v>The health guidance covers immediate exposure reduction and the explicit limit that personal protection cannot replace emissions policy.</x:v>
      </x:c>
      <x:c r="N24" s="82" t="str"/>
      <x:c r="O24" s="82" t="str"/>
      <x:c r="P24" s="84"/>
      <x:c r="Q24" s="82" t="str"/>
      <x:c r="R24" s="65" t="str">
        <x:v>hybrid_rerank</x:v>
      </x:c>
      <x:c r="S24" s="65" t="str">
        <x:v>pending_human</x:v>
      </x:c>
    </x:row>
    <x:row r="25" ht="56" customHeight="1">
      <x:c r="A25" s="65" t="str">
        <x:v>gold30-020</x:v>
      </x:c>
      <x:c r="B25" s="65" t="str">
        <x:v>expanded-096</x:v>
      </x:c>
      <x:c r="C25" s="65" t="str">
        <x:v>Bahasa Indonesia</x:v>
      </x:c>
      <x:c r="D25" s="65" t="str">
        <x:v>protection_individual_action</x:v>
      </x:c>
      <x:c r="E25" s="65" t="str">
        <x:v>easy</x:v>
      </x:c>
      <x:c r="F25" s="77" t="str">
        <x:v>Pending</x:v>
      </x:c>
      <x:c r="G25" s="65" t="str">
        <x:v>indoor_filtration</x:v>
      </x:c>
      <x:c r="H25" s="65" t="str">
        <x:v>Bagaimana memilih pembersih udara untuk kamar 20 m², dan apa batasannya?</x:v>
      </x:c>
      <x:c r="I25" s="65" t="str"/>
      <x:c r="J25" s="65" t="str">
        <x:v>No</x:v>
      </x:c>
      <x:c r="K25" s="65" t="str">
        <x:v>clean-air-room</x:v>
      </x:c>
      <x:c r="L25" s="65" t="str">
        <x:v>clean-air-room:structure:0 (p.1)</x:v>
      </x:c>
      <x:c r="M25" s="65" t="str">
        <x:v>The EPA-derived room-sizing and limitation guidance supports a cautious engineering answer, not a local health guarantee.</x:v>
      </x:c>
      <x:c r="N25" s="82" t="str"/>
      <x:c r="O25" s="82" t="str"/>
      <x:c r="P25" s="84"/>
      <x:c r="Q25" s="82" t="str"/>
      <x:c r="R25" s="65" t="str">
        <x:v>hybrid_rerank</x:v>
      </x:c>
      <x:c r="S25" s="65" t="str">
        <x:v>pending_human</x:v>
      </x:c>
    </x:row>
    <x:row r="26" ht="56" customHeight="1">
      <x:c r="A26" s="65" t="str">
        <x:v>gold30-021</x:v>
      </x:c>
      <x:c r="B26" s="65" t="str">
        <x:v>expanded-101</x:v>
      </x:c>
      <x:c r="C26" s="65" t="str">
        <x:v>English</x:v>
      </x:c>
      <x:c r="D26" s="65" t="str">
        <x:v>protection_individual_action</x:v>
      </x:c>
      <x:c r="E26" s="65" t="str">
        <x:v>easy</x:v>
      </x:c>
      <x:c r="F26" s="77" t="str">
        <x:v>Pending</x:v>
      </x:c>
      <x:c r="G26" s="65" t="str">
        <x:v>respirator_limits</x:v>
      </x:c>
      <x:c r="H26" s="65" t="str">
        <x:v>Is an N95-style particulate respirator protection against every pollutant?</x:v>
      </x:c>
      <x:c r="I26" s="65" t="str"/>
      <x:c r="J26" s="65" t="str">
        <x:v>No</x:v>
      </x:c>
      <x:c r="K26" s="65" t="str">
        <x:v>who-personal-interventions-2024, exposure-protection</x:v>
      </x:c>
      <x:c r="L26" s="65" t="str">
        <x:v>who-personal-interventions-2024:structure:3 (p.4); exposure-protection:structure:1 (p.2)</x:v>
      </x:c>
      <x:c r="M26" s="65" t="str">
        <x:v>The guidance supports particulate protection with fit caveats and says respirators do not filter every gas.</x:v>
      </x:c>
      <x:c r="N26" s="82" t="str"/>
      <x:c r="O26" s="82" t="str"/>
      <x:c r="P26" s="84"/>
      <x:c r="Q26" s="82" t="str"/>
      <x:c r="R26" s="65" t="str">
        <x:v>hybrid_rerank</x:v>
      </x:c>
      <x:c r="S26" s="65" t="str">
        <x:v>pending_human</x:v>
      </x:c>
    </x:row>
    <x:row r="27" ht="56" customHeight="1">
      <x:c r="A27" s="65" t="str">
        <x:v>gold30-022</x:v>
      </x:c>
      <x:c r="B27" s="65" t="str">
        <x:v>expanded-081</x:v>
      </x:c>
      <x:c r="C27" s="65" t="str">
        <x:v>Bahasa Indonesia</x:v>
      </x:c>
      <x:c r="D27" s="65" t="str">
        <x:v>protection_individual_action</x:v>
      </x:c>
      <x:c r="E27" s="65" t="str">
        <x:v>easy</x:v>
      </x:c>
      <x:c r="F27" s="77" t="str">
        <x:v>Pending</x:v>
      </x:c>
      <x:c r="G27" s="65" t="str">
        <x:v>individual_emission_reduction</x:v>
      </x:c>
      <x:c r="H27" s="65" t="str">
        <x:v>Apa yang bisa saya lakukan untuk mengurangi emisi dan melaporkan kendaraan berasap?</x:v>
      </x:c>
      <x:c r="I27" s="65" t="str"/>
      <x:c r="J27" s="65" t="str">
        <x:v>No</x:v>
      </x:c>
      <x:c r="K27" s="65" t="str">
        <x:v>individual-emission-actions</x:v>
      </x:c>
      <x:c r="L27" s="65" t="str">
        <x:v>individual-emission-actions:structure:0 (p.1)</x:v>
      </x:c>
      <x:c r="M27" s="65" t="str">
        <x:v>The civic-actions source covers lower-emission travel, vehicle maintenance and evidence-preserving reports.</x:v>
      </x:c>
      <x:c r="N27" s="82" t="str"/>
      <x:c r="O27" s="82" t="str"/>
      <x:c r="P27" s="84"/>
      <x:c r="Q27" s="82" t="str"/>
      <x:c r="R27" s="65" t="str">
        <x:v>hybrid_rerank</x:v>
      </x:c>
      <x:c r="S27" s="65" t="str">
        <x:v>pending_human</x:v>
      </x:c>
    </x:row>
    <x:row r="28" ht="56" customHeight="1">
      <x:c r="A28" s="65" t="str">
        <x:v>gold30-023</x:v>
      </x:c>
      <x:c r="B28" s="65" t="str">
        <x:v>expanded-142</x:v>
      </x:c>
      <x:c r="C28" s="65" t="str">
        <x:v>English</x:v>
      </x:c>
      <x:c r="D28" s="65" t="str">
        <x:v>protection_individual_action</x:v>
      </x:c>
      <x:c r="E28" s="65" t="str">
        <x:v>hard</x:v>
      </x:c>
      <x:c r="F28" s="77" t="str">
        <x:v>Pending</x:v>
      </x:c>
      <x:c r="G28" s="65" t="str">
        <x:v>exposure_reduction</x:v>
      </x:c>
      <x:c r="H28" s="65" t="str">
        <x:v>Does staying indoors always reduce exposure during a pollution episode?</x:v>
      </x:c>
      <x:c r="I28" s="65" t="str"/>
      <x:c r="J28" s="65" t="str">
        <x:v>No</x:v>
      </x:c>
      <x:c r="K28" s="65" t="str">
        <x:v>exposure-protection, clean-air-room, bad-air-day-protection</x:v>
      </x:c>
      <x:c r="L28" s="65" t="str">
        <x:v>exposure-protection:structure:0 (p.1); clean-air-room:structure:3 (p.4); bad-air-day-protection:structure:0 (p.1)</x:v>
      </x:c>
      <x:c r="M28" s="65" t="str">
        <x:v>Hard boundary case: indoors helps only when indoor air is cleaner and indoor sources, filtration, ventilation and infiltration are considered.</x:v>
      </x:c>
      <x:c r="N28" s="82" t="str"/>
      <x:c r="O28" s="82" t="str"/>
      <x:c r="P28" s="84"/>
      <x:c r="Q28" s="82" t="str"/>
      <x:c r="R28" s="65" t="str">
        <x:v>hybrid_rerank</x:v>
      </x:c>
      <x:c r="S28" s="65" t="str">
        <x:v>pending_human</x:v>
      </x:c>
    </x:row>
    <x:row r="29" ht="56" customHeight="1">
      <x:c r="A29" s="65" t="str">
        <x:v>gold30-024</x:v>
      </x:c>
      <x:c r="B29" s="65" t="str">
        <x:v>expanded-027</x:v>
      </x:c>
      <x:c r="C29" s="65" t="str">
        <x:v>Bahasa Indonesia</x:v>
      </x:c>
      <x:c r="D29" s="65" t="str">
        <x:v>multi_turn_followups</x:v>
      </x:c>
      <x:c r="E29" s="65" t="str">
        <x:v>medium</x:v>
      </x:c>
      <x:c r="F29" s="77" t="str">
        <x:v>Pending</x:v>
      </x:c>
      <x:c r="G29" s="65" t="str">
        <x:v>guideline_vs_law</x:v>
      </x:c>
      <x:c r="H29" s="65" t="str">
        <x:v>Apa perbedaan aturan kualitas udara Jakarta yang berlaku dengan pedoman WHO?</x:v>
      </x:c>
      <x:c r="I29" s="65" t="str">
        <x:v>conv-024: Peraturan kualitas udara apa yang saat ini berlaku di Jakarta?</x:v>
      </x:c>
      <x:c r="J29" s="65" t="str">
        <x:v>No</x:v>
      </x:c>
      <x:c r="K29" s="65" t="str">
        <x:v>jakarta-regulations, who-aqg-2021-extract</x:v>
      </x:c>
      <x:c r="L29" s="65" t="str">
        <x:v>jakarta-regulations:structure:0 (p.1); who-aqg-2021-extract:structure:1 (p.2)</x:v>
      </x:c>
      <x:c r="M29" s="65" t="str">
        <x:v>Follow-up inherits the regulation context and asks for a law-versus-guideline distinction using complementary sources.</x:v>
      </x:c>
      <x:c r="N29" s="82" t="str"/>
      <x:c r="O29" s="82" t="str"/>
      <x:c r="P29" s="84"/>
      <x:c r="Q29" s="82" t="str"/>
      <x:c r="R29" s="65" t="str">
        <x:v>hybrid_rerank</x:v>
      </x:c>
      <x:c r="S29" s="65" t="str">
        <x:v>pending_human</x:v>
      </x:c>
    </x:row>
    <x:row r="30" ht="56" customHeight="1">
      <x:c r="A30" s="65" t="str">
        <x:v>gold30-025</x:v>
      </x:c>
      <x:c r="B30" s="65" t="str">
        <x:v>expanded-103</x:v>
      </x:c>
      <x:c r="C30" s="65" t="str">
        <x:v>English</x:v>
      </x:c>
      <x:c r="D30" s="65" t="str">
        <x:v>multi_turn_followups</x:v>
      </x:c>
      <x:c r="E30" s="65" t="str">
        <x:v>medium</x:v>
      </x:c>
      <x:c r="F30" s="77" t="str">
        <x:v>Pending</x:v>
      </x:c>
      <x:c r="G30" s="65" t="str">
        <x:v>category_interpretation</x:v>
      </x:c>
      <x:c r="H30" s="65" t="str">
        <x:v>Does Jakarta Utara being categorized as Good most recently mean the air was safe all day?</x:v>
      </x:c>
      <x:c r="I30" s="65" t="str">
        <x:v>conv-025: When was Jakarta Utara most recently categorized as Good?</x:v>
      </x:c>
      <x:c r="J30" s="65" t="str">
        <x:v>No</x:v>
      </x:c>
      <x:c r="K30" s="65" t="str">
        <x:v>jakarta-monitoring, ispu, health-disclaimer</x:v>
      </x:c>
      <x:c r="L30" s="65" t="str">
        <x:v>jakarta-monitoring:structure:0 (p.1); ispu:structure:0 (p.1); health-disclaimer:structure:0 (p.1)</x:v>
      </x:c>
      <x:c r="M30" s="65" t="str">
        <x:v>Follow-up must preserve timestamp/category limits and avoid converting one observation into an all-day or medical conclusion.</x:v>
      </x:c>
      <x:c r="N30" s="82" t="str"/>
      <x:c r="O30" s="82" t="str"/>
      <x:c r="P30" s="84"/>
      <x:c r="Q30" s="82" t="str"/>
      <x:c r="R30" s="65" t="str">
        <x:v>hybrid_rerank</x:v>
      </x:c>
      <x:c r="S30" s="65" t="str">
        <x:v>pending_human</x:v>
      </x:c>
    </x:row>
    <x:row r="31" ht="56" customHeight="1">
      <x:c r="A31" s="65" t="str">
        <x:v>gold30-026</x:v>
      </x:c>
      <x:c r="B31" s="65" t="str">
        <x:v>expanded-092</x:v>
      </x:c>
      <x:c r="C31" s="65" t="str">
        <x:v>Bahasa Indonesia</x:v>
      </x:c>
      <x:c r="D31" s="65" t="str">
        <x:v>multi_turn_followups</x:v>
      </x:c>
      <x:c r="E31" s="65" t="str">
        <x:v>hard</x:v>
      </x:c>
      <x:c r="F31" s="77" t="str">
        <x:v>Pending</x:v>
      </x:c>
      <x:c r="G31" s="65" t="str">
        <x:v>measurement_vs_guideline</x:v>
      </x:c>
      <x:c r="H31" s="65" t="str">
        <x:v>Bisakah Anda membandingkan PM2.5 Jakarta Pusat dengan pedoman WHO 24 jam sambil mempertahankan waktu pengamatan dan satuannya?</x:v>
      </x:c>
      <x:c r="I31" s="65" t="str">
        <x:v>conv-026: Berapa kadar PM2.5 terbaru di Jakarta Pusat?</x:v>
      </x:c>
      <x:c r="J31" s="65" t="str">
        <x:v>No</x:v>
      </x:c>
      <x:c r="K31" s="65" t="str">
        <x:v>jakarta-monitoring, who-aqg-2021-extract</x:v>
      </x:c>
      <x:c r="L31" s="65" t="str">
        <x:v>jakarta-monitoring:structure:0 (p.1); who-aqg-2021-extract:structure:2 (p.3)</x:v>
      </x:c>
      <x:c r="M31" s="65" t="str">
        <x:v>Requires a current measurement tool result plus WHO's 24-hour value while preserving timestamp, pollutant and units.</x:v>
      </x:c>
      <x:c r="N31" s="82" t="str"/>
      <x:c r="O31" s="82" t="str"/>
      <x:c r="P31" s="84"/>
      <x:c r="Q31" s="82" t="str"/>
      <x:c r="R31" s="65" t="str">
        <x:v>hybrid_rerank</x:v>
      </x:c>
      <x:c r="S31" s="65" t="str">
        <x:v>pending_human</x:v>
      </x:c>
    </x:row>
    <x:row r="32" ht="56" customHeight="1">
      <x:c r="A32" s="65" t="str">
        <x:v>gold30-027</x:v>
      </x:c>
      <x:c r="B32" s="65" t="str">
        <x:v>expanded-042</x:v>
      </x:c>
      <x:c r="C32" s="65" t="str">
        <x:v>English</x:v>
      </x:c>
      <x:c r="D32" s="65" t="str">
        <x:v>multi_turn_followups</x:v>
      </x:c>
      <x:c r="E32" s="65" t="str">
        <x:v>medium</x:v>
      </x:c>
      <x:c r="F32" s="77" t="str">
        <x:v>Pending</x:v>
      </x:c>
      <x:c r="G32" s="65" t="str">
        <x:v>causal_inference</x:v>
      </x:c>
      <x:c r="H32" s="65" t="str">
        <x:v>So does that mean vehicles definitely caused my station's reading today?</x:v>
      </x:c>
      <x:c r="I32" s="65" t="str">
        <x:v>conv-027: What are the main sources of Jakarta PM2.5?</x:v>
      </x:c>
      <x:c r="J32" s="65" t="str">
        <x:v>No</x:v>
      </x:c>
      <x:c r="K32" s="65" t="str">
        <x:v>jakarta-causes, jakarta-monitoring</x:v>
      </x:c>
      <x:c r="L32" s="65" t="str">
        <x:v>jakarta-causes:structure:2 (p.3); jakarta-monitoring:structure:0 (p.1)</x:v>
      </x:c>
      <x:c r="M32" s="65" t="str">
        <x:v>Follow-up tests whether likely contributors are incorrectly turned into proof of a single reading's cause.</x:v>
      </x:c>
      <x:c r="N32" s="82" t="str"/>
      <x:c r="O32" s="82" t="str"/>
      <x:c r="P32" s="84"/>
      <x:c r="Q32" s="82" t="str"/>
      <x:c r="R32" s="65" t="str">
        <x:v>hybrid_rerank</x:v>
      </x:c>
      <x:c r="S32" s="65" t="str">
        <x:v>pending_human</x:v>
      </x:c>
    </x:row>
    <x:row r="33" ht="56" customHeight="1">
      <x:c r="A33" s="65" t="str">
        <x:v>gold30-028</x:v>
      </x:c>
      <x:c r="B33" s="65" t="str">
        <x:v>expanded-143</x:v>
      </x:c>
      <x:c r="C33" s="65" t="str">
        <x:v>Bahasa Indonesia</x:v>
      </x:c>
      <x:c r="D33" s="65" t="str">
        <x:v>missing_data_safety_abstention</x:v>
      </x:c>
      <x:c r="E33" s="65" t="str">
        <x:v>easy</x:v>
      </x:c>
      <x:c r="F33" s="77" t="str">
        <x:v>Pending</x:v>
      </x:c>
      <x:c r="G33" s="65" t="str">
        <x:v>health_abstention</x:v>
      </x:c>
      <x:c r="H33" s="65" t="str">
        <x:v>Bisakah informasi ini mendiagnosis apakah sesak dada saya disebabkan polusi udara?</x:v>
      </x:c>
      <x:c r="I33" s="65" t="str"/>
      <x:c r="J33" s="65" t="str">
        <x:v>Yes</x:v>
      </x:c>
      <x:c r="K33" s="65" t="str">
        <x:v>health-disclaimer</x:v>
      </x:c>
      <x:c r="L33" s="65" t="str">
        <x:v>health-disclaimer:structure:0 (p.1)</x:v>
      </x:c>
      <x:c r="M33" s="65" t="str">
        <x:v>The health boundary explicitly says air-quality information is educational and does not diagnose an individual; severe or persistent symptoms need care.</x:v>
      </x:c>
      <x:c r="N33" s="82" t="str"/>
      <x:c r="O33" s="82" t="str"/>
      <x:c r="P33" s="84"/>
      <x:c r="Q33" s="82" t="str"/>
      <x:c r="R33" s="65" t="str">
        <x:v>hybrid_rerank</x:v>
      </x:c>
      <x:c r="S33" s="65" t="str">
        <x:v>pending_human</x:v>
      </x:c>
    </x:row>
    <x:row r="34" ht="56" customHeight="1">
      <x:c r="A34" s="65" t="str">
        <x:v>gold30-029</x:v>
      </x:c>
      <x:c r="B34" s="65" t="str">
        <x:v>expanded-113</x:v>
      </x:c>
      <x:c r="C34" s="65" t="str">
        <x:v>English</x:v>
      </x:c>
      <x:c r="D34" s="65" t="str">
        <x:v>missing_data_safety_abstention</x:v>
      </x:c>
      <x:c r="E34" s="65" t="str">
        <x:v>medium</x:v>
      </x:c>
      <x:c r="F34" s="77" t="str">
        <x:v>Pending</x:v>
      </x:c>
      <x:c r="G34" s="65" t="str">
        <x:v>missing_measurement_abstention</x:v>
      </x:c>
      <x:c r="H34" s="65" t="str">
        <x:v>The station's PM2.5 value is blank; can you fill it with Jakarta's average?</x:v>
      </x:c>
      <x:c r="I34" s="65" t="str"/>
      <x:c r="J34" s="65" t="str">
        <x:v>Yes</x:v>
      </x:c>
      <x:c r="K34" s="65" t="str">
        <x:v>jakarta-monitoring</x:v>
      </x:c>
      <x:c r="L34" s="65" t="str">
        <x:v>jakarta-monitoring:structure:0 (p.1)</x:v>
      </x:c>
      <x:c r="M34" s="65" t="str">
        <x:v>Negative-data case: a missing station value must not be replaced with an unrelated average; the portal provides provenance requirements.</x:v>
      </x:c>
      <x:c r="N34" s="82" t="str"/>
      <x:c r="O34" s="82" t="str"/>
      <x:c r="P34" s="84"/>
      <x:c r="Q34" s="82" t="str"/>
      <x:c r="R34" s="65" t="str">
        <x:v>hybrid_rerank</x:v>
      </x:c>
      <x:c r="S34" s="65" t="str">
        <x:v>pending_human</x:v>
      </x:c>
    </x:row>
    <x:row r="35" ht="56" customHeight="1">
      <x:c r="A35" s="65" t="str">
        <x:v>gold30-030</x:v>
      </x:c>
      <x:c r="B35" s="65" t="str">
        <x:v>expanded-131</x:v>
      </x:c>
      <x:c r="C35" s="65" t="str">
        <x:v>Bahasa Indonesia</x:v>
      </x:c>
      <x:c r="D35" s="65" t="str">
        <x:v>missing_data_safety_abstention</x:v>
      </x:c>
      <x:c r="E35" s="65" t="str">
        <x:v>hard</x:v>
      </x:c>
      <x:c r="F35" s="78" t="str">
        <x:v>Pending</x:v>
      </x:c>
      <x:c r="G35" s="65" t="str">
        <x:v>implementation_abstention</x:v>
      </x:c>
      <x:c r="H35" s="65" t="str">
        <x:v>Ringkasan putusan tidak punya tanggal penyelesaian; bolehkah kita mengatakan perintahnya sudah dilaksanakan?</x:v>
      </x:c>
      <x:c r="I35" s="65" t="str"/>
      <x:c r="J35" s="65" t="str">
        <x:v>Yes</x:v>
      </x:c>
      <x:c r="K35" s="65" t="str">
        <x:v>ma-jakarta-air-lawsuit-record, jakarta-policy-implementation</x:v>
      </x:c>
      <x:c r="L35" s="65" t="str">
        <x:v>ma-jakarta-air-lawsuit-record:structure:0 (p.1); jakarta-policy-implementation:structure:0 (p.1)</x:v>
      </x:c>
      <x:c r="M35" s="65" t="str">
        <x:v>The court record explicitly withholds completion claims without subsequent execution evidence.</x:v>
      </x:c>
      <x:c r="N35" s="82" t="str"/>
      <x:c r="O35" s="82" t="str"/>
      <x:c r="P35" s="84"/>
      <x:c r="Q35" s="82" t="str"/>
      <x:c r="R35" s="65" t="str">
        <x:v>hybrid_rerank</x:v>
      </x:c>
      <x:c r="S35" s="65" t="str">
        <x:v>pending_human</x:v>
      </x:c>
    </x:row>
  </x:sheetData>
  <x:mergeCells>
    <x:mergeCell ref="A1:S1"/>
    <x:mergeCell ref="A2:S2"/>
  </x:mergeCells>
  <x:conditionalFormatting sqref="F6:F35">
    <x:cfRule type="containsText" dxfId="0" priority="1" operator="containsText" text="Approved"/>
    <x:cfRule type="containsText" dxfId="1" priority="2" operator="containsText" text="Corrected"/>
    <x:cfRule type="containsText" dxfId="2" priority="3" operator="containsText" text="Rejected"/>
  </x:conditionalFormatting>
  <x:dataValidations count="1">
    <x:dataValidation type="list" sqref="F6:F35">
      <x:formula1>"Pending,Approved,Corrected,Rejected"</x:formula1>
    </x:dataValidation>
  </x:dataValidations>
  <x:pageMargins left="0.7" right="0.7" top="0.75" bottom="0.75" header="0.3" footer="0.3"/>
  <x:tableParts count="1">
    <x:tablePart xmlns:r="http://schemas.openxmlformats.org/officeDocument/2006/relationships" r:id="Re994873f0e8c42c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5" hidden="0" customWidth="1"/>
    <x:col min="2" max="2" width="17" hidden="0" customWidth="1"/>
    <x:col min="3" max="3" width="8" hidden="0" customWidth="1"/>
    <x:col min="4" max="4" width="32" hidden="0" customWidth="1"/>
    <x:col min="5" max="5" width="38" hidden="0" customWidth="1"/>
    <x:col min="6" max="6" width="12" hidden="0" customWidth="1"/>
    <x:col min="7" max="7" width="14" hidden="0" customWidth="1"/>
    <x:col min="8" max="8" width="38" hidden="0" customWidth="1"/>
    <x:col min="9" max="9" width="36" hidden="0" customWidth="1"/>
    <x:col min="10" max="10" width="72" hidden="0" customWidth="1"/>
    <x:col min="11" max="11" width="56" hidden="0" customWidth="1"/>
    <x:col min="12" max="12" width="14" hidden="0" customWidth="1"/>
    <x:col min="13" max="13" width="46" hidden="0" customWidth="1"/>
  </x:cols>
  <x:sheetData>
    <x:row r="1" ht="34" customHeight="1">
      <x:c r="A1" s="4" t="str">
        <x:v>Evidence</x:v>
      </x:c>
      <x:c r="B1" s="4"/>
      <x:c r="C1" s="4"/>
      <x:c r="D1" s="4"/>
      <x:c r="E1" s="4"/>
      <x:c r="F1" s="4"/>
      <x:c r="G1" s="4"/>
      <x:c r="H1" s="4"/>
      <x:c r="I1" s="4"/>
      <x:c r="J1" s="4"/>
      <x:c r="K1" s="4"/>
      <x:c r="L1" s="4"/>
      <x:c r="M1" s="4"/>
    </x:row>
    <x:row r="2" ht="30" customHeight="1">
      <x:c r="A2" s="8" t="str">
        <x:v>Top five local retrieval candidates per question and mode. Filter by question_id or mode; excerpts are intentionally concise.</x:v>
      </x:c>
      <x:c r="B2" s="8"/>
      <x:c r="C2" s="8"/>
      <x:c r="D2" s="8"/>
      <x:c r="E2" s="8"/>
      <x:c r="F2" s="8"/>
      <x:c r="G2" s="8"/>
      <x:c r="H2" s="8"/>
      <x:c r="I2" s="8"/>
      <x:c r="J2" s="8"/>
      <x:c r="K2" s="8"/>
      <x:c r="L2" s="8"/>
      <x:c r="M2" s="8"/>
    </x:row>
    <x:row r="5" ht="32" customHeight="1">
      <x:c r="A5" s="28" t="str">
        <x:v>question_id</x:v>
      </x:c>
      <x:c r="B5" s="58" t="str">
        <x:v>mode</x:v>
      </x:c>
      <x:c r="C5" s="58" t="str">
        <x:v>rank</x:v>
      </x:c>
      <x:c r="D5" s="58" t="str">
        <x:v>source_id</x:v>
      </x:c>
      <x:c r="E5" s="58" t="str">
        <x:v>chunk_id</x:v>
      </x:c>
      <x:c r="F5" s="58" t="str">
        <x:v>locator</x:v>
      </x:c>
      <x:c r="G5" s="58" t="str">
        <x:v>score</x:v>
      </x:c>
      <x:c r="H5" s="58" t="str">
        <x:v>title</x:v>
      </x:c>
      <x:c r="I5" s="58" t="str">
        <x:v>publisher</x:v>
      </x:c>
      <x:c r="J5" s="58" t="str">
        <x:v>excerpt</x:v>
      </x:c>
      <x:c r="K5" s="58" t="str">
        <x:v>URL</x:v>
      </x:c>
      <x:c r="L5" s="58" t="str">
        <x:v>proposed grade</x:v>
      </x:c>
      <x:c r="M5" s="29" t="str">
        <x:v>proposed rationale</x:v>
      </x:c>
    </x:row>
    <x:row r="6" ht="42" customHeight="1">
      <x:c r="A6" s="64" t="str">
        <x:v>gold30-001</x:v>
      </x:c>
      <x:c r="B6" s="64" t="str">
        <x:v>bm25</x:v>
      </x:c>
      <x:c r="C6" s="87" t="n">
        <x:v>1</x:v>
      </x:c>
      <x:c r="D6" s="64" t="str">
        <x:v>jakarta-causes</x:v>
      </x:c>
      <x:c r="E6" s="64" t="str">
        <x:v>jakarta-causes:structure:0</x:v>
      </x:c>
      <x:c r="F6" s="64" t="str">
        <x:v>p.1</x:v>
      </x:c>
      <x:c r="G6" s="91" t="n">
        <x:v>0.57142857</x:v>
      </x:c>
      <x:c r="H6" s="64" t="str">
        <x:v>What causes Jakarta air pollution</x:v>
      </x:c>
      <x:c r="I6" s="64" t="str">
        <x:v>Dinas Lingkungan Hidup DKI Jakarta / Vital Strategies / ITB</x:v>
      </x:c>
      <x:c r="J6" s="64"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6" s="64" t="str">
        <x:v>https://rendahemisi.jakarta.go.id/learn</x:v>
      </x:c>
      <x:c r="L6" s="64" t="n">
        <x:v>0</x:v>
      </x:c>
      <x:c r="M6" s="64" t="str">
        <x:v>Machine-suggested near-miss; human review required.</x:v>
      </x:c>
    </x:row>
    <x:row r="7" ht="42" customHeight="1">
      <x:c r="A7" s="65" t="str">
        <x:v>gold30-001</x:v>
      </x:c>
      <x:c r="B7" s="65" t="str">
        <x:v>bm25</x:v>
      </x:c>
      <x:c r="C7" s="88" t="n">
        <x:v>2</x:v>
      </x:c>
      <x:c r="D7" s="65" t="str">
        <x:v>bad-air-day-protection</x:v>
      </x:c>
      <x:c r="E7" s="65" t="str">
        <x:v>bad-air-day-protection:structure:1</x:v>
      </x:c>
      <x:c r="F7" s="65" t="str">
        <x:v>p.2</x:v>
      </x:c>
      <x:c r="G7" s="92" t="n">
        <x:v>0.42857143</x:v>
      </x:c>
      <x:c r="H7" s="65" t="str">
        <x:v>Bad-air-day protection playbook</x:v>
      </x:c>
      <x:c r="I7" s="65" t="str">
        <x:v>World Health Organization, Regional Office for Europe</x:v>
      </x:c>
      <x:c r="J7"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7" s="65" t="str">
        <x:v>https://www.who.int/news-room/questions-and-answers/item/air-pollution-personal-interventions-and-risk-communication</x:v>
      </x:c>
      <x:c r="L7" s="65" t="n">
        <x:v>0</x:v>
      </x:c>
      <x:c r="M7" s="65" t="str">
        <x:v>Machine-suggested near-miss; human review required.</x:v>
      </x:c>
    </x:row>
    <x:row r="8" ht="42" customHeight="1">
      <x:c r="A8" s="65" t="str">
        <x:v>gold30-001</x:v>
      </x:c>
      <x:c r="B8" s="65" t="str">
        <x:v>bm25</x:v>
      </x:c>
      <x:c r="C8" s="88" t="n">
        <x:v>3</x:v>
      </x:c>
      <x:c r="D8" s="65" t="str">
        <x:v>jakarta-court-air-quality</x:v>
      </x:c>
      <x:c r="E8" s="65" t="str">
        <x:v>jakarta-court-air-quality:structure:1</x:v>
      </x:c>
      <x:c r="F8" s="65" t="str">
        <x:v>p.2</x:v>
      </x:c>
      <x:c r="G8" s="92" t="n">
        <x:v>0.42857143</x:v>
      </x:c>
      <x:c r="H8" s="65" t="str">
        <x:v>Jakarta air-pollution citizen lawsuit: what the court record establishes</x:v>
      </x:c>
      <x:c r="I8" s="65" t="str">
        <x:v>Mahkamah Agung Republik Indonesia</x:v>
      </x:c>
      <x:c r="J8"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8" s="65" t="str">
        <x:v>https://putusan3.mahkamahagung.go.id/pengadilan/profil/pengadilan/pn-jakarta-pusat.html</x:v>
      </x:c>
      <x:c r="L8" s="65" t="n">
        <x:v>0</x:v>
      </x:c>
      <x:c r="M8" s="65" t="str">
        <x:v>Machine-suggested near-miss; human review required.</x:v>
      </x:c>
    </x:row>
    <x:row r="9" ht="42" customHeight="1">
      <x:c r="A9" s="65" t="str">
        <x:v>gold30-001</x:v>
      </x:c>
      <x:c r="B9" s="65" t="str">
        <x:v>bm25</x:v>
      </x:c>
      <x:c r="C9" s="88" t="n">
        <x:v>4</x:v>
      </x:c>
      <x:c r="D9" s="65" t="str">
        <x:v>jakarta-seasonal-exposure</x:v>
      </x:c>
      <x:c r="E9" s="65" t="str">
        <x:v>jakarta-seasonal-exposure:structure:0</x:v>
      </x:c>
      <x:c r="F9" s="65" t="str">
        <x:v>p.1</x:v>
      </x:c>
      <x:c r="G9" s="92" t="n">
        <x:v>0.42857143</x:v>
      </x:c>
      <x:c r="H9" s="65" t="str">
        <x:v>Jakarta timing and local exposure context</x:v>
      </x:c>
      <x:c r="I9" s="65" t="str">
        <x:v>Dinas Lingkungan Hidup DKI Jakarta</x:v>
      </x:c>
      <x:c r="J9" s="65" t="str">
        <x:v>Published: 2024-04-06 Status as of: 2026-09-07 (official seasonal notice; not a current forecast) Document type: official_public_guidance Tags: topic=exposure-protection; audience=Jakarta-resident; action=protect-now; pollutant=PM2.5</x:v>
      </x:c>
      <x:c r="K9" s="65" t="str">
        <x:v>https://lingkunganhidup.jakarta.go.id/detail-artikel/masuki-musim-kemarau-pemprov-dki-minta-masyarakat-waspadai-penurunan-kualitas-udara</x:v>
      </x:c>
      <x:c r="L9" s="65" t="n">
        <x:v>0</x:v>
      </x:c>
      <x:c r="M9" s="65" t="str">
        <x:v>Machine-suggested near-miss; human review required.</x:v>
      </x:c>
    </x:row>
    <x:row r="10" ht="42" customHeight="1">
      <x:c r="A10" s="65" t="str">
        <x:v>gold30-001</x:v>
      </x:c>
      <x:c r="B10" s="65" t="str">
        <x:v>bm25</x:v>
      </x:c>
      <x:c r="C10" s="88" t="n">
        <x:v>5</x:v>
      </x:c>
      <x:c r="D10" s="65" t="str">
        <x:v>jakarta-cems-monitoring</x:v>
      </x:c>
      <x:c r="E10" s="65" t="str">
        <x:v>jakarta-cems-monitoring:structure:2</x:v>
      </x:c>
      <x:c r="F10" s="65" t="str">
        <x:v>p.3</x:v>
      </x:c>
      <x:c r="G10" s="92" t="n">
        <x:v>0.28571429</x:v>
      </x:c>
      <x:c r="H10" s="65" t="str">
        <x:v>Stationary-source emissions monitoring (CEMS)</x:v>
      </x:c>
      <x:c r="I10" s="65" t="str">
        <x:v>Dinas Lingkungan Hidup DKI Jakarta</x:v>
      </x:c>
      <x:c r="J10" s="65" t="str">
        <x:v>The existence of reports demonstrates monitoring activity, not that every industrial stack is covered, every reading is compliant, or corrective orders were completed. A useful implementation dashboard should publish the regulated source denominator, uptime and missingness, exce…</x:v>
      </x:c>
      <x:c r="K10" s="65" t="str">
        <x:v>https://lingkunganhidup.jakarta.go.id/publikasi/monitoring_emisi</x:v>
      </x:c>
      <x:c r="L10" s="65" t="n">
        <x:v>0</x:v>
      </x:c>
      <x:c r="M10" s="65" t="str">
        <x:v>Machine-suggested near-miss; human review required.</x:v>
      </x:c>
    </x:row>
    <x:row r="11" ht="42" customHeight="1">
      <x:c r="A11" s="65" t="str">
        <x:v>gold30-001</x:v>
      </x:c>
      <x:c r="B11" s="65" t="str">
        <x:v>dense</x:v>
      </x:c>
      <x:c r="C11" s="88" t="n">
        <x:v>1</x:v>
      </x:c>
      <x:c r="D11" s="65" t="str">
        <x:v>jakarta-monitoring</x:v>
      </x:c>
      <x:c r="E11" s="65" t="str">
        <x:v>jakarta-monitoring:structure:0</x:v>
      </x:c>
      <x:c r="F11" s="65" t="str">
        <x:v>p.1</x:v>
      </x:c>
      <x:c r="G11" s="92" t="n">
        <x:v>0.32748875</x:v>
      </x:c>
      <x:c r="H11" s="65" t="str">
        <x:v>Jakarta monitoring stations</x:v>
      </x:c>
      <x:c r="I11" s="65" t="str">
        <x:v>Dinas Lingkungan Hidup Provinsi DKI Jakarta</x:v>
      </x:c>
      <x:c r="J11" s="65" t="str">
        <x:v>Jakarta's official monitoring portal publishes station locations, pollutant parameters, current readings, and timestamps. A station observation describes that station and observation time; it should not automatically be generalized to all of Jakarta.</x:v>
      </x:c>
      <x:c r="K11" s="65" t="str">
        <x:v>https://udara.jakarta.go.id/lokasi-spku</x:v>
      </x:c>
      <x:c r="L11" s="65" t="n">
        <x:v>3</x:v>
      </x:c>
      <x:c r="M11" s="65" t="str">
        <x:v>Expected source for this question.</x:v>
      </x:c>
    </x:row>
    <x:row r="12" ht="42" customHeight="1">
      <x:c r="A12" s="65" t="str">
        <x:v>gold30-001</x:v>
      </x:c>
      <x:c r="B12" s="65" t="str">
        <x:v>dense</x:v>
      </x:c>
      <x:c r="C12" s="88" t="n">
        <x:v>2</x:v>
      </x:c>
      <x:c r="D12" s="65" t="str">
        <x:v>jakarta-seasonal-exposure</x:v>
      </x:c>
      <x:c r="E12" s="65" t="str">
        <x:v>jakarta-seasonal-exposure:structure:0</x:v>
      </x:c>
      <x:c r="F12" s="65" t="str">
        <x:v>p.1</x:v>
      </x:c>
      <x:c r="G12" s="92" t="n">
        <x:v>0.30813135</x:v>
      </x:c>
      <x:c r="H12" s="65" t="str">
        <x:v>Jakarta timing and local exposure context</x:v>
      </x:c>
      <x:c r="I12" s="65" t="str">
        <x:v>Dinas Lingkungan Hidup DKI Jakarta</x:v>
      </x:c>
      <x:c r="J12" s="65" t="str">
        <x:v>Published: 2024-04-06 Status as of: 2026-09-07 (official seasonal notice; not a current forecast) Document type: official_public_guidance Tags: topic=exposure-protection; audience=Jakarta-resident; action=protect-now; pollutant=PM2.5</x:v>
      </x:c>
      <x:c r="K12" s="65" t="str">
        <x:v>https://lingkunganhidup.jakarta.go.id/detail-artikel/masuki-musim-kemarau-pemprov-dki-minta-masyarakat-waspadai-penurunan-kualitas-udara</x:v>
      </x:c>
      <x:c r="L12" s="65" t="n">
        <x:v>0</x:v>
      </x:c>
      <x:c r="M12" s="65" t="str">
        <x:v>Machine-suggested near-miss; human review required.</x:v>
      </x:c>
    </x:row>
    <x:row r="13" ht="42" customHeight="1">
      <x:c r="A13" s="65" t="str">
        <x:v>gold30-001</x:v>
      </x:c>
      <x:c r="B13" s="65" t="str">
        <x:v>dense</x:v>
      </x:c>
      <x:c r="C13" s="88" t="n">
        <x:v>3</x:v>
      </x:c>
      <x:c r="D13" s="65" t="str">
        <x:v>jakarta-court-air-quality</x:v>
      </x:c>
      <x:c r="E13" s="65" t="str">
        <x:v>jakarta-court-air-quality:structure:1</x:v>
      </x:c>
      <x:c r="F13" s="65" t="str">
        <x:v>p.2</x:v>
      </x:c>
      <x:c r="G13" s="92" t="n">
        <x:v>0.27365909</x:v>
      </x:c>
      <x:c r="H13" s="65" t="str">
        <x:v>Jakarta air-pollution citizen lawsuit: what the court record establishes</x:v>
      </x:c>
      <x:c r="I13" s="65" t="str">
        <x:v>Mahkamah Agung Republik Indonesia</x:v>
      </x:c>
      <x:c r="J13"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13" s="65" t="str">
        <x:v>https://putusan3.mahkamahagung.go.id/pengadilan/profil/pengadilan/pn-jakarta-pusat.html</x:v>
      </x:c>
      <x:c r="L13" s="65" t="n">
        <x:v>0</x:v>
      </x:c>
      <x:c r="M13" s="65" t="str">
        <x:v>Machine-suggested near-miss; human review required.</x:v>
      </x:c>
    </x:row>
    <x:row r="14" ht="42" customHeight="1">
      <x:c r="A14" s="65" t="str">
        <x:v>gold30-001</x:v>
      </x:c>
      <x:c r="B14" s="65" t="str">
        <x:v>dense</x:v>
      </x:c>
      <x:c r="C14" s="88" t="n">
        <x:v>4</x:v>
      </x:c>
      <x:c r="D14" s="65" t="str">
        <x:v>jakarta-causes</x:v>
      </x:c>
      <x:c r="E14" s="65" t="str">
        <x:v>jakarta-causes:structure:0</x:v>
      </x:c>
      <x:c r="F14" s="65" t="str">
        <x:v>p.1</x:v>
      </x:c>
      <x:c r="G14" s="92" t="n">
        <x:v>0.25673599</x:v>
      </x:c>
      <x:c r="H14" s="65" t="str">
        <x:v>What causes Jakarta air pollution</x:v>
      </x:c>
      <x:c r="I14" s="65" t="str">
        <x:v>Dinas Lingkungan Hidup DKI Jakarta / Vital Strategies / ITB</x:v>
      </x:c>
      <x:c r="J14"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4" s="65" t="str">
        <x:v>https://rendahemisi.jakarta.go.id/learn</x:v>
      </x:c>
      <x:c r="L14" s="65" t="n">
        <x:v>0</x:v>
      </x:c>
      <x:c r="M14" s="65" t="str">
        <x:v>Machine-suggested near-miss; human review required.</x:v>
      </x:c>
    </x:row>
    <x:row r="15" ht="42" customHeight="1">
      <x:c r="A15" s="65" t="str">
        <x:v>gold30-001</x:v>
      </x:c>
      <x:c r="B15" s="65" t="str">
        <x:v>dense</x:v>
      </x:c>
      <x:c r="C15" s="88" t="n">
        <x:v>5</x:v>
      </x:c>
      <x:c r="D15" s="65" t="str">
        <x:v>ma-jakarta-air-lawsuit-record</x:v>
      </x:c>
      <x:c r="E15" s="65" t="str">
        <x:v>ma-jakarta-air-lawsuit-record:structure:0</x:v>
      </x:c>
      <x:c r="F15" s="65" t="str">
        <x:v>p.1</x:v>
      </x:c>
      <x:c r="G15" s="92" t="n">
        <x:v>0.25659882</x:v>
      </x:c>
      <x:c r="H15" s="65" t="str">
        <x:v>Mahkamah Agung record — Jakarta air-pollution citizen lawsuit</x:v>
      </x:c>
      <x:c r="I15" s="65" t="str">
        <x:v>Mahkamah Agung Republik Indonesia</x:v>
      </x:c>
      <x:c r="J15"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15" s="65" t="str">
        <x:v>https://putusan3.mahkamahagung.go.id/pengadilan/profil/pengadilan/pn-jakarta-pusat.html</x:v>
      </x:c>
      <x:c r="L15" s="65" t="n">
        <x:v>0</x:v>
      </x:c>
      <x:c r="M15" s="65" t="str">
        <x:v>Machine-suggested near-miss; human review required.</x:v>
      </x:c>
    </x:row>
    <x:row r="16" ht="42" customHeight="1">
      <x:c r="A16" s="65" t="str">
        <x:v>gold30-001</x:v>
      </x:c>
      <x:c r="B16" s="65" t="str">
        <x:v>hybrid</x:v>
      </x:c>
      <x:c r="C16" s="88" t="n">
        <x:v>1</x:v>
      </x:c>
      <x:c r="D16" s="65" t="str">
        <x:v>jakarta-causes</x:v>
      </x:c>
      <x:c r="E16" s="65" t="str">
        <x:v>jakarta-causes:structure:0</x:v>
      </x:c>
      <x:c r="F16" s="65" t="str">
        <x:v>p.1</x:v>
      </x:c>
      <x:c r="G16" s="92" t="n">
        <x:v>0.03233094</x:v>
      </x:c>
      <x:c r="H16" s="65" t="str">
        <x:v>What causes Jakarta air pollution</x:v>
      </x:c>
      <x:c r="I16" s="65" t="str">
        <x:v>Dinas Lingkungan Hidup DKI Jakarta / Vital Strategies / ITB</x:v>
      </x:c>
      <x:c r="J16"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6" s="65" t="str">
        <x:v>https://rendahemisi.jakarta.go.id/learn</x:v>
      </x:c>
      <x:c r="L16" s="65" t="n">
        <x:v>0</x:v>
      </x:c>
      <x:c r="M16" s="65" t="str">
        <x:v>Machine-suggested near-miss; human review required.</x:v>
      </x:c>
    </x:row>
    <x:row r="17" ht="42" customHeight="1">
      <x:c r="A17" s="65" t="str">
        <x:v>gold30-001</x:v>
      </x:c>
      <x:c r="B17" s="65" t="str">
        <x:v>hybrid</x:v>
      </x:c>
      <x:c r="C17" s="88" t="n">
        <x:v>2</x:v>
      </x:c>
      <x:c r="D17" s="65" t="str">
        <x:v>jakarta-seasonal-exposure</x:v>
      </x:c>
      <x:c r="E17" s="65" t="str">
        <x:v>jakarta-seasonal-exposure:structure:0</x:v>
      </x:c>
      <x:c r="F17" s="65" t="str">
        <x:v>p.1</x:v>
      </x:c>
      <x:c r="G17" s="92" t="n">
        <x:v>0.03207661</x:v>
      </x:c>
      <x:c r="H17" s="65" t="str">
        <x:v>Jakarta timing and local exposure context</x:v>
      </x:c>
      <x:c r="I17" s="65" t="str">
        <x:v>Dinas Lingkungan Hidup DKI Jakarta</x:v>
      </x:c>
      <x:c r="J17" s="65" t="str">
        <x:v>Published: 2024-04-06 Status as of: 2026-09-07 (official seasonal notice; not a current forecast) Document type: official_public_guidance Tags: topic=exposure-protection; audience=Jakarta-resident; action=protect-now; pollutant=PM2.5</x:v>
      </x:c>
      <x:c r="K17" s="65" t="str">
        <x:v>https://lingkunganhidup.jakarta.go.id/detail-artikel/masuki-musim-kemarau-pemprov-dki-minta-masyarakat-waspadai-penurunan-kualitas-udara</x:v>
      </x:c>
      <x:c r="L17" s="65" t="n">
        <x:v>0</x:v>
      </x:c>
      <x:c r="M17" s="65" t="str">
        <x:v>Machine-suggested near-miss; human review required.</x:v>
      </x:c>
    </x:row>
    <x:row r="18" ht="42" customHeight="1">
      <x:c r="A18" s="65" t="str">
        <x:v>gold30-001</x:v>
      </x:c>
      <x:c r="B18" s="65" t="str">
        <x:v>hybrid</x:v>
      </x:c>
      <x:c r="C18" s="88" t="n">
        <x:v>3</x:v>
      </x:c>
      <x:c r="D18" s="65" t="str">
        <x:v>jakarta-court-air-quality</x:v>
      </x:c>
      <x:c r="E18" s="65" t="str">
        <x:v>jakarta-court-air-quality:structure:1</x:v>
      </x:c>
      <x:c r="F18" s="65" t="str">
        <x:v>p.2</x:v>
      </x:c>
      <x:c r="G18" s="92" t="n">
        <x:v>0.03206349</x:v>
      </x:c>
      <x:c r="H18" s="65" t="str">
        <x:v>Jakarta air-pollution citizen lawsuit: what the court record establishes</x:v>
      </x:c>
      <x:c r="I18" s="65" t="str">
        <x:v>Mahkamah Agung Republik Indonesia</x:v>
      </x:c>
      <x:c r="J18"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18" s="65" t="str">
        <x:v>https://putusan3.mahkamahagung.go.id/pengadilan/profil/pengadilan/pn-jakarta-pusat.html</x:v>
      </x:c>
      <x:c r="L18" s="65" t="n">
        <x:v>0</x:v>
      </x:c>
      <x:c r="M18" s="65" t="str">
        <x:v>Machine-suggested near-miss; human review required.</x:v>
      </x:c>
    </x:row>
    <x:row r="19" ht="42" customHeight="1">
      <x:c r="A19" s="65" t="str">
        <x:v>gold30-001</x:v>
      </x:c>
      <x:c r="B19" s="65" t="str">
        <x:v>hybrid</x:v>
      </x:c>
      <x:c r="C19" s="88" t="n">
        <x:v>4</x:v>
      </x:c>
      <x:c r="D19" s="65" t="str">
        <x:v>jakarta-improvements</x:v>
      </x:c>
      <x:c r="E19" s="65" t="str">
        <x:v>jakarta-improvements:structure:0</x:v>
      </x:c>
      <x:c r="F19" s="65" t="str">
        <x:v>p.1</x:v>
      </x:c>
      <x:c r="G19" s="92" t="n">
        <x:v>0.03037992</x:v>
      </x:c>
      <x:c r="H19" s="65" t="str">
        <x:v>Ways to improve Jakarta air quality</x:v>
      </x:c>
      <x:c r="I19" s="65" t="str">
        <x:v>Pemerintah Provinsi DKI Jakarta / Dinas Lingkungan Hidup</x:v>
      </x:c>
      <x:c r="J19"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19" s="65" t="str">
        <x:v>https://www.jakarta.go.id/page/upaya-bersama-jaga-kualitas-udara-jakarta</x:v>
      </x:c>
      <x:c r="L19" s="65" t="n">
        <x:v>0</x:v>
      </x:c>
      <x:c r="M19" s="65" t="str">
        <x:v>Machine-suggested near-miss; human review required.</x:v>
      </x:c>
    </x:row>
    <x:row r="20" ht="42" customHeight="1">
      <x:c r="A20" s="65" t="str">
        <x:v>gold30-001</x:v>
      </x:c>
      <x:c r="B20" s="65" t="str">
        <x:v>hybrid</x:v>
      </x:c>
      <x:c r="C20" s="88" t="n">
        <x:v>5</x:v>
      </x:c>
      <x:c r="D20" s="65" t="str">
        <x:v>ma-jakarta-air-lawsuit-record</x:v>
      </x:c>
      <x:c r="E20" s="65" t="str">
        <x:v>ma-jakarta-air-lawsuit-record:structure:0</x:v>
      </x:c>
      <x:c r="F20" s="65" t="str">
        <x:v>p.1</x:v>
      </x:c>
      <x:c r="G20" s="92" t="n">
        <x:v>0.02997802</x:v>
      </x:c>
      <x:c r="H20" s="65" t="str">
        <x:v>Mahkamah Agung record — Jakarta air-pollution citizen lawsuit</x:v>
      </x:c>
      <x:c r="I20" s="65" t="str">
        <x:v>Mahkamah Agung Republik Indonesia</x:v>
      </x:c>
      <x:c r="J20"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20" s="65" t="str">
        <x:v>https://putusan3.mahkamahagung.go.id/pengadilan/profil/pengadilan/pn-jakarta-pusat.html</x:v>
      </x:c>
      <x:c r="L20" s="65" t="n">
        <x:v>0</x:v>
      </x:c>
      <x:c r="M20" s="65" t="str">
        <x:v>Machine-suggested near-miss; human review required.</x:v>
      </x:c>
    </x:row>
    <x:row r="21" ht="42" customHeight="1">
      <x:c r="A21" s="65" t="str">
        <x:v>gold30-001</x:v>
      </x:c>
      <x:c r="B21" s="65" t="str">
        <x:v>hybrid_rerank</x:v>
      </x:c>
      <x:c r="C21" s="88" t="n">
        <x:v>1</x:v>
      </x:c>
      <x:c r="D21" s="65" t="str">
        <x:v>jakarta-causes</x:v>
      </x:c>
      <x:c r="E21" s="65" t="str">
        <x:v>jakarta-causes:structure:0</x:v>
      </x:c>
      <x:c r="F21" s="65" t="str">
        <x:v>p.1</x:v>
      </x:c>
      <x:c r="G21" s="92" t="n">
        <x:v>0.40969928</x:v>
      </x:c>
      <x:c r="H21" s="65" t="str">
        <x:v>What causes Jakarta air pollution</x:v>
      </x:c>
      <x:c r="I21" s="65" t="str">
        <x:v>Dinas Lingkungan Hidup DKI Jakarta / Vital Strategies / ITB</x:v>
      </x:c>
      <x:c r="J21"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21" s="65" t="str">
        <x:v>https://rendahemisi.jakarta.go.id/learn</x:v>
      </x:c>
      <x:c r="L21" s="65" t="n">
        <x:v>0</x:v>
      </x:c>
      <x:c r="M21" s="65" t="str">
        <x:v>Machine-suggested near-miss; human review required.</x:v>
      </x:c>
    </x:row>
    <x:row r="22" ht="42" customHeight="1">
      <x:c r="A22" s="65" t="str">
        <x:v>gold30-001</x:v>
      </x:c>
      <x:c r="B22" s="65" t="str">
        <x:v>hybrid_rerank</x:v>
      </x:c>
      <x:c r="C22" s="88" t="n">
        <x:v>2</x:v>
      </x:c>
      <x:c r="D22" s="65" t="str">
        <x:v>jakarta-seasonal-exposure</x:v>
      </x:c>
      <x:c r="E22" s="65" t="str">
        <x:v>jakarta-seasonal-exposure:structure:0</x:v>
      </x:c>
      <x:c r="F22" s="65" t="str">
        <x:v>p.1</x:v>
      </x:c>
      <x:c r="G22" s="92" t="n">
        <x:v>0.30962298</x:v>
      </x:c>
      <x:c r="H22" s="65" t="str">
        <x:v>Jakarta timing and local exposure context</x:v>
      </x:c>
      <x:c r="I22" s="65" t="str">
        <x:v>Dinas Lingkungan Hidup DKI Jakarta</x:v>
      </x:c>
      <x:c r="J22" s="65" t="str">
        <x:v>Published: 2024-04-06 Status as of: 2026-09-07 (official seasonal notice; not a current forecast) Document type: official_public_guidance Tags: topic=exposure-protection; audience=Jakarta-resident; action=protect-now; pollutant=PM2.5</x:v>
      </x:c>
      <x:c r="K22" s="65" t="str">
        <x:v>https://lingkunganhidup.jakarta.go.id/detail-artikel/masuki-musim-kemarau-pemprov-dki-minta-masyarakat-waspadai-penurunan-kualitas-udara</x:v>
      </x:c>
      <x:c r="L22" s="65" t="n">
        <x:v>0</x:v>
      </x:c>
      <x:c r="M22" s="65" t="str">
        <x:v>Machine-suggested near-miss; human review required.</x:v>
      </x:c>
    </x:row>
    <x:row r="23" ht="42" customHeight="1">
      <x:c r="A23" s="65" t="str">
        <x:v>gold30-001</x:v>
      </x:c>
      <x:c r="B23" s="65" t="str">
        <x:v>hybrid_rerank</x:v>
      </x:c>
      <x:c r="C23" s="88" t="n">
        <x:v>3</x:v>
      </x:c>
      <x:c r="D23" s="65" t="str">
        <x:v>jakarta-court-air-quality</x:v>
      </x:c>
      <x:c r="E23" s="65" t="str">
        <x:v>jakarta-court-air-quality:structure:1</x:v>
      </x:c>
      <x:c r="F23" s="65" t="str">
        <x:v>p.2</x:v>
      </x:c>
      <x:c r="G23" s="92" t="n">
        <x:v>0.30961905</x:v>
      </x:c>
      <x:c r="H23" s="65" t="str">
        <x:v>Jakarta air-pollution citizen lawsuit: what the court record establishes</x:v>
      </x:c>
      <x:c r="I23" s="65" t="str">
        <x:v>Mahkamah Agung Republik Indonesia</x:v>
      </x:c>
      <x:c r="J23"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23" s="65" t="str">
        <x:v>https://putusan3.mahkamahagung.go.id/pengadilan/profil/pengadilan/pn-jakarta-pusat.html</x:v>
      </x:c>
      <x:c r="L23" s="65" t="n">
        <x:v>0</x:v>
      </x:c>
      <x:c r="M23" s="65" t="str">
        <x:v>Machine-suggested near-miss; human review required.</x:v>
      </x:c>
    </x:row>
    <x:row r="24" ht="42" customHeight="1">
      <x:c r="A24" s="65" t="str">
        <x:v>gold30-001</x:v>
      </x:c>
      <x:c r="B24" s="65" t="str">
        <x:v>hybrid_rerank</x:v>
      </x:c>
      <x:c r="C24" s="88" t="n">
        <x:v>4</x:v>
      </x:c>
      <x:c r="D24" s="65" t="str">
        <x:v>bad-air-day-protection</x:v>
      </x:c>
      <x:c r="E24" s="65" t="str">
        <x:v>bad-air-day-protection:structure:1</x:v>
      </x:c>
      <x:c r="F24" s="65" t="str">
        <x:v>p.2</x:v>
      </x:c>
      <x:c r="G24" s="92" t="n">
        <x:v>0.30483871</x:v>
      </x:c>
      <x:c r="H24" s="65" t="str">
        <x:v>Bad-air-day protection playbook</x:v>
      </x:c>
      <x:c r="I24" s="65" t="str">
        <x:v>World Health Organization, Regional Office for Europe</x:v>
      </x:c>
      <x:c r="J24"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24" s="65" t="str">
        <x:v>https://www.who.int/news-room/questions-and-answers/item/air-pollution-personal-interventions-and-risk-communication</x:v>
      </x:c>
      <x:c r="L24" s="65" t="n">
        <x:v>0</x:v>
      </x:c>
      <x:c r="M24" s="65" t="str">
        <x:v>Machine-suggested near-miss; human review required.</x:v>
      </x:c>
    </x:row>
    <x:row r="25" ht="42" customHeight="1">
      <x:c r="A25" s="65" t="str">
        <x:v>gold30-001</x:v>
      </x:c>
      <x:c r="B25" s="65" t="str">
        <x:v>hybrid_rerank</x:v>
      </x:c>
      <x:c r="C25" s="88" t="n">
        <x:v>5</x:v>
      </x:c>
      <x:c r="D25" s="65" t="str">
        <x:v>jakarta-improvements</x:v>
      </x:c>
      <x:c r="E25" s="65" t="str">
        <x:v>jakarta-improvements:structure:0</x:v>
      </x:c>
      <x:c r="F25" s="65" t="str">
        <x:v>p.1</x:v>
      </x:c>
      <x:c r="G25" s="92" t="n">
        <x:v>0.20911398</x:v>
      </x:c>
      <x:c r="H25" s="65" t="str">
        <x:v>Ways to improve Jakarta air quality</x:v>
      </x:c>
      <x:c r="I25" s="65" t="str">
        <x:v>Pemerintah Provinsi DKI Jakarta / Dinas Lingkungan Hidup</x:v>
      </x:c>
      <x:c r="J25"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25" s="65" t="str">
        <x:v>https://www.jakarta.go.id/page/upaya-bersama-jaga-kualitas-udara-jakarta</x:v>
      </x:c>
      <x:c r="L25" s="65" t="n">
        <x:v>0</x:v>
      </x:c>
      <x:c r="M25" s="65" t="str">
        <x:v>Machine-suggested near-miss; human review required.</x:v>
      </x:c>
    </x:row>
    <x:row r="26" ht="42" customHeight="1">
      <x:c r="A26" s="65" t="str">
        <x:v>gold30-002</x:v>
      </x:c>
      <x:c r="B26" s="65" t="str">
        <x:v>bm25</x:v>
      </x:c>
      <x:c r="C26" s="88" t="n">
        <x:v>1</x:v>
      </x:c>
      <x:c r="D26" s="65" t="str">
        <x:v>jakarta-historical-city-series</x:v>
      </x:c>
      <x:c r="E26" s="65" t="str">
        <x:v>jakarta-historical-city-series:structure:1</x:v>
      </x:c>
      <x:c r="F26" s="65" t="str">
        <x:v>p.2</x:v>
      </x:c>
      <x:c r="G26" s="92" t="n">
        <x:v>0.22222222</x:v>
      </x:c>
      <x:c r="H26" s="65" t="str">
        <x:v>Jakarta historical PM2.5 and PM10 series: provenance and quality</x:v>
      </x:c>
      <x:c r="I26" s="65" t="str">
        <x:v>Open-Meteo / CAMS Global; deposited dataset by Nitiraj Kulkarni and Jagadish Tawade</x:v>
      </x:c>
      <x:c r="J26"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26" s="65" t="str">
        <x:v>https://zenodo.org/records/18673885</x:v>
      </x:c>
      <x:c r="L26" s="65" t="n">
        <x:v>0</x:v>
      </x:c>
      <x:c r="M26" s="65" t="str">
        <x:v>Machine-suggested near-miss; human review required.</x:v>
      </x:c>
    </x:row>
    <x:row r="27" ht="42" customHeight="1">
      <x:c r="A27" s="65" t="str">
        <x:v>gold30-002</x:v>
      </x:c>
      <x:c r="B27" s="65" t="str">
        <x:v>bm25</x:v>
      </x:c>
      <x:c r="C27" s="88" t="n">
        <x:v>2</x:v>
      </x:c>
      <x:c r="D27" s="65" t="str">
        <x:v>jakarta-policy-implementation</x:v>
      </x:c>
      <x:c r="E27" s="65" t="str">
        <x:v>jakarta-policy-implementation:structure:0</x:v>
      </x:c>
      <x:c r="F27" s="65" t="str">
        <x:v>p.1</x:v>
      </x:c>
      <x:c r="G27" s="92" t="n">
        <x:v>0.22222222</x:v>
      </x:c>
      <x:c r="H27" s="65" t="str">
        <x:v>Why rules can coexist with poor air: implementation evidence</x:v>
      </x:c>
      <x:c r="I27" s="65" t="str">
        <x:v>Pemerintah Provinsi DKI Jakarta; Dinas Lingkungan Hidup DKI Jakarta; Mahkamah Agung</x:v>
      </x:c>
      <x:c r="J27" s="65" t="str">
        <x:v>Published: 2024-06-19; court record dated 2021-09-16 Status as of: 2026-09-07 (status is date-bounded; verify later changes in JDIH) Document type: implementation_evidence Tags: topic=regulation-implementation; audience=Jakarta-resident; action=accountability; status=implementat…</x:v>
      </x:c>
      <x:c r="K27" s="65" t="str">
        <x:v>https://www.jakarta.go.id/siaran-pers/4802-SP-HMS-06-2024</x:v>
      </x:c>
      <x:c r="L27" s="65" t="n">
        <x:v>0</x:v>
      </x:c>
      <x:c r="M27" s="65" t="str">
        <x:v>Machine-suggested near-miss; human review required.</x:v>
      </x:c>
    </x:row>
    <x:row r="28" ht="42" customHeight="1">
      <x:c r="A28" s="65" t="str">
        <x:v>gold30-002</x:v>
      </x:c>
      <x:c r="B28" s="65" t="str">
        <x:v>bm25</x:v>
      </x:c>
      <x:c r="C28" s="88" t="n">
        <x:v>3</x:v>
      </x:c>
      <x:c r="D28" s="65" t="str">
        <x:v>jakarta-regulations</x:v>
      </x:c>
      <x:c r="E28" s="65" t="str">
        <x:v>jakarta-regulations:structure:0</x:v>
      </x:c>
      <x:c r="F28" s="65" t="str">
        <x:v>p.1</x:v>
      </x:c>
      <x:c r="G28" s="92" t="n">
        <x:v>0.22222222</x:v>
      </x:c>
      <x:c r="H28" s="65" t="str">
        <x:v>Jakarta and Indonesian air-quality regulations</x:v>
      </x:c>
      <x:c r="I28" s="65" t="str">
        <x:v>JDIH DKI Jakarta / Government of Indonesia</x:v>
      </x:c>
      <x:c r="J28"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28" s="65" t="str">
        <x:v>https://udara.jakarta.go.id/regulasi</x:v>
      </x:c>
      <x:c r="L28" s="65" t="n">
        <x:v>0</x:v>
      </x:c>
      <x:c r="M28" s="65" t="str">
        <x:v>Machine-suggested near-miss; human review required.</x:v>
      </x:c>
    </x:row>
    <x:row r="29" ht="42" customHeight="1">
      <x:c r="A29" s="65" t="str">
        <x:v>gold30-002</x:v>
      </x:c>
      <x:c r="B29" s="65" t="str">
        <x:v>bm25</x:v>
      </x:c>
      <x:c r="C29" s="88" t="n">
        <x:v>4</x:v>
      </x:c>
      <x:c r="D29" s="65" t="str">
        <x:v>policy-improvements-evidence</x:v>
      </x:c>
      <x:c r="E29" s="65" t="str">
        <x:v>policy-improvements-evidence:structure:2</x:v>
      </x:c>
      <x:c r="F29" s="65" t="str">
        <x:v>p.3</x:v>
      </x:c>
      <x:c r="G29" s="92" t="n">
        <x:v>0.22222222</x:v>
      </x:c>
      <x:c r="H29" s="65" t="str">
        <x:v>Evidence-based policy improvements for Jakarta</x:v>
      </x:c>
      <x:c r="I29" s="65" t="str">
        <x:v>Dinas Lingkungan Hidup DKI Jakarta; World Health Organization</x:v>
      </x:c>
      <x:c r="J29"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29" s="65" t="str">
        <x:v>https://www.jakarta.go.id/siaran-pers/4802-SP-HMS-06-2024</x:v>
      </x:c>
      <x:c r="L29" s="65" t="n">
        <x:v>0</x:v>
      </x:c>
      <x:c r="M29" s="65" t="str">
        <x:v>Machine-suggested near-miss; human review required.</x:v>
      </x:c>
    </x:row>
    <x:row r="30" ht="42" customHeight="1">
      <x:c r="A30" s="65" t="str">
        <x:v>gold30-002</x:v>
      </x:c>
      <x:c r="B30" s="65" t="str">
        <x:v>bm25</x:v>
      </x:c>
      <x:c r="C30" s="88" t="n">
        <x:v>5</x:v>
      </x:c>
      <x:c r="D30" s="65" t="str">
        <x:v>pp-22-2021-air-quality</x:v>
      </x:c>
      <x:c r="E30" s="65" t="str">
        <x:v>pp-22-2021-air-quality:structure:3</x:v>
      </x:c>
      <x:c r="F30" s="65" t="str">
        <x:v>p.4</x:v>
      </x:c>
      <x:c r="G30" s="92" t="n">
        <x:v>0.22222222</x:v>
      </x:c>
      <x:c r="H30" s="65" t="str">
        <x:v>PP No. 22 Tahun 2021 — environmental protection and ambient air quality</x:v>
      </x:c>
      <x:c r="I30" s="65" t="str">
        <x:v>Pemerintah Republik Indonesia / Database Peraturan BPK</x:v>
      </x:c>
      <x:c r="J30" s="65" t="str">
        <x:v>The lampiran is the controlling locator for numeric ambient standards. A response must not substitute an ISPU category for an ambient concentration standard, and must identify the pollutant and averaging time before comparing a measurement.</x:v>
      </x:c>
      <x:c r="K30" s="65" t="str">
        <x:v>https://peraturan.bpk.go.id/Details/161852/pp-no-22tahun-2021</x:v>
      </x:c>
      <x:c r="L30" s="65" t="n">
        <x:v>0</x:v>
      </x:c>
      <x:c r="M30" s="65" t="str">
        <x:v>Machine-suggested near-miss; human review required.</x:v>
      </x:c>
    </x:row>
    <x:row r="31" ht="42" customHeight="1">
      <x:c r="A31" s="65" t="str">
        <x:v>gold30-002</x:v>
      </x:c>
      <x:c r="B31" s="65" t="str">
        <x:v>dense</x:v>
      </x:c>
      <x:c r="C31" s="88" t="n">
        <x:v>1</x:v>
      </x:c>
      <x:c r="D31" s="65" t="str">
        <x:v>jakarta-monitoring</x:v>
      </x:c>
      <x:c r="E31" s="65" t="str">
        <x:v>jakarta-monitoring:structure:0</x:v>
      </x:c>
      <x:c r="F31" s="65" t="str">
        <x:v>p.1</x:v>
      </x:c>
      <x:c r="G31" s="92" t="n">
        <x:v>0.25461911</x:v>
      </x:c>
      <x:c r="H31" s="65" t="str">
        <x:v>Jakarta monitoring stations</x:v>
      </x:c>
      <x:c r="I31" s="65" t="str">
        <x:v>Dinas Lingkungan Hidup Provinsi DKI Jakarta</x:v>
      </x:c>
      <x:c r="J31" s="65" t="str">
        <x:v>Jakarta's official monitoring portal publishes station locations, pollutant parameters, current readings, and timestamps. A station observation describes that station and observation time; it should not automatically be generalized to all of Jakarta.</x:v>
      </x:c>
      <x:c r="K31" s="65" t="str">
        <x:v>https://udara.jakarta.go.id/lokasi-spku</x:v>
      </x:c>
      <x:c r="L31" s="65" t="n">
        <x:v>3</x:v>
      </x:c>
      <x:c r="M31" s="65" t="str">
        <x:v>Expected source for this question.</x:v>
      </x:c>
    </x:row>
    <x:row r="32" ht="42" customHeight="1">
      <x:c r="A32" s="65" t="str">
        <x:v>gold30-002</x:v>
      </x:c>
      <x:c r="B32" s="65" t="str">
        <x:v>dense</x:v>
      </x:c>
      <x:c r="C32" s="88" t="n">
        <x:v>2</x:v>
      </x:c>
      <x:c r="D32" s="65" t="str">
        <x:v>jakarta-seasonal-exposure</x:v>
      </x:c>
      <x:c r="E32" s="65" t="str">
        <x:v>jakarta-seasonal-exposure:structure:0</x:v>
      </x:c>
      <x:c r="F32" s="65" t="str">
        <x:v>p.1</x:v>
      </x:c>
      <x:c r="G32" s="92" t="n">
        <x:v>0.23136802</x:v>
      </x:c>
      <x:c r="H32" s="65" t="str">
        <x:v>Jakarta timing and local exposure context</x:v>
      </x:c>
      <x:c r="I32" s="65" t="str">
        <x:v>Dinas Lingkungan Hidup DKI Jakarta</x:v>
      </x:c>
      <x:c r="J32" s="65" t="str">
        <x:v>Published: 2024-04-06 Status as of: 2026-09-07 (official seasonal notice; not a current forecast) Document type: official_public_guidance Tags: topic=exposure-protection; audience=Jakarta-resident; action=protect-now; pollutant=PM2.5</x:v>
      </x:c>
      <x:c r="K32" s="65" t="str">
        <x:v>https://lingkunganhidup.jakarta.go.id/detail-artikel/masuki-musim-kemarau-pemprov-dki-minta-masyarakat-waspadai-penurunan-kualitas-udara</x:v>
      </x:c>
      <x:c r="L32" s="65" t="n">
        <x:v>0</x:v>
      </x:c>
      <x:c r="M32" s="65" t="str">
        <x:v>Machine-suggested near-miss; human review required.</x:v>
      </x:c>
    </x:row>
    <x:row r="33" ht="42" customHeight="1">
      <x:c r="A33" s="65" t="str">
        <x:v>gold30-002</x:v>
      </x:c>
      <x:c r="B33" s="65" t="str">
        <x:v>dense</x:v>
      </x:c>
      <x:c r="C33" s="88" t="n">
        <x:v>3</x:v>
      </x:c>
      <x:c r="D33" s="65" t="str">
        <x:v>jakarta-improvements</x:v>
      </x:c>
      <x:c r="E33" s="65" t="str">
        <x:v>jakarta-improvements:structure:0</x:v>
      </x:c>
      <x:c r="F33" s="65" t="str">
        <x:v>p.1</x:v>
      </x:c>
      <x:c r="G33" s="92" t="n">
        <x:v>0.19786287</x:v>
      </x:c>
      <x:c r="H33" s="65" t="str">
        <x:v>Ways to improve Jakarta air quality</x:v>
      </x:c>
      <x:c r="I33" s="65" t="str">
        <x:v>Pemerintah Provinsi DKI Jakarta / Dinas Lingkungan Hidup</x:v>
      </x:c>
      <x:c r="J33"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33" s="65" t="str">
        <x:v>https://www.jakarta.go.id/page/upaya-bersama-jaga-kualitas-udara-jakarta</x:v>
      </x:c>
      <x:c r="L33" s="65" t="n">
        <x:v>0</x:v>
      </x:c>
      <x:c r="M33" s="65" t="str">
        <x:v>Machine-suggested near-miss; human review required.</x:v>
      </x:c>
    </x:row>
    <x:row r="34" ht="42" customHeight="1">
      <x:c r="A34" s="65" t="str">
        <x:v>gold30-002</x:v>
      </x:c>
      <x:c r="B34" s="65" t="str">
        <x:v>dense</x:v>
      </x:c>
      <x:c r="C34" s="88" t="n">
        <x:v>4</x:v>
      </x:c>
      <x:c r="D34" s="65" t="str">
        <x:v>jakarta-court-air-quality</x:v>
      </x:c>
      <x:c r="E34" s="65" t="str">
        <x:v>jakarta-court-air-quality:structure:1</x:v>
      </x:c>
      <x:c r="F34" s="65" t="str">
        <x:v>p.2</x:v>
      </x:c>
      <x:c r="G34" s="92" t="n">
        <x:v>0.19545769</x:v>
      </x:c>
      <x:c r="H34" s="65" t="str">
        <x:v>Jakarta air-pollution citizen lawsuit: what the court record establishes</x:v>
      </x:c>
      <x:c r="I34" s="65" t="str">
        <x:v>Mahkamah Agung Republik Indonesia</x:v>
      </x:c>
      <x:c r="J34"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34" s="65" t="str">
        <x:v>https://putusan3.mahkamahagung.go.id/pengadilan/profil/pengadilan/pn-jakarta-pusat.html</x:v>
      </x:c>
      <x:c r="L34" s="65" t="n">
        <x:v>0</x:v>
      </x:c>
      <x:c r="M34" s="65" t="str">
        <x:v>Machine-suggested near-miss; human review required.</x:v>
      </x:c>
    </x:row>
    <x:row r="35" ht="42" customHeight="1">
      <x:c r="A35" s="65" t="str">
        <x:v>gold30-002</x:v>
      </x:c>
      <x:c r="B35" s="65" t="str">
        <x:v>dense</x:v>
      </x:c>
      <x:c r="C35" s="88" t="n">
        <x:v>5</x:v>
      </x:c>
      <x:c r="D35" s="65" t="str">
        <x:v>jakarta-regulations</x:v>
      </x:c>
      <x:c r="E35" s="65" t="str">
        <x:v>jakarta-regulations:structure:0</x:v>
      </x:c>
      <x:c r="F35" s="65" t="str">
        <x:v>p.1</x:v>
      </x:c>
      <x:c r="G35" s="92" t="n">
        <x:v>0.17982855</x:v>
      </x:c>
      <x:c r="H35" s="65" t="str">
        <x:v>Jakarta and Indonesian air-quality regulations</x:v>
      </x:c>
      <x:c r="I35" s="65" t="str">
        <x:v>JDIH DKI Jakarta / Government of Indonesia</x:v>
      </x:c>
      <x:c r="J35"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35" s="65" t="str">
        <x:v>https://udara.jakarta.go.id/regulasi</x:v>
      </x:c>
      <x:c r="L35" s="65" t="n">
        <x:v>0</x:v>
      </x:c>
      <x:c r="M35" s="65" t="str">
        <x:v>Machine-suggested near-miss; human review required.</x:v>
      </x:c>
    </x:row>
    <x:row r="36" ht="42" customHeight="1">
      <x:c r="A36" s="65" t="str">
        <x:v>gold30-002</x:v>
      </x:c>
      <x:c r="B36" s="65" t="str">
        <x:v>hybrid</x:v>
      </x:c>
      <x:c r="C36" s="88" t="n">
        <x:v>1</x:v>
      </x:c>
      <x:c r="D36" s="65" t="str">
        <x:v>jakarta-regulations</x:v>
      </x:c>
      <x:c r="E36" s="65" t="str">
        <x:v>jakarta-regulations:structure:0</x:v>
      </x:c>
      <x:c r="F36" s="65" t="str">
        <x:v>p.1</x:v>
      </x:c>
      <x:c r="G36" s="92" t="n">
        <x:v>0.03156532</x:v>
      </x:c>
      <x:c r="H36" s="65" t="str">
        <x:v>Jakarta and Indonesian air-quality regulations</x:v>
      </x:c>
      <x:c r="I36" s="65" t="str">
        <x:v>JDIH DKI Jakarta / Government of Indonesia</x:v>
      </x:c>
      <x:c r="J36"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36" s="65" t="str">
        <x:v>https://udara.jakarta.go.id/regulasi</x:v>
      </x:c>
      <x:c r="L36" s="65" t="n">
        <x:v>0</x:v>
      </x:c>
      <x:c r="M36" s="65" t="str">
        <x:v>Machine-suggested near-miss; human review required.</x:v>
      </x:c>
    </x:row>
    <x:row r="37" ht="42" customHeight="1">
      <x:c r="A37" s="65" t="str">
        <x:v>gold30-002</x:v>
      </x:c>
      <x:c r="B37" s="65" t="str">
        <x:v>hybrid</x:v>
      </x:c>
      <x:c r="C37" s="88" t="n">
        <x:v>2</x:v>
      </x:c>
      <x:c r="D37" s="65" t="str">
        <x:v>jakarta-policy-implementation</x:v>
      </x:c>
      <x:c r="E37" s="65" t="str">
        <x:v>jakarta-policy-implementation:structure:0</x:v>
      </x:c>
      <x:c r="F37" s="65" t="str">
        <x:v>p.1</x:v>
      </x:c>
      <x:c r="G37" s="92" t="n">
        <x:v>0.03112903</x:v>
      </x:c>
      <x:c r="H37" s="65" t="str">
        <x:v>Why rules can coexist with poor air: implementation evidence</x:v>
      </x:c>
      <x:c r="I37" s="65" t="str">
        <x:v>Pemerintah Provinsi DKI Jakarta; Dinas Lingkungan Hidup DKI Jakarta; Mahkamah Agung</x:v>
      </x:c>
      <x:c r="J37" s="65" t="str">
        <x:v>Published: 2024-06-19; court record dated 2021-09-16 Status as of: 2026-09-07 (status is date-bounded; verify later changes in JDIH) Document type: implementation_evidence Tags: topic=regulation-implementation; audience=Jakarta-resident; action=accountability; status=implementat…</x:v>
      </x:c>
      <x:c r="K37" s="65" t="str">
        <x:v>https://www.jakarta.go.id/siaran-pers/4802-SP-HMS-06-2024</x:v>
      </x:c>
      <x:c r="L37" s="65" t="n">
        <x:v>0</x:v>
      </x:c>
      <x:c r="M37" s="65" t="str">
        <x:v>Machine-suggested near-miss; human review required.</x:v>
      </x:c>
    </x:row>
    <x:row r="38" ht="42" customHeight="1">
      <x:c r="A38" s="65" t="str">
        <x:v>gold30-002</x:v>
      </x:c>
      <x:c r="B38" s="65" t="str">
        <x:v>hybrid</x:v>
      </x:c>
      <x:c r="C38" s="88" t="n">
        <x:v>3</x:v>
      </x:c>
      <x:c r="D38" s="65" t="str">
        <x:v>jakarta-monitoring</x:v>
      </x:c>
      <x:c r="E38" s="65" t="str">
        <x:v>jakarta-monitoring:structure:0</x:v>
      </x:c>
      <x:c r="F38" s="65" t="str">
        <x:v>p.1</x:v>
      </x:c>
      <x:c r="G38" s="92" t="n">
        <x:v>0.01672131</x:v>
      </x:c>
      <x:c r="H38" s="65" t="str">
        <x:v>Jakarta monitoring stations</x:v>
      </x:c>
      <x:c r="I38" s="65" t="str">
        <x:v>Dinas Lingkungan Hidup Provinsi DKI Jakarta</x:v>
      </x:c>
      <x:c r="J38" s="65" t="str">
        <x:v>Jakarta's official monitoring portal publishes station locations, pollutant parameters, current readings, and timestamps. A station observation describes that station and observation time; it should not automatically be generalized to all of Jakarta.</x:v>
      </x:c>
      <x:c r="K38" s="65" t="str">
        <x:v>https://udara.jakarta.go.id/lokasi-spku</x:v>
      </x:c>
      <x:c r="L38" s="65" t="n">
        <x:v>3</x:v>
      </x:c>
      <x:c r="M38" s="65" t="str">
        <x:v>Expected source for this question.</x:v>
      </x:c>
    </x:row>
    <x:row r="39" ht="42" customHeight="1">
      <x:c r="A39" s="65" t="str">
        <x:v>gold30-002</x:v>
      </x:c>
      <x:c r="B39" s="65" t="str">
        <x:v>hybrid</x:v>
      </x:c>
      <x:c r="C39" s="88" t="n">
        <x:v>4</x:v>
      </x:c>
      <x:c r="D39" s="65" t="str">
        <x:v>jakarta-seasonal-exposure</x:v>
      </x:c>
      <x:c r="E39" s="65" t="str">
        <x:v>jakarta-seasonal-exposure:structure:0</x:v>
      </x:c>
      <x:c r="F39" s="65" t="str">
        <x:v>p.1</x:v>
      </x:c>
      <x:c r="G39" s="92" t="n">
        <x:v>0.01645161</x:v>
      </x:c>
      <x:c r="H39" s="65" t="str">
        <x:v>Jakarta timing and local exposure context</x:v>
      </x:c>
      <x:c r="I39" s="65" t="str">
        <x:v>Dinas Lingkungan Hidup DKI Jakarta</x:v>
      </x:c>
      <x:c r="J39" s="65" t="str">
        <x:v>Published: 2024-04-06 Status as of: 2026-09-07 (official seasonal notice; not a current forecast) Document type: official_public_guidance Tags: topic=exposure-protection; audience=Jakarta-resident; action=protect-now; pollutant=PM2.5</x:v>
      </x:c>
      <x:c r="K39" s="65" t="str">
        <x:v>https://lingkunganhidup.jakarta.go.id/detail-artikel/masuki-musim-kemarau-pemprov-dki-minta-masyarakat-waspadai-penurunan-kualitas-udara</x:v>
      </x:c>
      <x:c r="L39" s="65" t="n">
        <x:v>0</x:v>
      </x:c>
      <x:c r="M39" s="65" t="str">
        <x:v>Machine-suggested near-miss; human review required.</x:v>
      </x:c>
    </x:row>
    <x:row r="40" ht="42" customHeight="1">
      <x:c r="A40" s="65" t="str">
        <x:v>gold30-002</x:v>
      </x:c>
      <x:c r="B40" s="65" t="str">
        <x:v>hybrid</x:v>
      </x:c>
      <x:c r="C40" s="88" t="n">
        <x:v>5</x:v>
      </x:c>
      <x:c r="D40" s="65" t="str">
        <x:v>jakarta-historical-city-series</x:v>
      </x:c>
      <x:c r="E40" s="65" t="str">
        <x:v>jakarta-historical-city-series:structure:1</x:v>
      </x:c>
      <x:c r="F40" s="65" t="str">
        <x:v>p.2</x:v>
      </x:c>
      <x:c r="G40" s="92" t="n">
        <x:v>0.01639344</x:v>
      </x:c>
      <x:c r="H40" s="65" t="str">
        <x:v>Jakarta historical PM2.5 and PM10 series: provenance and quality</x:v>
      </x:c>
      <x:c r="I40" s="65" t="str">
        <x:v>Open-Meteo / CAMS Global; deposited dataset by Nitiraj Kulkarni and Jagadish Tawade</x:v>
      </x:c>
      <x:c r="J40"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40" s="65" t="str">
        <x:v>https://zenodo.org/records/18673885</x:v>
      </x:c>
      <x:c r="L40" s="65" t="n">
        <x:v>0</x:v>
      </x:c>
      <x:c r="M40" s="65" t="str">
        <x:v>Machine-suggested near-miss; human review required.</x:v>
      </x:c>
    </x:row>
    <x:row r="41" ht="42" customHeight="1">
      <x:c r="A41" s="65" t="str">
        <x:v>gold30-002</x:v>
      </x:c>
      <x:c r="B41" s="65" t="str">
        <x:v>hybrid_rerank</x:v>
      </x:c>
      <x:c r="C41" s="88" t="n">
        <x:v>1</x:v>
      </x:c>
      <x:c r="D41" s="65" t="str">
        <x:v>jakarta-regulations</x:v>
      </x:c>
      <x:c r="E41" s="65" t="str">
        <x:v>jakarta-regulations:structure:0</x:v>
      </x:c>
      <x:c r="F41" s="65" t="str">
        <x:v>p.1</x:v>
      </x:c>
      <x:c r="G41" s="92" t="n">
        <x:v>0.16502515</x:v>
      </x:c>
      <x:c r="H41" s="65" t="str">
        <x:v>Jakarta and Indonesian air-quality regulations</x:v>
      </x:c>
      <x:c r="I41" s="65" t="str">
        <x:v>JDIH DKI Jakarta / Government of Indonesia</x:v>
      </x:c>
      <x:c r="J41"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41" s="65" t="str">
        <x:v>https://udara.jakarta.go.id/regulasi</x:v>
      </x:c>
      <x:c r="L41" s="65" t="n">
        <x:v>0</x:v>
      </x:c>
      <x:c r="M41" s="65" t="str">
        <x:v>Machine-suggested near-miss; human review required.</x:v>
      </x:c>
    </x:row>
    <x:row r="42" ht="42" customHeight="1">
      <x:c r="A42" s="65" t="str">
        <x:v>gold30-002</x:v>
      </x:c>
      <x:c r="B42" s="65" t="str">
        <x:v>hybrid_rerank</x:v>
      </x:c>
      <x:c r="C42" s="88" t="n">
        <x:v>2</x:v>
      </x:c>
      <x:c r="D42" s="65" t="str">
        <x:v>jakarta-policy-implementation</x:v>
      </x:c>
      <x:c r="E42" s="65" t="str">
        <x:v>jakarta-policy-implementation:structure:0</x:v>
      </x:c>
      <x:c r="F42" s="65" t="str">
        <x:v>p.1</x:v>
      </x:c>
      <x:c r="G42" s="92" t="n">
        <x:v>0.16489427</x:v>
      </x:c>
      <x:c r="H42" s="65" t="str">
        <x:v>Why rules can coexist with poor air: implementation evidence</x:v>
      </x:c>
      <x:c r="I42" s="65" t="str">
        <x:v>Pemerintah Provinsi DKI Jakarta; Dinas Lingkungan Hidup DKI Jakarta; Mahkamah Agung</x:v>
      </x:c>
      <x:c r="J42" s="65" t="str">
        <x:v>Published: 2024-06-19; court record dated 2021-09-16 Status as of: 2026-09-07 (status is date-bounded; verify later changes in JDIH) Document type: implementation_evidence Tags: topic=regulation-implementation; audience=Jakarta-resident; action=accountability; status=implementat…</x:v>
      </x:c>
      <x:c r="K42" s="65" t="str">
        <x:v>https://www.jakarta.go.id/siaran-pers/4802-SP-HMS-06-2024</x:v>
      </x:c>
      <x:c r="L42" s="65" t="n">
        <x:v>0</x:v>
      </x:c>
      <x:c r="M42" s="65" t="str">
        <x:v>Machine-suggested near-miss; human review required.</x:v>
      </x:c>
    </x:row>
    <x:row r="43" ht="42" customHeight="1">
      <x:c r="A43" s="65" t="str">
        <x:v>gold30-002</x:v>
      </x:c>
      <x:c r="B43" s="65" t="str">
        <x:v>hybrid_rerank</x:v>
      </x:c>
      <x:c r="C43" s="88" t="n">
        <x:v>3</x:v>
      </x:c>
      <x:c r="D43" s="65" t="str">
        <x:v>jakarta-historical-city-series</x:v>
      </x:c>
      <x:c r="E43" s="65" t="str">
        <x:v>jakarta-historical-city-series:structure:1</x:v>
      </x:c>
      <x:c r="F43" s="65" t="str">
        <x:v>p.2</x:v>
      </x:c>
      <x:c r="G43" s="92" t="n">
        <x:v>0.16047359</x:v>
      </x:c>
      <x:c r="H43" s="65" t="str">
        <x:v>Jakarta historical PM2.5 and PM10 series: provenance and quality</x:v>
      </x:c>
      <x:c r="I43" s="65" t="str">
        <x:v>Open-Meteo / CAMS Global; deposited dataset by Nitiraj Kulkarni and Jagadish Tawade</x:v>
      </x:c>
      <x:c r="J43"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43" s="65" t="str">
        <x:v>https://zenodo.org/records/18673885</x:v>
      </x:c>
      <x:c r="L43" s="65" t="n">
        <x:v>0</x:v>
      </x:c>
      <x:c r="M43" s="65" t="str">
        <x:v>Machine-suggested near-miss; human review required.</x:v>
      </x:c>
    </x:row>
    <x:row r="44" ht="42" customHeight="1">
      <x:c r="A44" s="65" t="str">
        <x:v>gold30-002</x:v>
      </x:c>
      <x:c r="B44" s="65" t="str">
        <x:v>hybrid_rerank</x:v>
      </x:c>
      <x:c r="C44" s="88" t="n">
        <x:v>4</x:v>
      </x:c>
      <x:c r="D44" s="65" t="str">
        <x:v>policy-improvements-evidence</x:v>
      </x:c>
      <x:c r="E44" s="65" t="str">
        <x:v>policy-improvements-evidence:structure:2</x:v>
      </x:c>
      <x:c r="F44" s="65" t="str">
        <x:v>p.3</x:v>
      </x:c>
      <x:c r="G44" s="92" t="n">
        <x:v>0.16024306</x:v>
      </x:c>
      <x:c r="H44" s="65" t="str">
        <x:v>Evidence-based policy improvements for Jakarta</x:v>
      </x:c>
      <x:c r="I44" s="65" t="str">
        <x:v>Dinas Lingkungan Hidup DKI Jakarta; World Health Organization</x:v>
      </x:c>
      <x:c r="J44"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44" s="65" t="str">
        <x:v>https://www.jakarta.go.id/siaran-pers/4802-SP-HMS-06-2024</x:v>
      </x:c>
      <x:c r="L44" s="65" t="n">
        <x:v>0</x:v>
      </x:c>
      <x:c r="M44" s="65" t="str">
        <x:v>Machine-suggested near-miss; human review required.</x:v>
      </x:c>
    </x:row>
    <x:row r="45" ht="42" customHeight="1">
      <x:c r="A45" s="65" t="str">
        <x:v>gold30-002</x:v>
      </x:c>
      <x:c r="B45" s="65" t="str">
        <x:v>hybrid_rerank</x:v>
      </x:c>
      <x:c r="C45" s="88" t="n">
        <x:v>5</x:v>
      </x:c>
      <x:c r="D45" s="65" t="str">
        <x:v>pp-22-2021-air-quality</x:v>
      </x:c>
      <x:c r="E45" s="65" t="str">
        <x:v>pp-22-2021-air-quality:structure:3</x:v>
      </x:c>
      <x:c r="F45" s="65" t="str">
        <x:v>p.4</x:v>
      </x:c>
      <x:c r="G45" s="92" t="n">
        <x:v>0.16017094</x:v>
      </x:c>
      <x:c r="H45" s="65" t="str">
        <x:v>PP No. 22 Tahun 2021 — environmental protection and ambient air quality</x:v>
      </x:c>
      <x:c r="I45" s="65" t="str">
        <x:v>Pemerintah Republik Indonesia / Database Peraturan BPK</x:v>
      </x:c>
      <x:c r="J45" s="65" t="str">
        <x:v>The lampiran is the controlling locator for numeric ambient standards. A response must not substitute an ISPU category for an ambient concentration standard, and must identify the pollutant and averaging time before comparing a measurement.</x:v>
      </x:c>
      <x:c r="K45" s="65" t="str">
        <x:v>https://peraturan.bpk.go.id/Details/161852/pp-no-22tahun-2021</x:v>
      </x:c>
      <x:c r="L45" s="65" t="n">
        <x:v>0</x:v>
      </x:c>
      <x:c r="M45" s="65" t="str">
        <x:v>Machine-suggested near-miss; human review required.</x:v>
      </x:c>
    </x:row>
    <x:row r="46" ht="42" customHeight="1">
      <x:c r="A46" s="65" t="str">
        <x:v>gold30-003</x:v>
      </x:c>
      <x:c r="B46" s="65" t="str">
        <x:v>bm25</x:v>
      </x:c>
      <x:c r="C46" s="88" t="n">
        <x:v>1</x:v>
      </x:c>
      <x:c r="D46" s="65" t="str">
        <x:v>jakarta-historical-city-series</x:v>
      </x:c>
      <x:c r="E46" s="65" t="str">
        <x:v>jakarta-historical-city-series:structure:1</x:v>
      </x:c>
      <x:c r="F46" s="65" t="str">
        <x:v>p.2</x:v>
      </x:c>
      <x:c r="G46" s="92" t="n">
        <x:v>0.5</x:v>
      </x:c>
      <x:c r="H46" s="65" t="str">
        <x:v>Jakarta historical PM2.5 and PM10 series: provenance and quality</x:v>
      </x:c>
      <x:c r="I46" s="65" t="str">
        <x:v>Open-Meteo / CAMS Global; deposited dataset by Nitiraj Kulkarni and Jagadish Tawade</x:v>
      </x:c>
      <x:c r="J46"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46" s="65" t="str">
        <x:v>https://zenodo.org/records/18673885</x:v>
      </x:c>
      <x:c r="L46" s="65" t="n">
        <x:v>0</x:v>
      </x:c>
      <x:c r="M46" s="65" t="str">
        <x:v>Machine-suggested near-miss; human review required.</x:v>
      </x:c>
    </x:row>
    <x:row r="47" ht="42" customHeight="1">
      <x:c r="A47" s="65" t="str">
        <x:v>gold30-003</x:v>
      </x:c>
      <x:c r="B47" s="65" t="str">
        <x:v>bm25</x:v>
      </x:c>
      <x:c r="C47" s="88" t="n">
        <x:v>2</x:v>
      </x:c>
      <x:c r="D47" s="65" t="str">
        <x:v>ispu</x:v>
      </x:c>
      <x:c r="E47" s="65" t="str">
        <x:v>ispu:structure:0</x:v>
      </x:c>
      <x:c r="F47" s="65" t="str">
        <x:v>p.1</x:v>
      </x:c>
      <x:c r="G47" s="92" t="n">
        <x:v>0.33333333</x:v>
      </x:c>
      <x:c r="H47" s="65" t="str">
        <x:v>Indonesian ISPU categories</x:v>
      </x:c>
      <x:c r="I47" s="65" t="str">
        <x:v>Ministry of Environment and Forestry</x:v>
      </x:c>
      <x:c r="J47" s="65" t="str">
        <x:v>The Indonesian ISPU categories used in this demo are Baik (1-50), Sedang (51-100), Tidak Sehat (101-200), Sangat Tidak Sehat (201-300), and Berbahaya (301 or higher). ISPU is an index without a physical concentration unit.</x:v>
      </x:c>
      <x:c r="K47" s="65" t="str">
        <x:v>https://peraturan.bpk.go.id/Details/163466/permen-lhk-no-14-tahun-2020</x:v>
      </x:c>
      <x:c r="L47" s="65" t="n">
        <x:v>3</x:v>
      </x:c>
      <x:c r="M47" s="65" t="str">
        <x:v>Expected source for this question.</x:v>
      </x:c>
    </x:row>
    <x:row r="48" ht="42" customHeight="1">
      <x:c r="A48" s="65" t="str">
        <x:v>gold30-003</x:v>
      </x:c>
      <x:c r="B48" s="65" t="str">
        <x:v>bm25</x:v>
      </x:c>
      <x:c r="C48" s="88" t="n">
        <x:v>3</x:v>
      </x:c>
      <x:c r="D48" s="65" t="str">
        <x:v>policy-improvements-evidence</x:v>
      </x:c>
      <x:c r="E48" s="65" t="str">
        <x:v>policy-improvements-evidence:structure:2</x:v>
      </x:c>
      <x:c r="F48" s="65" t="str">
        <x:v>p.3</x:v>
      </x:c>
      <x:c r="G48" s="92" t="n">
        <x:v>0.33333333</x:v>
      </x:c>
      <x:c r="H48" s="65" t="str">
        <x:v>Evidence-based policy improvements for Jakarta</x:v>
      </x:c>
      <x:c r="I48" s="65" t="str">
        <x:v>Dinas Lingkungan Hidup DKI Jakarta; World Health Organization</x:v>
      </x:c>
      <x:c r="J48"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48" s="65" t="str">
        <x:v>https://www.jakarta.go.id/siaran-pers/4802-SP-HMS-06-2024</x:v>
      </x:c>
      <x:c r="L48" s="65" t="n">
        <x:v>0</x:v>
      </x:c>
      <x:c r="M48" s="65" t="str">
        <x:v>Machine-suggested near-miss; human review required.</x:v>
      </x:c>
    </x:row>
    <x:row r="49" ht="42" customHeight="1">
      <x:c r="A49" s="65" t="str">
        <x:v>gold30-003</x:v>
      </x:c>
      <x:c r="B49" s="65" t="str">
        <x:v>bm25</x:v>
      </x:c>
      <x:c r="C49" s="88" t="n">
        <x:v>4</x:v>
      </x:c>
      <x:c r="D49" s="65" t="str">
        <x:v>pp-22-2021-air-quality</x:v>
      </x:c>
      <x:c r="E49" s="65" t="str">
        <x:v>pp-22-2021-air-quality:structure:3</x:v>
      </x:c>
      <x:c r="F49" s="65" t="str">
        <x:v>p.4</x:v>
      </x:c>
      <x:c r="G49" s="92" t="n">
        <x:v>0.33333333</x:v>
      </x:c>
      <x:c r="H49" s="65" t="str">
        <x:v>PP No. 22 Tahun 2021 — environmental protection and ambient air quality</x:v>
      </x:c>
      <x:c r="I49" s="65" t="str">
        <x:v>Pemerintah Republik Indonesia / Database Peraturan BPK</x:v>
      </x:c>
      <x:c r="J49" s="65" t="str">
        <x:v>The lampiran is the controlling locator for numeric ambient standards. A response must not substitute an ISPU category for an ambient concentration standard, and must identify the pollutant and averaging time before comparing a measurement.</x:v>
      </x:c>
      <x:c r="K49" s="65" t="str">
        <x:v>https://peraturan.bpk.go.id/Details/161852/pp-no-22tahun-2021</x:v>
      </x:c>
      <x:c r="L49" s="65" t="n">
        <x:v>0</x:v>
      </x:c>
      <x:c r="M49" s="65" t="str">
        <x:v>Machine-suggested near-miss; human review required.</x:v>
      </x:c>
    </x:row>
    <x:row r="50" ht="42" customHeight="1">
      <x:c r="A50" s="65" t="str">
        <x:v>gold30-003</x:v>
      </x:c>
      <x:c r="B50" s="65" t="str">
        <x:v>bm25</x:v>
      </x:c>
      <x:c r="C50" s="88" t="n">
        <x:v>5</x:v>
      </x:c>
      <x:c r="D50" s="65" t="str">
        <x:v>jakarta-policy-implementation</x:v>
      </x:c>
      <x:c r="E50" s="65" t="str">
        <x:v>jakarta-policy-implementation:structure:1</x:v>
      </x:c>
      <x:c r="F50" s="65" t="str">
        <x:v>p.2</x:v>
      </x:c>
      <x:c r="G50" s="92" t="n">
        <x:v>0.16666667</x:v>
      </x:c>
      <x:c r="H50" s="65" t="str">
        <x:v>Why rules can coexist with poor air: implementation evidence</x:v>
      </x:c>
      <x:c r="I50" s="65" t="str">
        <x:v>Pemerintah Provinsi DKI Jakarta; Dinas Lingkungan Hidup DKI Jakarta; Mahkamah Agung</x:v>
      </x:c>
      <x:c r="J50"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50" s="65" t="str">
        <x:v>https://www.jakarta.go.id/siaran-pers/4802-SP-HMS-06-2024</x:v>
      </x:c>
      <x:c r="L50" s="65" t="n">
        <x:v>0</x:v>
      </x:c>
      <x:c r="M50" s="65" t="str">
        <x:v>Machine-suggested near-miss; human review required.</x:v>
      </x:c>
    </x:row>
    <x:row r="51" ht="42" customHeight="1">
      <x:c r="A51" s="65" t="str">
        <x:v>gold30-003</x:v>
      </x:c>
      <x:c r="B51" s="65" t="str">
        <x:v>dense</x:v>
      </x:c>
      <x:c r="C51" s="88" t="n">
        <x:v>1</x:v>
      </x:c>
      <x:c r="D51" s="65" t="str">
        <x:v>ispu</x:v>
      </x:c>
      <x:c r="E51" s="65" t="str">
        <x:v>ispu:structure:0</x:v>
      </x:c>
      <x:c r="F51" s="65" t="str">
        <x:v>p.1</x:v>
      </x:c>
      <x:c r="G51" s="92" t="n">
        <x:v>0.3548745</x:v>
      </x:c>
      <x:c r="H51" s="65" t="str">
        <x:v>Indonesian ISPU categories</x:v>
      </x:c>
      <x:c r="I51" s="65" t="str">
        <x:v>Ministry of Environment and Forestry</x:v>
      </x:c>
      <x:c r="J51" s="65" t="str">
        <x:v>The Indonesian ISPU categories used in this demo are Baik (1-50), Sedang (51-100), Tidak Sehat (101-200), Sangat Tidak Sehat (201-300), and Berbahaya (301 or higher). ISPU is an index without a physical concentration unit.</x:v>
      </x:c>
      <x:c r="K51" s="65" t="str">
        <x:v>https://peraturan.bpk.go.id/Details/163466/permen-lhk-no-14-tahun-2020</x:v>
      </x:c>
      <x:c r="L51" s="65" t="n">
        <x:v>3</x:v>
      </x:c>
      <x:c r="M51" s="65" t="str">
        <x:v>Expected source for this question.</x:v>
      </x:c>
    </x:row>
    <x:row r="52" ht="42" customHeight="1">
      <x:c r="A52" s="65" t="str">
        <x:v>gold30-003</x:v>
      </x:c>
      <x:c r="B52" s="65" t="str">
        <x:v>dense</x:v>
      </x:c>
      <x:c r="C52" s="88" t="n">
        <x:v>2</x:v>
      </x:c>
      <x:c r="D52" s="65" t="str">
        <x:v>jakarta-historical-city-series</x:v>
      </x:c>
      <x:c r="E52" s="65" t="str">
        <x:v>jakarta-historical-city-series:structure:1</x:v>
      </x:c>
      <x:c r="F52" s="65" t="str">
        <x:v>p.2</x:v>
      </x:c>
      <x:c r="G52" s="92" t="n">
        <x:v>0.25921744</x:v>
      </x:c>
      <x:c r="H52" s="65" t="str">
        <x:v>Jakarta historical PM2.5 and PM10 series: provenance and quality</x:v>
      </x:c>
      <x:c r="I52" s="65" t="str">
        <x:v>Open-Meteo / CAMS Global; deposited dataset by Nitiraj Kulkarni and Jagadish Tawade</x:v>
      </x:c>
      <x:c r="J52"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52" s="65" t="str">
        <x:v>https://zenodo.org/records/18673885</x:v>
      </x:c>
      <x:c r="L52" s="65" t="n">
        <x:v>0</x:v>
      </x:c>
      <x:c r="M52" s="65" t="str">
        <x:v>Machine-suggested near-miss; human review required.</x:v>
      </x:c>
    </x:row>
    <x:row r="53" ht="42" customHeight="1">
      <x:c r="A53" s="65" t="str">
        <x:v>gold30-003</x:v>
      </x:c>
      <x:c r="B53" s="65" t="str">
        <x:v>dense</x:v>
      </x:c>
      <x:c r="C53" s="88" t="n">
        <x:v>3</x:v>
      </x:c>
      <x:c r="D53" s="65" t="str">
        <x:v>policy-improvements-evidence</x:v>
      </x:c>
      <x:c r="E53" s="65" t="str">
        <x:v>policy-improvements-evidence:structure:2</x:v>
      </x:c>
      <x:c r="F53" s="65" t="str">
        <x:v>p.3</x:v>
      </x:c>
      <x:c r="G53" s="92" t="n">
        <x:v>0.25445507</x:v>
      </x:c>
      <x:c r="H53" s="65" t="str">
        <x:v>Evidence-based policy improvements for Jakarta</x:v>
      </x:c>
      <x:c r="I53" s="65" t="str">
        <x:v>Dinas Lingkungan Hidup DKI Jakarta; World Health Organization</x:v>
      </x:c>
      <x:c r="J53"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53" s="65" t="str">
        <x:v>https://www.jakarta.go.id/siaran-pers/4802-SP-HMS-06-2024</x:v>
      </x:c>
      <x:c r="L53" s="65" t="n">
        <x:v>0</x:v>
      </x:c>
      <x:c r="M53" s="65" t="str">
        <x:v>Machine-suggested near-miss; human review required.</x:v>
      </x:c>
    </x:row>
    <x:row r="54" ht="42" customHeight="1">
      <x:c r="A54" s="65" t="str">
        <x:v>gold30-003</x:v>
      </x:c>
      <x:c r="B54" s="65" t="str">
        <x:v>dense</x:v>
      </x:c>
      <x:c r="C54" s="88" t="n">
        <x:v>4</x:v>
      </x:c>
      <x:c r="D54" s="65" t="str">
        <x:v>jakarta-policy-implementation</x:v>
      </x:c>
      <x:c r="E54" s="65" t="str">
        <x:v>jakarta-policy-implementation:structure:1</x:v>
      </x:c>
      <x:c r="F54" s="65" t="str">
        <x:v>p.2</x:v>
      </x:c>
      <x:c r="G54" s="92" t="n">
        <x:v>0.24988863</x:v>
      </x:c>
      <x:c r="H54" s="65" t="str">
        <x:v>Why rules can coexist with poor air: implementation evidence</x:v>
      </x:c>
      <x:c r="I54" s="65" t="str">
        <x:v>Pemerintah Provinsi DKI Jakarta; Dinas Lingkungan Hidup DKI Jakarta; Mahkamah Agung</x:v>
      </x:c>
      <x:c r="J54"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54" s="65" t="str">
        <x:v>https://www.jakarta.go.id/siaran-pers/4802-SP-HMS-06-2024</x:v>
      </x:c>
      <x:c r="L54" s="65" t="n">
        <x:v>0</x:v>
      </x:c>
      <x:c r="M54" s="65" t="str">
        <x:v>Machine-suggested near-miss; human review required.</x:v>
      </x:c>
    </x:row>
    <x:row r="55" ht="42" customHeight="1">
      <x:c r="A55" s="65" t="str">
        <x:v>gold30-003</x:v>
      </x:c>
      <x:c r="B55" s="65" t="str">
        <x:v>dense</x:v>
      </x:c>
      <x:c r="C55" s="88" t="n">
        <x:v>5</x:v>
      </x:c>
      <x:c r="D55" s="65" t="str">
        <x:v>pp-22-2021-air-quality</x:v>
      </x:c>
      <x:c r="E55" s="65" t="str">
        <x:v>pp-22-2021-air-quality:structure:3</x:v>
      </x:c>
      <x:c r="F55" s="65" t="str">
        <x:v>p.4</x:v>
      </x:c>
      <x:c r="G55" s="92" t="n">
        <x:v>0.24897005</x:v>
      </x:c>
      <x:c r="H55" s="65" t="str">
        <x:v>PP No. 22 Tahun 2021 — environmental protection and ambient air quality</x:v>
      </x:c>
      <x:c r="I55" s="65" t="str">
        <x:v>Pemerintah Republik Indonesia / Database Peraturan BPK</x:v>
      </x:c>
      <x:c r="J55" s="65" t="str">
        <x:v>The lampiran is the controlling locator for numeric ambient standards. A response must not substitute an ISPU category for an ambient concentration standard, and must identify the pollutant and averaging time before comparing a measurement.</x:v>
      </x:c>
      <x:c r="K55" s="65" t="str">
        <x:v>https://peraturan.bpk.go.id/Details/161852/pp-no-22tahun-2021</x:v>
      </x:c>
      <x:c r="L55" s="65" t="n">
        <x:v>0</x:v>
      </x:c>
      <x:c r="M55" s="65" t="str">
        <x:v>Machine-suggested near-miss; human review required.</x:v>
      </x:c>
    </x:row>
    <x:row r="56" ht="42" customHeight="1">
      <x:c r="A56" s="65" t="str">
        <x:v>gold30-003</x:v>
      </x:c>
      <x:c r="B56" s="65" t="str">
        <x:v>hybrid</x:v>
      </x:c>
      <x:c r="C56" s="88" t="n">
        <x:v>1</x:v>
      </x:c>
      <x:c r="D56" s="65" t="str">
        <x:v>ispu</x:v>
      </x:c>
      <x:c r="E56" s="65" t="str">
        <x:v>ispu:structure:0</x:v>
      </x:c>
      <x:c r="F56" s="65" t="str">
        <x:v>p.1</x:v>
      </x:c>
      <x:c r="G56" s="92" t="n">
        <x:v>0.03285034</x:v>
      </x:c>
      <x:c r="H56" s="65" t="str">
        <x:v>Indonesian ISPU categories</x:v>
      </x:c>
      <x:c r="I56" s="65" t="str">
        <x:v>Ministry of Environment and Forestry</x:v>
      </x:c>
      <x:c r="J56" s="65" t="str">
        <x:v>The Indonesian ISPU categories used in this demo are Baik (1-50), Sedang (51-100), Tidak Sehat (101-200), Sangat Tidak Sehat (201-300), and Berbahaya (301 or higher). ISPU is an index without a physical concentration unit.</x:v>
      </x:c>
      <x:c r="K56" s="65" t="str">
        <x:v>https://peraturan.bpk.go.id/Details/163466/permen-lhk-no-14-tahun-2020</x:v>
      </x:c>
      <x:c r="L56" s="65" t="n">
        <x:v>3</x:v>
      </x:c>
      <x:c r="M56" s="65" t="str">
        <x:v>Expected source for this question.</x:v>
      </x:c>
    </x:row>
    <x:row r="57" ht="42" customHeight="1">
      <x:c r="A57" s="65" t="str">
        <x:v>gold30-003</x:v>
      </x:c>
      <x:c r="B57" s="65" t="str">
        <x:v>hybrid</x:v>
      </x:c>
      <x:c r="C57" s="88" t="n">
        <x:v>2</x:v>
      </x:c>
      <x:c r="D57" s="65" t="str">
        <x:v>jakarta-historical-city-series</x:v>
      </x:c>
      <x:c r="E57" s="65" t="str">
        <x:v>jakarta-historical-city-series:structure:1</x:v>
      </x:c>
      <x:c r="F57" s="65" t="str">
        <x:v>p.2</x:v>
      </x:c>
      <x:c r="G57" s="92" t="n">
        <x:v>0.03284506</x:v>
      </x:c>
      <x:c r="H57" s="65" t="str">
        <x:v>Jakarta historical PM2.5 and PM10 series: provenance and quality</x:v>
      </x:c>
      <x:c r="I57" s="65" t="str">
        <x:v>Open-Meteo / CAMS Global; deposited dataset by Nitiraj Kulkarni and Jagadish Tawade</x:v>
      </x:c>
      <x:c r="J57"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57" s="65" t="str">
        <x:v>https://zenodo.org/records/18673885</x:v>
      </x:c>
      <x:c r="L57" s="65" t="n">
        <x:v>0</x:v>
      </x:c>
      <x:c r="M57" s="65" t="str">
        <x:v>Machine-suggested near-miss; human review required.</x:v>
      </x:c>
    </x:row>
    <x:row r="58" ht="42" customHeight="1">
      <x:c r="A58" s="65" t="str">
        <x:v>gold30-003</x:v>
      </x:c>
      <x:c r="B58" s="65" t="str">
        <x:v>hybrid</x:v>
      </x:c>
      <x:c r="C58" s="88" t="n">
        <x:v>3</x:v>
      </x:c>
      <x:c r="D58" s="65" t="str">
        <x:v>policy-improvements-evidence</x:v>
      </x:c>
      <x:c r="E58" s="65" t="str">
        <x:v>policy-improvements-evidence:structure:2</x:v>
      </x:c>
      <x:c r="F58" s="65" t="str">
        <x:v>p.3</x:v>
      </x:c>
      <x:c r="G58" s="92" t="n">
        <x:v>0.03206349</x:v>
      </x:c>
      <x:c r="H58" s="65" t="str">
        <x:v>Evidence-based policy improvements for Jakarta</x:v>
      </x:c>
      <x:c r="I58" s="65" t="str">
        <x:v>Dinas Lingkungan Hidup DKI Jakarta; World Health Organization</x:v>
      </x:c>
      <x:c r="J58"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58" s="65" t="str">
        <x:v>https://www.jakarta.go.id/siaran-pers/4802-SP-HMS-06-2024</x:v>
      </x:c>
      <x:c r="L58" s="65" t="n">
        <x:v>0</x:v>
      </x:c>
      <x:c r="M58" s="65" t="str">
        <x:v>Machine-suggested near-miss; human review required.</x:v>
      </x:c>
    </x:row>
    <x:row r="59" ht="42" customHeight="1">
      <x:c r="A59" s="65" t="str">
        <x:v>gold30-003</x:v>
      </x:c>
      <x:c r="B59" s="65" t="str">
        <x:v>hybrid</x:v>
      </x:c>
      <x:c r="C59" s="88" t="n">
        <x:v>4</x:v>
      </x:c>
      <x:c r="D59" s="65" t="str">
        <x:v>jakarta-policy-implementation</x:v>
      </x:c>
      <x:c r="E59" s="65" t="str">
        <x:v>jakarta-policy-implementation:structure:1</x:v>
      </x:c>
      <x:c r="F59" s="65" t="str">
        <x:v>p.2</x:v>
      </x:c>
      <x:c r="G59" s="92" t="n">
        <x:v>0.03132212</x:v>
      </x:c>
      <x:c r="H59" s="65" t="str">
        <x:v>Why rules can coexist with poor air: implementation evidence</x:v>
      </x:c>
      <x:c r="I59" s="65" t="str">
        <x:v>Pemerintah Provinsi DKI Jakarta; Dinas Lingkungan Hidup DKI Jakarta; Mahkamah Agung</x:v>
      </x:c>
      <x:c r="J59"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59" s="65" t="str">
        <x:v>https://www.jakarta.go.id/siaran-pers/4802-SP-HMS-06-2024</x:v>
      </x:c>
      <x:c r="L59" s="65" t="n">
        <x:v>0</x:v>
      </x:c>
      <x:c r="M59" s="65" t="str">
        <x:v>Machine-suggested near-miss; human review required.</x:v>
      </x:c>
    </x:row>
    <x:row r="60" ht="42" customHeight="1">
      <x:c r="A60" s="65" t="str">
        <x:v>gold30-003</x:v>
      </x:c>
      <x:c r="B60" s="65" t="str">
        <x:v>hybrid</x:v>
      </x:c>
      <x:c r="C60" s="88" t="n">
        <x:v>5</x:v>
      </x:c>
      <x:c r="D60" s="65" t="str">
        <x:v>pp-22-2021-air-quality</x:v>
      </x:c>
      <x:c r="E60" s="65" t="str">
        <x:v>pp-22-2021-air-quality:structure:3</x:v>
      </x:c>
      <x:c r="F60" s="65" t="str">
        <x:v>p.4</x:v>
      </x:c>
      <x:c r="G60" s="92" t="n">
        <x:v>0.03131731</x:v>
      </x:c>
      <x:c r="H60" s="65" t="str">
        <x:v>PP No. 22 Tahun 2021 — environmental protection and ambient air quality</x:v>
      </x:c>
      <x:c r="I60" s="65" t="str">
        <x:v>Pemerintah Republik Indonesia / Database Peraturan BPK</x:v>
      </x:c>
      <x:c r="J60" s="65" t="str">
        <x:v>The lampiran is the controlling locator for numeric ambient standards. A response must not substitute an ISPU category for an ambient concentration standard, and must identify the pollutant and averaging time before comparing a measurement.</x:v>
      </x:c>
      <x:c r="K60" s="65" t="str">
        <x:v>https://peraturan.bpk.go.id/Details/161852/pp-no-22tahun-2021</x:v>
      </x:c>
      <x:c r="L60" s="65" t="n">
        <x:v>0</x:v>
      </x:c>
      <x:c r="M60" s="65" t="str">
        <x:v>Machine-suggested near-miss; human review required.</x:v>
      </x:c>
    </x:row>
    <x:row r="61" ht="42" customHeight="1">
      <x:c r="A61" s="65" t="str">
        <x:v>gold30-003</x:v>
      </x:c>
      <x:c r="B61" s="65" t="str">
        <x:v>hybrid_rerank</x:v>
      </x:c>
      <x:c r="C61" s="88" t="n">
        <x:v>1</x:v>
      </x:c>
      <x:c r="D61" s="65" t="str">
        <x:v>jakarta-historical-city-series</x:v>
      </x:c>
      <x:c r="E61" s="65" t="str">
        <x:v>jakarta-historical-city-series:structure:1</x:v>
      </x:c>
      <x:c r="F61" s="65" t="str">
        <x:v>p.2</x:v>
      </x:c>
      <x:c r="G61" s="92" t="n">
        <x:v>0.35985352</x:v>
      </x:c>
      <x:c r="H61" s="65" t="str">
        <x:v>Jakarta historical PM2.5 and PM10 series: provenance and quality</x:v>
      </x:c>
      <x:c r="I61" s="65" t="str">
        <x:v>Open-Meteo / CAMS Global; deposited dataset by Nitiraj Kulkarni and Jagadish Tawade</x:v>
      </x:c>
      <x:c r="J61"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61" s="65" t="str">
        <x:v>https://zenodo.org/records/18673885</x:v>
      </x:c>
      <x:c r="L61" s="65" t="n">
        <x:v>0</x:v>
      </x:c>
      <x:c r="M61" s="65" t="str">
        <x:v>Machine-suggested near-miss; human review required.</x:v>
      </x:c>
    </x:row>
    <x:row r="62" ht="42" customHeight="1">
      <x:c r="A62" s="65" t="str">
        <x:v>gold30-003</x:v>
      </x:c>
      <x:c r="B62" s="65" t="str">
        <x:v>hybrid_rerank</x:v>
      </x:c>
      <x:c r="C62" s="88" t="n">
        <x:v>2</x:v>
      </x:c>
      <x:c r="D62" s="65" t="str">
        <x:v>ispu</x:v>
      </x:c>
      <x:c r="E62" s="65" t="str">
        <x:v>ispu:structure:0</x:v>
      </x:c>
      <x:c r="F62" s="65" t="str">
        <x:v>p.1</x:v>
      </x:c>
      <x:c r="G62" s="92" t="n">
        <x:v>0.24318844</x:v>
      </x:c>
      <x:c r="H62" s="65" t="str">
        <x:v>Indonesian ISPU categories</x:v>
      </x:c>
      <x:c r="I62" s="65" t="str">
        <x:v>Ministry of Environment and Forestry</x:v>
      </x:c>
      <x:c r="J62" s="65" t="str">
        <x:v>The Indonesian ISPU categories used in this demo are Baik (1-50), Sedang (51-100), Tidak Sehat (101-200), Sangat Tidak Sehat (201-300), and Berbahaya (301 or higher). ISPU is an index without a physical concentration unit.</x:v>
      </x:c>
      <x:c r="K62" s="65" t="str">
        <x:v>https://peraturan.bpk.go.id/Details/163466/permen-lhk-no-14-tahun-2020</x:v>
      </x:c>
      <x:c r="L62" s="65" t="n">
        <x:v>3</x:v>
      </x:c>
      <x:c r="M62" s="65" t="str">
        <x:v>Expected source for this question.</x:v>
      </x:c>
    </x:row>
    <x:row r="63" ht="42" customHeight="1">
      <x:c r="A63" s="65" t="str">
        <x:v>gold30-003</x:v>
      </x:c>
      <x:c r="B63" s="65" t="str">
        <x:v>hybrid_rerank</x:v>
      </x:c>
      <x:c r="C63" s="88" t="n">
        <x:v>3</x:v>
      </x:c>
      <x:c r="D63" s="65" t="str">
        <x:v>policy-improvements-evidence</x:v>
      </x:c>
      <x:c r="E63" s="65" t="str">
        <x:v>policy-improvements-evidence:structure:2</x:v>
      </x:c>
      <x:c r="F63" s="65" t="str">
        <x:v>p.3</x:v>
      </x:c>
      <x:c r="G63" s="92" t="n">
        <x:v>0.24295238</x:v>
      </x:c>
      <x:c r="H63" s="65" t="str">
        <x:v>Evidence-based policy improvements for Jakarta</x:v>
      </x:c>
      <x:c r="I63" s="65" t="str">
        <x:v>Dinas Lingkungan Hidup DKI Jakarta; World Health Organization</x:v>
      </x:c>
      <x:c r="J63"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63" s="65" t="str">
        <x:v>https://www.jakarta.go.id/siaran-pers/4802-SP-HMS-06-2024</x:v>
      </x:c>
      <x:c r="L63" s="65" t="n">
        <x:v>0</x:v>
      </x:c>
      <x:c r="M63" s="65" t="str">
        <x:v>Machine-suggested near-miss; human review required.</x:v>
      </x:c>
    </x:row>
    <x:row r="64" ht="42" customHeight="1">
      <x:c r="A64" s="65" t="str">
        <x:v>gold30-003</x:v>
      </x:c>
      <x:c r="B64" s="65" t="str">
        <x:v>hybrid_rerank</x:v>
      </x:c>
      <x:c r="C64" s="88" t="n">
        <x:v>4</x:v>
      </x:c>
      <x:c r="D64" s="65" t="str">
        <x:v>pp-22-2021-air-quality</x:v>
      </x:c>
      <x:c r="E64" s="65" t="str">
        <x:v>pp-22-2021-air-quality:structure:3</x:v>
      </x:c>
      <x:c r="F64" s="65" t="str">
        <x:v>p.4</x:v>
      </x:c>
      <x:c r="G64" s="92" t="n">
        <x:v>0.24272853</x:v>
      </x:c>
      <x:c r="H64" s="65" t="str">
        <x:v>PP No. 22 Tahun 2021 — environmental protection and ambient air quality</x:v>
      </x:c>
      <x:c r="I64" s="65" t="str">
        <x:v>Pemerintah Republik Indonesia / Database Peraturan BPK</x:v>
      </x:c>
      <x:c r="J64" s="65" t="str">
        <x:v>The lampiran is the controlling locator for numeric ambient standards. A response must not substitute an ISPU category for an ambient concentration standard, and must identify the pollutant and averaging time before comparing a measurement.</x:v>
      </x:c>
      <x:c r="K64" s="65" t="str">
        <x:v>https://peraturan.bpk.go.id/Details/161852/pp-no-22tahun-2021</x:v>
      </x:c>
      <x:c r="L64" s="65" t="n">
        <x:v>0</x:v>
      </x:c>
      <x:c r="M64" s="65" t="str">
        <x:v>Machine-suggested near-miss; human review required.</x:v>
      </x:c>
    </x:row>
    <x:row r="65" ht="42" customHeight="1">
      <x:c r="A65" s="65" t="str">
        <x:v>gold30-003</x:v>
      </x:c>
      <x:c r="B65" s="65" t="str">
        <x:v>hybrid_rerank</x:v>
      </x:c>
      <x:c r="C65" s="88" t="n">
        <x:v>5</x:v>
      </x:c>
      <x:c r="D65" s="65" t="str">
        <x:v>jakarta-policy-implementation</x:v>
      </x:c>
      <x:c r="E65" s="65" t="str">
        <x:v>jakarta-policy-implementation:structure:1</x:v>
      </x:c>
      <x:c r="F65" s="65" t="str">
        <x:v>p.2</x:v>
      </x:c>
      <x:c r="G65" s="92" t="n">
        <x:v>0.1260633</x:v>
      </x:c>
      <x:c r="H65" s="65" t="str">
        <x:v>Why rules can coexist with poor air: implementation evidence</x:v>
      </x:c>
      <x:c r="I65" s="65" t="str">
        <x:v>Pemerintah Provinsi DKI Jakarta; Dinas Lingkungan Hidup DKI Jakarta; Mahkamah Agung</x:v>
      </x:c>
      <x:c r="J65"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65" s="65" t="str">
        <x:v>https://www.jakarta.go.id/siaran-pers/4802-SP-HMS-06-2024</x:v>
      </x:c>
      <x:c r="L65" s="65" t="n">
        <x:v>0</x:v>
      </x:c>
      <x:c r="M65" s="65" t="str">
        <x:v>Machine-suggested near-miss; human review required.</x:v>
      </x:c>
    </x:row>
    <x:row r="66" ht="42" customHeight="1">
      <x:c r="A66" s="65" t="str">
        <x:v>gold30-004</x:v>
      </x:c>
      <x:c r="B66" s="65" t="str">
        <x:v>bm25</x:v>
      </x:c>
      <x:c r="C66" s="88" t="n">
        <x:v>1</x:v>
      </x:c>
      <x:c r="D66" s="65" t="str">
        <x:v>jakarta-improvements</x:v>
      </x:c>
      <x:c r="E66" s="65" t="str">
        <x:v>jakarta-improvements:structure:0</x:v>
      </x:c>
      <x:c r="F66" s="65" t="str">
        <x:v>p.1</x:v>
      </x:c>
      <x:c r="G66" s="92" t="n">
        <x:v>0.22222222</x:v>
      </x:c>
      <x:c r="H66" s="65" t="str">
        <x:v>Ways to improve Jakarta air quality</x:v>
      </x:c>
      <x:c r="I66" s="65" t="str">
        <x:v>Pemerintah Provinsi DKI Jakarta / Dinas Lingkungan Hidup</x:v>
      </x:c>
      <x:c r="J66"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66" s="65" t="str">
        <x:v>https://www.jakarta.go.id/page/upaya-bersama-jaga-kualitas-udara-jakarta</x:v>
      </x:c>
      <x:c r="L66" s="65" t="n">
        <x:v>0</x:v>
      </x:c>
      <x:c r="M66" s="65" t="str">
        <x:v>Machine-suggested near-miss; human review required.</x:v>
      </x:c>
    </x:row>
    <x:row r="67" ht="42" customHeight="1">
      <x:c r="A67" s="65" t="str">
        <x:v>gold30-004</x:v>
      </x:c>
      <x:c r="B67" s="65" t="str">
        <x:v>bm25</x:v>
      </x:c>
      <x:c r="C67" s="88" t="n">
        <x:v>2</x:v>
      </x:c>
      <x:c r="D67" s="65" t="str">
        <x:v>jakarta-seasonal-exposure</x:v>
      </x:c>
      <x:c r="E67" s="65" t="str">
        <x:v>jakarta-seasonal-exposure:structure:0</x:v>
      </x:c>
      <x:c r="F67" s="65" t="str">
        <x:v>p.1</x:v>
      </x:c>
      <x:c r="G67" s="92" t="n">
        <x:v>0.22222222</x:v>
      </x:c>
      <x:c r="H67" s="65" t="str">
        <x:v>Jakarta timing and local exposure context</x:v>
      </x:c>
      <x:c r="I67" s="65" t="str">
        <x:v>Dinas Lingkungan Hidup DKI Jakarta</x:v>
      </x:c>
      <x:c r="J67" s="65" t="str">
        <x:v>Published: 2024-04-06 Status as of: 2026-09-07 (official seasonal notice; not a current forecast) Document type: official_public_guidance Tags: topic=exposure-protection; audience=Jakarta-resident; action=protect-now; pollutant=PM2.5</x:v>
      </x:c>
      <x:c r="K67" s="65" t="str">
        <x:v>https://lingkunganhidup.jakarta.go.id/detail-artikel/masuki-musim-kemarau-pemprov-dki-minta-masyarakat-waspadai-penurunan-kualitas-udara</x:v>
      </x:c>
      <x:c r="L67" s="65" t="n">
        <x:v>0</x:v>
      </x:c>
      <x:c r="M67" s="65" t="str">
        <x:v>Machine-suggested near-miss; human review required.</x:v>
      </x:c>
    </x:row>
    <x:row r="68" ht="42" customHeight="1">
      <x:c r="A68" s="65" t="str">
        <x:v>gold30-004</x:v>
      </x:c>
      <x:c r="B68" s="65" t="str">
        <x:v>bm25</x:v>
      </x:c>
      <x:c r="C68" s="88" t="n">
        <x:v>3</x:v>
      </x:c>
      <x:c r="D68" s="65" t="str">
        <x:v>individual-emission-actions</x:v>
      </x:c>
      <x:c r="E68" s="65" t="str">
        <x:v>individual-emission-actions:structure:2</x:v>
      </x:c>
      <x:c r="F68" s="65" t="str">
        <x:v>p.3</x:v>
      </x:c>
      <x:c r="G68" s="92" t="n">
        <x:v>0.11111111</x:v>
      </x:c>
      <x:c r="H68" s="65" t="str">
        <x:v>What an individual can do to reduce emissions and improve accountability</x:v>
      </x:c>
      <x:c r="I68" s="65" t="str">
        <x:v>World Health Organization; Pemerintah Provinsi DKI Jakarta</x:v>
      </x:c>
      <x:c r="J68" s="65" t="str">
        <x:v>Report suspected open burning, smoky vehicles, or industrial violations through the responsible DKI/KLHK reporting channel and keep the date, location, photo or video, wind/odour description, and the relevant station reading. Join a community-monitoring project only if sensors h…</x:v>
      </x:c>
      <x:c r="K68" s="65" t="str">
        <x:v>https://www.who.int/europe/publications/m/item/personal-level-actions-to-reduce-air-pollution-exposure</x:v>
      </x:c>
      <x:c r="L68" s="65" t="n">
        <x:v>0</x:v>
      </x:c>
      <x:c r="M68" s="65" t="str">
        <x:v>Machine-suggested near-miss; human review required.</x:v>
      </x:c>
    </x:row>
    <x:row r="69" ht="42" customHeight="1">
      <x:c r="A69" s="65" t="str">
        <x:v>gold30-004</x:v>
      </x:c>
      <x:c r="B69" s="65" t="str">
        <x:v>bm25</x:v>
      </x:c>
      <x:c r="C69" s="88" t="n">
        <x:v>4</x:v>
      </x:c>
      <x:c r="D69" s="65" t="str">
        <x:v>jakarta-historical-city-series</x:v>
      </x:c>
      <x:c r="E69" s="65" t="str">
        <x:v>jakarta-historical-city-series:structure:2</x:v>
      </x:c>
      <x:c r="F69" s="65" t="str">
        <x:v>p.3</x:v>
      </x:c>
      <x:c r="G69" s="92" t="n">
        <x:v>0.11111111</x:v>
      </x:c>
      <x:c r="H69" s="65" t="str">
        <x:v>Jakarta historical PM2.5 and PM10 series: provenance and quality</x:v>
      </x:c>
      <x:c r="I69" s="65" t="str">
        <x:v>Open-Meteo / CAMS Global; deposited dataset by Nitiraj Kulkarni and Jagadish Tawade</x:v>
      </x:c>
      <x:c r="J69"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69" s="65" t="str">
        <x:v>https://zenodo.org/records/18673885</x:v>
      </x:c>
      <x:c r="L69" s="65" t="n">
        <x:v>0</x:v>
      </x:c>
      <x:c r="M69" s="65" t="str">
        <x:v>Machine-suggested near-miss; human review required.</x:v>
      </x:c>
    </x:row>
    <x:row r="70" ht="42" customHeight="1">
      <x:c r="A70" s="65" t="str">
        <x:v>gold30-004</x:v>
      </x:c>
      <x:c r="B70" s="65" t="str">
        <x:v>bm25</x:v>
      </x:c>
      <x:c r="C70" s="88" t="n">
        <x:v>5</x:v>
      </x:c>
      <x:c r="D70" s="65" t="str">
        <x:v>jakarta-policy-implementation</x:v>
      </x:c>
      <x:c r="E70" s="65" t="str">
        <x:v>jakarta-policy-implementation:structure:5</x:v>
      </x:c>
      <x:c r="F70" s="65" t="str">
        <x:v>p.6</x:v>
      </x:c>
      <x:c r="G70" s="92" t="n">
        <x:v>0.11111111</x:v>
      </x:c>
      <x:c r="H70" s="65" t="str">
        <x:v>Why rules can coexist with poor air: implementation evidence</x:v>
      </x:c>
      <x:c r="I70" s="65" t="str">
        <x:v>Pemerintah Provinsi DKI Jakarta; Dinas Lingkungan Hidup DKI Jakarta; Mahkamah Agung</x:v>
      </x:c>
      <x:c r="J70" s="65" t="str">
        <x:v>Therefore, “regulations are not working” should be answered as a testable gap: rules exist, but coverage, inspections, reliable data, sanctions, budgets, inter-agency authority, and regional implementation must be measured before claiming failure. [jakarta-policy-implementation]</x:v>
      </x:c>
      <x:c r="K70" s="65" t="str">
        <x:v>https://www.jakarta.go.id/siaran-pers/4802-SP-HMS-06-2024</x:v>
      </x:c>
      <x:c r="L70" s="65" t="n">
        <x:v>0</x:v>
      </x:c>
      <x:c r="M70" s="65" t="str">
        <x:v>Machine-suggested near-miss; human review required.</x:v>
      </x:c>
    </x:row>
    <x:row r="71" ht="42" customHeight="1">
      <x:c r="A71" s="65" t="str">
        <x:v>gold30-004</x:v>
      </x:c>
      <x:c r="B71" s="65" t="str">
        <x:v>dense</x:v>
      </x:c>
      <x:c r="C71" s="88" t="n">
        <x:v>1</x:v>
      </x:c>
      <x:c r="D71" s="65" t="str">
        <x:v>jakarta-historical-city-series</x:v>
      </x:c>
      <x:c r="E71" s="65" t="str">
        <x:v>jakarta-historical-city-series:structure:2</x:v>
      </x:c>
      <x:c r="F71" s="65" t="str">
        <x:v>p.3</x:v>
      </x:c>
      <x:c r="G71" s="92" t="n">
        <x:v>0.11914546</x:v>
      </x:c>
      <x:c r="H71" s="65" t="str">
        <x:v>Jakarta historical PM2.5 and PM10 series: provenance and quality</x:v>
      </x:c>
      <x:c r="I71" s="65" t="str">
        <x:v>Open-Meteo / CAMS Global; deposited dataset by Nitiraj Kulkarni and Jagadish Tawade</x:v>
      </x:c>
      <x:c r="J71"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71" s="65" t="str">
        <x:v>https://zenodo.org/records/18673885</x:v>
      </x:c>
      <x:c r="L71" s="65" t="n">
        <x:v>0</x:v>
      </x:c>
      <x:c r="M71" s="65" t="str">
        <x:v>Machine-suggested near-miss; human review required.</x:v>
      </x:c>
    </x:row>
    <x:row r="72" ht="42" customHeight="1">
      <x:c r="A72" s="65" t="str">
        <x:v>gold30-004</x:v>
      </x:c>
      <x:c r="B72" s="65" t="str">
        <x:v>dense</x:v>
      </x:c>
      <x:c r="C72" s="88" t="n">
        <x:v>2</x:v>
      </x:c>
      <x:c r="D72" s="65" t="str">
        <x:v>pp-22-2021-air-quality</x:v>
      </x:c>
      <x:c r="E72" s="65" t="str">
        <x:v>pp-22-2021-air-quality:structure:0</x:v>
      </x:c>
      <x:c r="F72" s="65" t="str">
        <x:v>p.1</x:v>
      </x:c>
      <x:c r="G72" s="92" t="n">
        <x:v>0.10642469</x:v>
      </x:c>
      <x:c r="H72" s="65" t="str">
        <x:v>PP No. 22 Tahun 2021 — environmental protection and ambient air quality</x:v>
      </x:c>
      <x:c r="I72" s="65" t="str">
        <x:v>Pemerintah Republik Indonesia / Database Peraturan BPK</x:v>
      </x:c>
      <x:c r="J72"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72" s="65" t="str">
        <x:v>https://peraturan.bpk.go.id/Details/161852/pp-no-22tahun-2021</x:v>
      </x:c>
      <x:c r="L72" s="65" t="n">
        <x:v>0</x:v>
      </x:c>
      <x:c r="M72" s="65" t="str">
        <x:v>Machine-suggested near-miss; human review required.</x:v>
      </x:c>
    </x:row>
    <x:row r="73" ht="42" customHeight="1">
      <x:c r="A73" s="65" t="str">
        <x:v>gold30-004</x:v>
      </x:c>
      <x:c r="B73" s="65" t="str">
        <x:v>dense</x:v>
      </x:c>
      <x:c r="C73" s="88" t="n">
        <x:v>3</x:v>
      </x:c>
      <x:c r="D73" s="65" t="str">
        <x:v>jakarta-improvements</x:v>
      </x:c>
      <x:c r="E73" s="65" t="str">
        <x:v>jakarta-improvements:structure:0</x:v>
      </x:c>
      <x:c r="F73" s="65" t="str">
        <x:v>p.1</x:v>
      </x:c>
      <x:c r="G73" s="92" t="n">
        <x:v>0.10551398</x:v>
      </x:c>
      <x:c r="H73" s="65" t="str">
        <x:v>Ways to improve Jakarta air quality</x:v>
      </x:c>
      <x:c r="I73" s="65" t="str">
        <x:v>Pemerintah Provinsi DKI Jakarta / Dinas Lingkungan Hidup</x:v>
      </x:c>
      <x:c r="J73"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73" s="65" t="str">
        <x:v>https://www.jakarta.go.id/page/upaya-bersama-jaga-kualitas-udara-jakarta</x:v>
      </x:c>
      <x:c r="L73" s="65" t="n">
        <x:v>0</x:v>
      </x:c>
      <x:c r="M73" s="65" t="str">
        <x:v>Machine-suggested near-miss; human review required.</x:v>
      </x:c>
    </x:row>
    <x:row r="74" ht="42" customHeight="1">
      <x:c r="A74" s="65" t="str">
        <x:v>gold30-004</x:v>
      </x:c>
      <x:c r="B74" s="65" t="str">
        <x:v>dense</x:v>
      </x:c>
      <x:c r="C74" s="88" t="n">
        <x:v>4</x:v>
      </x:c>
      <x:c r="D74" s="65" t="str">
        <x:v>pergub-66-2020-vehicle-testing</x:v>
      </x:c>
      <x:c r="E74" s="65" t="str">
        <x:v>pergub-66-2020-vehicle-testing:structure:0</x:v>
      </x:c>
      <x:c r="F74" s="65" t="str">
        <x:v>p.1</x:v>
      </x:c>
      <x:c r="G74" s="92" t="n">
        <x:v>0.10188664</x:v>
      </x:c>
      <x:c r="H74" s="65" t="str">
        <x:v>Pergub DKI Jakarta No. 66 Tahun 2020 — motor-vehicle emission testing</x:v>
      </x:c>
      <x:c r="I74" s="65" t="str">
        <x:v>Pemerintah Provinsi DKI Jakarta / Database Peraturan BPK</x:v>
      </x:c>
      <x:c r="J74" s="65" t="str">
        <x:v>Peraturan Gubernur Provinsi DKI Jakarta Nomor 66 Tahun 2020 is titled Uji Emisi Gas Buang Kendaraan Bermotor. The BPK record gives the adoption date as 22 July 2020, promulgation date as 24 July 2020, and effective date as 24 December 2020.</x:v>
      </x:c>
      <x:c r="K74" s="65" t="str">
        <x:v>https://peraturan.bpk.go.id/Details/153923/pergub-prov-dki-jakarta-no-66-tahun-2020</x:v>
      </x:c>
      <x:c r="L74" s="65" t="n">
        <x:v>0</x:v>
      </x:c>
      <x:c r="M74" s="65" t="str">
        <x:v>Machine-suggested near-miss; human review required.</x:v>
      </x:c>
    </x:row>
    <x:row r="75" ht="42" customHeight="1">
      <x:c r="A75" s="65" t="str">
        <x:v>gold30-004</x:v>
      </x:c>
      <x:c r="B75" s="65" t="str">
        <x:v>dense</x:v>
      </x:c>
      <x:c r="C75" s="88" t="n">
        <x:v>5</x:v>
      </x:c>
      <x:c r="D75" s="65" t="str">
        <x:v>jakarta-seasonal-exposure</x:v>
      </x:c>
      <x:c r="E75" s="65" t="str">
        <x:v>jakarta-seasonal-exposure:structure:0</x:v>
      </x:c>
      <x:c r="F75" s="65" t="str">
        <x:v>p.1</x:v>
      </x:c>
      <x:c r="G75" s="92" t="n">
        <x:v>0.10162674</x:v>
      </x:c>
      <x:c r="H75" s="65" t="str">
        <x:v>Jakarta timing and local exposure context</x:v>
      </x:c>
      <x:c r="I75" s="65" t="str">
        <x:v>Dinas Lingkungan Hidup DKI Jakarta</x:v>
      </x:c>
      <x:c r="J75" s="65" t="str">
        <x:v>Published: 2024-04-06 Status as of: 2026-09-07 (official seasonal notice; not a current forecast) Document type: official_public_guidance Tags: topic=exposure-protection; audience=Jakarta-resident; action=protect-now; pollutant=PM2.5</x:v>
      </x:c>
      <x:c r="K75" s="65" t="str">
        <x:v>https://lingkunganhidup.jakarta.go.id/detail-artikel/masuki-musim-kemarau-pemprov-dki-minta-masyarakat-waspadai-penurunan-kualitas-udara</x:v>
      </x:c>
      <x:c r="L75" s="65" t="n">
        <x:v>0</x:v>
      </x:c>
      <x:c r="M75" s="65" t="str">
        <x:v>Machine-suggested near-miss; human review required.</x:v>
      </x:c>
    </x:row>
    <x:row r="76" ht="42" customHeight="1">
      <x:c r="A76" s="65" t="str">
        <x:v>gold30-004</x:v>
      </x:c>
      <x:c r="B76" s="65" t="str">
        <x:v>hybrid</x:v>
      </x:c>
      <x:c r="C76" s="88" t="n">
        <x:v>1</x:v>
      </x:c>
      <x:c r="D76" s="65" t="str">
        <x:v>jakarta-improvements</x:v>
      </x:c>
      <x:c r="E76" s="65" t="str">
        <x:v>jakarta-improvements:structure:0</x:v>
      </x:c>
      <x:c r="F76" s="65" t="str">
        <x:v>p.1</x:v>
      </x:c>
      <x:c r="G76" s="92" t="n">
        <x:v>0.03258392</x:v>
      </x:c>
      <x:c r="H76" s="65" t="str">
        <x:v>Ways to improve Jakarta air quality</x:v>
      </x:c>
      <x:c r="I76" s="65" t="str">
        <x:v>Pemerintah Provinsi DKI Jakarta / Dinas Lingkungan Hidup</x:v>
      </x:c>
      <x:c r="J76"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76" s="65" t="str">
        <x:v>https://www.jakarta.go.id/page/upaya-bersama-jaga-kualitas-udara-jakarta</x:v>
      </x:c>
      <x:c r="L76" s="65" t="n">
        <x:v>0</x:v>
      </x:c>
      <x:c r="M76" s="65" t="str">
        <x:v>Machine-suggested near-miss; human review required.</x:v>
      </x:c>
    </x:row>
    <x:row r="77" ht="42" customHeight="1">
      <x:c r="A77" s="65" t="str">
        <x:v>gold30-004</x:v>
      </x:c>
      <x:c r="B77" s="65" t="str">
        <x:v>hybrid</x:v>
      </x:c>
      <x:c r="C77" s="88" t="n">
        <x:v>2</x:v>
      </x:c>
      <x:c r="D77" s="65" t="str">
        <x:v>jakarta-historical-city-series</x:v>
      </x:c>
      <x:c r="E77" s="65" t="str">
        <x:v>jakarta-historical-city-series:structure:2</x:v>
      </x:c>
      <x:c r="F77" s="65" t="str">
        <x:v>p.3</x:v>
      </x:c>
      <x:c r="G77" s="92" t="n">
        <x:v>0.03234631</x:v>
      </x:c>
      <x:c r="H77" s="65" t="str">
        <x:v>Jakarta historical PM2.5 and PM10 series: provenance and quality</x:v>
      </x:c>
      <x:c r="I77" s="65" t="str">
        <x:v>Open-Meteo / CAMS Global; deposited dataset by Nitiraj Kulkarni and Jagadish Tawade</x:v>
      </x:c>
      <x:c r="J77"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77" s="65" t="str">
        <x:v>https://zenodo.org/records/18673885</x:v>
      </x:c>
      <x:c r="L77" s="65" t="n">
        <x:v>0</x:v>
      </x:c>
      <x:c r="M77" s="65" t="str">
        <x:v>Machine-suggested near-miss; human review required.</x:v>
      </x:c>
    </x:row>
    <x:row r="78" ht="42" customHeight="1">
      <x:c r="A78" s="65" t="str">
        <x:v>gold30-004</x:v>
      </x:c>
      <x:c r="B78" s="65" t="str">
        <x:v>hybrid</x:v>
      </x:c>
      <x:c r="C78" s="88" t="n">
        <x:v>3</x:v>
      </x:c>
      <x:c r="D78" s="65" t="str">
        <x:v>jakarta-seasonal-exposure</x:v>
      </x:c>
      <x:c r="E78" s="65" t="str">
        <x:v>jakarta-seasonal-exposure:structure:0</x:v>
      </x:c>
      <x:c r="F78" s="65" t="str">
        <x:v>p.1</x:v>
      </x:c>
      <x:c r="G78" s="92" t="n">
        <x:v>0.03182134</x:v>
      </x:c>
      <x:c r="H78" s="65" t="str">
        <x:v>Jakarta timing and local exposure context</x:v>
      </x:c>
      <x:c r="I78" s="65" t="str">
        <x:v>Dinas Lingkungan Hidup DKI Jakarta</x:v>
      </x:c>
      <x:c r="J78" s="65" t="str">
        <x:v>Published: 2024-04-06 Status as of: 2026-09-07 (official seasonal notice; not a current forecast) Document type: official_public_guidance Tags: topic=exposure-protection; audience=Jakarta-resident; action=protect-now; pollutant=PM2.5</x:v>
      </x:c>
      <x:c r="K78" s="65" t="str">
        <x:v>https://lingkunganhidup.jakarta.go.id/detail-artikel/masuki-musim-kemarau-pemprov-dki-minta-masyarakat-waspadai-penurunan-kualitas-udara</x:v>
      </x:c>
      <x:c r="L78" s="65" t="n">
        <x:v>0</x:v>
      </x:c>
      <x:c r="M78" s="65" t="str">
        <x:v>Machine-suggested near-miss; human review required.</x:v>
      </x:c>
    </x:row>
    <x:row r="79" ht="42" customHeight="1">
      <x:c r="A79" s="65" t="str">
        <x:v>gold30-004</x:v>
      </x:c>
      <x:c r="B79" s="65" t="str">
        <x:v>hybrid</x:v>
      </x:c>
      <x:c r="C79" s="88" t="n">
        <x:v>4</x:v>
      </x:c>
      <x:c r="D79" s="65" t="str">
        <x:v>pp-22-2021-air-quality</x:v>
      </x:c>
      <x:c r="E79" s="65" t="str">
        <x:v>pp-22-2021-air-quality:structure:0</x:v>
      </x:c>
      <x:c r="F79" s="65" t="str">
        <x:v>p.1</x:v>
      </x:c>
      <x:c r="G79" s="92" t="n">
        <x:v>0.0311575</x:v>
      </x:c>
      <x:c r="H79" s="65" t="str">
        <x:v>PP No. 22 Tahun 2021 — environmental protection and ambient air quality</x:v>
      </x:c>
      <x:c r="I79" s="65" t="str">
        <x:v>Pemerintah Republik Indonesia / Database Peraturan BPK</x:v>
      </x:c>
      <x:c r="J79"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79" s="65" t="str">
        <x:v>https://peraturan.bpk.go.id/Details/161852/pp-no-22tahun-2021</x:v>
      </x:c>
      <x:c r="L79" s="65" t="n">
        <x:v>0</x:v>
      </x:c>
      <x:c r="M79" s="65" t="str">
        <x:v>Machine-suggested near-miss; human review required.</x:v>
      </x:c>
    </x:row>
    <x:row r="80" ht="42" customHeight="1">
      <x:c r="A80" s="65" t="str">
        <x:v>gold30-004</x:v>
      </x:c>
      <x:c r="B80" s="65" t="str">
        <x:v>hybrid</x:v>
      </x:c>
      <x:c r="C80" s="88" t="n">
        <x:v>5</x:v>
      </x:c>
      <x:c r="D80" s="65" t="str">
        <x:v>pergub-66-2020-vehicle-testing</x:v>
      </x:c>
      <x:c r="E80" s="65" t="str">
        <x:v>pergub-66-2020-vehicle-testing:structure:0</x:v>
      </x:c>
      <x:c r="F80" s="65" t="str">
        <x:v>p.1</x:v>
      </x:c>
      <x:c r="G80" s="92" t="n">
        <x:v>0.0159375</x:v>
      </x:c>
      <x:c r="H80" s="65" t="str">
        <x:v>Pergub DKI Jakarta No. 66 Tahun 2020 — motor-vehicle emission testing</x:v>
      </x:c>
      <x:c r="I80" s="65" t="str">
        <x:v>Pemerintah Provinsi DKI Jakarta / Database Peraturan BPK</x:v>
      </x:c>
      <x:c r="J80" s="65" t="str">
        <x:v>Peraturan Gubernur Provinsi DKI Jakarta Nomor 66 Tahun 2020 is titled Uji Emisi Gas Buang Kendaraan Bermotor. The BPK record gives the adoption date as 22 July 2020, promulgation date as 24 July 2020, and effective date as 24 December 2020.</x:v>
      </x:c>
      <x:c r="K80" s="65" t="str">
        <x:v>https://peraturan.bpk.go.id/Details/153923/pergub-prov-dki-jakarta-no-66-tahun-2020</x:v>
      </x:c>
      <x:c r="L80" s="65" t="n">
        <x:v>0</x:v>
      </x:c>
      <x:c r="M80" s="65" t="str">
        <x:v>Machine-suggested near-miss; human review required.</x:v>
      </x:c>
    </x:row>
    <x:row r="81" ht="42" customHeight="1">
      <x:c r="A81" s="65" t="str">
        <x:v>gold30-004</x:v>
      </x:c>
      <x:c r="B81" s="65" t="str">
        <x:v>hybrid_rerank</x:v>
      </x:c>
      <x:c r="C81" s="88" t="n">
        <x:v>1</x:v>
      </x:c>
      <x:c r="D81" s="65" t="str">
        <x:v>jakarta-improvements</x:v>
      </x:c>
      <x:c r="E81" s="65" t="str">
        <x:v>jakarta-improvements:structure:0</x:v>
      </x:c>
      <x:c r="F81" s="65" t="str">
        <x:v>p.1</x:v>
      </x:c>
      <x:c r="G81" s="92" t="n">
        <x:v>0.16533073</x:v>
      </x:c>
      <x:c r="H81" s="65" t="str">
        <x:v>Ways to improve Jakarta air quality</x:v>
      </x:c>
      <x:c r="I81" s="65" t="str">
        <x:v>Pemerintah Provinsi DKI Jakarta / Dinas Lingkungan Hidup</x:v>
      </x:c>
      <x:c r="J81"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81" s="65" t="str">
        <x:v>https://www.jakarta.go.id/page/upaya-bersama-jaga-kualitas-udara-jakarta</x:v>
      </x:c>
      <x:c r="L81" s="65" t="n">
        <x:v>0</x:v>
      </x:c>
      <x:c r="M81" s="65" t="str">
        <x:v>Machine-suggested near-miss; human review required.</x:v>
      </x:c>
    </x:row>
    <x:row r="82" ht="42" customHeight="1">
      <x:c r="A82" s="65" t="str">
        <x:v>gold30-004</x:v>
      </x:c>
      <x:c r="B82" s="65" t="str">
        <x:v>hybrid_rerank</x:v>
      </x:c>
      <x:c r="C82" s="88" t="n">
        <x:v>2</x:v>
      </x:c>
      <x:c r="D82" s="65" t="str">
        <x:v>jakarta-seasonal-exposure</x:v>
      </x:c>
      <x:c r="E82" s="65" t="str">
        <x:v>jakarta-seasonal-exposure:structure:0</x:v>
      </x:c>
      <x:c r="F82" s="65" t="str">
        <x:v>p.1</x:v>
      </x:c>
      <x:c r="G82" s="92" t="n">
        <x:v>0.16510196</x:v>
      </x:c>
      <x:c r="H82" s="65" t="str">
        <x:v>Jakarta timing and local exposure context</x:v>
      </x:c>
      <x:c r="I82" s="65" t="str">
        <x:v>Dinas Lingkungan Hidup DKI Jakarta</x:v>
      </x:c>
      <x:c r="J82" s="65" t="str">
        <x:v>Published: 2024-04-06 Status as of: 2026-09-07 (official seasonal notice; not a current forecast) Document type: official_public_guidance Tags: topic=exposure-protection; audience=Jakarta-resident; action=protect-now; pollutant=PM2.5</x:v>
      </x:c>
      <x:c r="K82" s="65" t="str">
        <x:v>https://lingkunganhidup.jakarta.go.id/detail-artikel/masuki-musim-kemarau-pemprov-dki-minta-masyarakat-waspadai-penurunan-kualitas-udara</x:v>
      </x:c>
      <x:c r="L82" s="65" t="n">
        <x:v>0</x:v>
      </x:c>
      <x:c r="M82" s="65" t="str">
        <x:v>Machine-suggested near-miss; human review required.</x:v>
      </x:c>
    </x:row>
    <x:row r="83" ht="42" customHeight="1">
      <x:c r="A83" s="65" t="str">
        <x:v>gold30-004</x:v>
      </x:c>
      <x:c r="B83" s="65" t="str">
        <x:v>hybrid_rerank</x:v>
      </x:c>
      <x:c r="C83" s="88" t="n">
        <x:v>3</x:v>
      </x:c>
      <x:c r="D83" s="65" t="str">
        <x:v>jakarta-historical-city-series</x:v>
      </x:c>
      <x:c r="E83" s="65" t="str">
        <x:v>jakarta-historical-city-series:structure:2</x:v>
      </x:c>
      <x:c r="F83" s="65" t="str">
        <x:v>p.3</x:v>
      </x:c>
      <x:c r="G83" s="92" t="n">
        <x:v>0.08748167</x:v>
      </x:c>
      <x:c r="H83" s="65" t="str">
        <x:v>Jakarta historical PM2.5 and PM10 series: provenance and quality</x:v>
      </x:c>
      <x:c r="I83" s="65" t="str">
        <x:v>Open-Meteo / CAMS Global; deposited dataset by Nitiraj Kulkarni and Jagadish Tawade</x:v>
      </x:c>
      <x:c r="J83"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83" s="65" t="str">
        <x:v>https://zenodo.org/records/18673885</x:v>
      </x:c>
      <x:c r="L83" s="65" t="n">
        <x:v>0</x:v>
      </x:c>
      <x:c r="M83" s="65" t="str">
        <x:v>Machine-suggested near-miss; human review required.</x:v>
      </x:c>
    </x:row>
    <x:row r="84" ht="42" customHeight="1">
      <x:c r="A84" s="65" t="str">
        <x:v>gold30-004</x:v>
      </x:c>
      <x:c r="B84" s="65" t="str">
        <x:v>hybrid_rerank</x:v>
      </x:c>
      <x:c r="C84" s="88" t="n">
        <x:v>4</x:v>
      </x:c>
      <x:c r="D84" s="65" t="str">
        <x:v>pp-22-2021-air-quality</x:v>
      </x:c>
      <x:c r="E84" s="65" t="str">
        <x:v>pp-22-2021-air-quality:structure:0</x:v>
      </x:c>
      <x:c r="F84" s="65" t="str">
        <x:v>p.1</x:v>
      </x:c>
      <x:c r="G84" s="92" t="n">
        <x:v>0.08712503</x:v>
      </x:c>
      <x:c r="H84" s="65" t="str">
        <x:v>PP No. 22 Tahun 2021 — environmental protection and ambient air quality</x:v>
      </x:c>
      <x:c r="I84" s="65" t="str">
        <x:v>Pemerintah Republik Indonesia / Database Peraturan BPK</x:v>
      </x:c>
      <x:c r="J84"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84" s="65" t="str">
        <x:v>https://peraturan.bpk.go.id/Details/161852/pp-no-22tahun-2021</x:v>
      </x:c>
      <x:c r="L84" s="65" t="n">
        <x:v>0</x:v>
      </x:c>
      <x:c r="M84" s="65" t="str">
        <x:v>Machine-suggested near-miss; human review required.</x:v>
      </x:c>
    </x:row>
    <x:row r="85" ht="42" customHeight="1">
      <x:c r="A85" s="65" t="str">
        <x:v>gold30-004</x:v>
      </x:c>
      <x:c r="B85" s="65" t="str">
        <x:v>hybrid_rerank</x:v>
      </x:c>
      <x:c r="C85" s="88" t="n">
        <x:v>5</x:v>
      </x:c>
      <x:c r="D85" s="65" t="str">
        <x:v>individual-emission-actions</x:v>
      </x:c>
      <x:c r="E85" s="65" t="str">
        <x:v>individual-emission-actions:structure:2</x:v>
      </x:c>
      <x:c r="F85" s="65" t="str">
        <x:v>p.3</x:v>
      </x:c>
      <x:c r="G85" s="92" t="n">
        <x:v>0.08253968</x:v>
      </x:c>
      <x:c r="H85" s="65" t="str">
        <x:v>What an individual can do to reduce emissions and improve accountability</x:v>
      </x:c>
      <x:c r="I85" s="65" t="str">
        <x:v>World Health Organization; Pemerintah Provinsi DKI Jakarta</x:v>
      </x:c>
      <x:c r="J85" s="65" t="str">
        <x:v>Report suspected open burning, smoky vehicles, or industrial violations through the responsible DKI/KLHK reporting channel and keep the date, location, photo or video, wind/odour description, and the relevant station reading. Join a community-monitoring project only if sensors h…</x:v>
      </x:c>
      <x:c r="K85" s="65" t="str">
        <x:v>https://www.who.int/europe/publications/m/item/personal-level-actions-to-reduce-air-pollution-exposure</x:v>
      </x:c>
      <x:c r="L85" s="65" t="n">
        <x:v>0</x:v>
      </x:c>
      <x:c r="M85" s="65" t="str">
        <x:v>Machine-suggested near-miss; human review required.</x:v>
      </x:c>
    </x:row>
    <x:row r="86" ht="42" customHeight="1">
      <x:c r="A86" s="65" t="str">
        <x:v>gold30-005</x:v>
      </x:c>
      <x:c r="B86" s="65" t="str">
        <x:v>bm25</x:v>
      </x:c>
      <x:c r="C86" s="88" t="n">
        <x:v>1</x:v>
      </x:c>
      <x:c r="D86" s="65" t="str">
        <x:v>jakarta-historical-city-series</x:v>
      </x:c>
      <x:c r="E86" s="65" t="str">
        <x:v>jakarta-historical-city-series:structure:4</x:v>
      </x:c>
      <x:c r="F86" s="65" t="str">
        <x:v>p.5</x:v>
      </x:c>
      <x:c r="G86" s="92" t="n">
        <x:v>0.77777778</x:v>
      </x:c>
      <x:c r="H86" s="65" t="str">
        <x:v>Jakarta historical PM2.5 and PM10 series: provenance and quality</x:v>
      </x:c>
      <x:c r="I86" s="65" t="str">
        <x:v>Open-Meteo / CAMS Global; deposited dataset by Nitiraj Kulkarni and Jagadish Tawade</x:v>
      </x:c>
      <x:c r="J86" s="65" t="str">
        <x:v>Across paired rows, Pearson correlation is 0.883 and Spearman correlation is 0.873. Mean absolute difference is 17.06, median absolute difference 16.80, and RMSE 23.05 µg/m³. The median PM10:PM2.5 ratio is 1.435 (mean 1.272). Absolute differences are within 1, 2, and 5 µg/m³ for…</x:v>
      </x:c>
      <x:c r="K86" s="65" t="str">
        <x:v>https://zenodo.org/records/18673885</x:v>
      </x:c>
      <x:c r="L86" s="65" t="n">
        <x:v>0</x:v>
      </x:c>
      <x:c r="M86" s="65" t="str">
        <x:v>Machine-suggested near-miss; human review required.</x:v>
      </x:c>
    </x:row>
    <x:row r="87" ht="42" customHeight="1">
      <x:c r="A87" s="65" t="str">
        <x:v>gold30-005</x:v>
      </x:c>
      <x:c r="B87" s="65" t="str">
        <x:v>bm25</x:v>
      </x:c>
      <x:c r="C87" s="88" t="n">
        <x:v>2</x:v>
      </x:c>
      <x:c r="D87" s="65" t="str">
        <x:v>policy-improvements-evidence</x:v>
      </x:c>
      <x:c r="E87" s="65" t="str">
        <x:v>policy-improvements-evidence:structure:2</x:v>
      </x:c>
      <x:c r="F87" s="65" t="str">
        <x:v>p.3</x:v>
      </x:c>
      <x:c r="G87" s="92" t="n">
        <x:v>0.44444444</x:v>
      </x:c>
      <x:c r="H87" s="65" t="str">
        <x:v>Evidence-based policy improvements for Jakarta</x:v>
      </x:c>
      <x:c r="I87" s="65" t="str">
        <x:v>Dinas Lingkungan Hidup DKI Jakarta; World Health Organization</x:v>
      </x:c>
      <x:c r="J87"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87" s="65" t="str">
        <x:v>https://www.jakarta.go.id/siaran-pers/4802-SP-HMS-06-2024</x:v>
      </x:c>
      <x:c r="L87" s="65" t="n">
        <x:v>0</x:v>
      </x:c>
      <x:c r="M87" s="65" t="str">
        <x:v>Machine-suggested near-miss; human review required.</x:v>
      </x:c>
    </x:row>
    <x:row r="88" ht="42" customHeight="1">
      <x:c r="A88" s="65" t="str">
        <x:v>gold30-005</x:v>
      </x:c>
      <x:c r="B88" s="65" t="str">
        <x:v>bm25</x:v>
      </x:c>
      <x:c r="C88" s="88" t="n">
        <x:v>3</x:v>
      </x:c>
      <x:c r="D88" s="65" t="str">
        <x:v>who-aqg-2021-extract</x:v>
      </x:c>
      <x:c r="E88" s="65" t="str">
        <x:v>who-aqg-2021-extract:structure:3</x:v>
      </x:c>
      <x:c r="F88" s="65" t="str">
        <x:v>p.4</x:v>
      </x:c>
      <x:c r="G88" s="92" t="n">
        <x:v>0.44444444</x:v>
      </x:c>
      <x:c r="H88" s="65" t="str">
        <x:v>WHO Global Air Quality Guidelines (2021) — particulate matter targets</x:v>
      </x:c>
      <x:c r="I88" s="65" t="str">
        <x:v>World Health Organization</x:v>
      </x:c>
      <x:c r="J88" s="65" t="str">
        <x:v>For PM10, the table reports an annual guideline level of 15 micrograms per cubic metre and a 24-hour guideline level of 45 micrograms per cubic metre. These values use an averaging time and pollutant-specific unit that must remain attached to the comparison.</x:v>
      </x:c>
      <x:c r="K88" s="65" t="str">
        <x:v>https://www.who.int/publications/i/item/9789240034228</x:v>
      </x:c>
      <x:c r="L88" s="65" t="n">
        <x:v>0</x:v>
      </x:c>
      <x:c r="M88" s="65" t="str">
        <x:v>Machine-suggested near-miss; human review required.</x:v>
      </x:c>
    </x:row>
    <x:row r="89" ht="42" customHeight="1">
      <x:c r="A89" s="65" t="str">
        <x:v>gold30-005</x:v>
      </x:c>
      <x:c r="B89" s="65" t="str">
        <x:v>bm25</x:v>
      </x:c>
      <x:c r="C89" s="88" t="n">
        <x:v>4</x:v>
      </x:c>
      <x:c r="D89" s="65" t="str">
        <x:v>bad-air-day-protection</x:v>
      </x:c>
      <x:c r="E89" s="65" t="str">
        <x:v>bad-air-day-protection:structure:1</x:v>
      </x:c>
      <x:c r="F89" s="65" t="str">
        <x:v>p.2</x:v>
      </x:c>
      <x:c r="G89" s="92" t="n">
        <x:v>0.33333333</x:v>
      </x:c>
      <x:c r="H89" s="65" t="str">
        <x:v>Bad-air-day protection playbook</x:v>
      </x:c>
      <x:c r="I89" s="65" t="str">
        <x:v>World Health Organization, Regional Office for Europe</x:v>
      </x:c>
      <x:c r="J89"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89" s="65" t="str">
        <x:v>https://www.who.int/news-room/questions-and-answers/item/air-pollution-personal-interventions-and-risk-communication</x:v>
      </x:c>
      <x:c r="L89" s="65" t="n">
        <x:v>0</x:v>
      </x:c>
      <x:c r="M89" s="65" t="str">
        <x:v>Machine-suggested near-miss; human review required.</x:v>
      </x:c>
    </x:row>
    <x:row r="90" ht="42" customHeight="1">
      <x:c r="A90" s="65" t="str">
        <x:v>gold30-005</x:v>
      </x:c>
      <x:c r="B90" s="65" t="str">
        <x:v>bm25</x:v>
      </x:c>
      <x:c r="C90" s="88" t="n">
        <x:v>5</x:v>
      </x:c>
      <x:c r="D90" s="65" t="str">
        <x:v>individual-emission-actions</x:v>
      </x:c>
      <x:c r="E90" s="65" t="str">
        <x:v>individual-emission-actions:structure:3</x:v>
      </x:c>
      <x:c r="F90" s="65" t="str">
        <x:v>p.4</x:v>
      </x:c>
      <x:c r="G90" s="92" t="n">
        <x:v>0.33333333</x:v>
      </x:c>
      <x:c r="H90" s="65" t="str">
        <x:v>What an individual can do to reduce emissions and improve accountability</x:v>
      </x:c>
      <x:c r="I90" s="65" t="str">
        <x:v>World Health Organization; Pemerintah Provinsi DKI Jakarta</x:v>
      </x:c>
      <x:c r="J90"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90" s="65" t="str">
        <x:v>https://www.who.int/europe/publications/m/item/personal-level-actions-to-reduce-air-pollution-exposure</x:v>
      </x:c>
      <x:c r="L90" s="65" t="n">
        <x:v>0</x:v>
      </x:c>
      <x:c r="M90" s="65" t="str">
        <x:v>Machine-suggested near-miss; human review required.</x:v>
      </x:c>
    </x:row>
    <x:row r="91" ht="42" customHeight="1">
      <x:c r="A91" s="65" t="str">
        <x:v>gold30-005</x:v>
      </x:c>
      <x:c r="B91" s="65" t="str">
        <x:v>dense</x:v>
      </x:c>
      <x:c r="C91" s="88" t="n">
        <x:v>1</x:v>
      </x:c>
      <x:c r="D91" s="65" t="str">
        <x:v>jakarta-historical-city-series</x:v>
      </x:c>
      <x:c r="E91" s="65" t="str">
        <x:v>jakarta-historical-city-series:structure:4</x:v>
      </x:c>
      <x:c r="F91" s="65" t="str">
        <x:v>p.5</x:v>
      </x:c>
      <x:c r="G91" s="92" t="n">
        <x:v>0.30399575</x:v>
      </x:c>
      <x:c r="H91" s="65" t="str">
        <x:v>Jakarta historical PM2.5 and PM10 series: provenance and quality</x:v>
      </x:c>
      <x:c r="I91" s="65" t="str">
        <x:v>Open-Meteo / CAMS Global; deposited dataset by Nitiraj Kulkarni and Jagadish Tawade</x:v>
      </x:c>
      <x:c r="J91" s="65" t="str">
        <x:v>Across paired rows, Pearson correlation is 0.883 and Spearman correlation is 0.873. Mean absolute difference is 17.06, median absolute difference 16.80, and RMSE 23.05 µg/m³. The median PM10:PM2.5 ratio is 1.435 (mean 1.272). Absolute differences are within 1, 2, and 5 µg/m³ for…</x:v>
      </x:c>
      <x:c r="K91" s="65" t="str">
        <x:v>https://zenodo.org/records/18673885</x:v>
      </x:c>
      <x:c r="L91" s="65" t="n">
        <x:v>0</x:v>
      </x:c>
      <x:c r="M91" s="65" t="str">
        <x:v>Machine-suggested near-miss; human review required.</x:v>
      </x:c>
    </x:row>
    <x:row r="92" ht="42" customHeight="1">
      <x:c r="A92" s="65" t="str">
        <x:v>gold30-005</x:v>
      </x:c>
      <x:c r="B92" s="65" t="str">
        <x:v>dense</x:v>
      </x:c>
      <x:c r="C92" s="88" t="n">
        <x:v>2</x:v>
      </x:c>
      <x:c r="D92" s="65" t="str">
        <x:v>jakarta-seasonal-exposure</x:v>
      </x:c>
      <x:c r="E92" s="65" t="str">
        <x:v>jakarta-seasonal-exposure:structure:1</x:v>
      </x:c>
      <x:c r="F92" s="65" t="str">
        <x:v>p.2</x:v>
      </x:c>
      <x:c r="G92" s="92" t="n">
        <x:v>0.18333954</x:v>
      </x:c>
      <x:c r="H92" s="65" t="str">
        <x:v>Jakarta timing and local exposure context</x:v>
      </x:c>
      <x:c r="I92" s="65" t="str">
        <x:v>Dinas Lingkungan Hidup DKI Jakarta</x:v>
      </x:c>
      <x:c r="J92" s="65" t="str">
        <x:v>DLH DKI, BMKG, KLHK, and Dinas Kesehatan warned that PM2.5 can increase in the dry season (roughly May–August in the notice) when rain and wind are low, because particles can accumulate and remain suspended. The notice also says SPKU observations showed different day/night patte…</x:v>
      </x:c>
      <x:c r="K92" s="65" t="str">
        <x:v>https://lingkunganhidup.jakarta.go.id/detail-artikel/masuki-musim-kemarau-pemprov-dki-minta-masyarakat-waspadai-penurunan-kualitas-udara</x:v>
      </x:c>
      <x:c r="L92" s="65" t="n">
        <x:v>0</x:v>
      </x:c>
      <x:c r="M92" s="65" t="str">
        <x:v>Machine-suggested near-miss; human review required.</x:v>
      </x:c>
    </x:row>
    <x:row r="93" ht="42" customHeight="1">
      <x:c r="A93" s="65" t="str">
        <x:v>gold30-005</x:v>
      </x:c>
      <x:c r="B93" s="65" t="str">
        <x:v>dense</x:v>
      </x:c>
      <x:c r="C93" s="88" t="n">
        <x:v>3</x:v>
      </x:c>
      <x:c r="D93" s="65" t="str">
        <x:v>ispu</x:v>
      </x:c>
      <x:c r="E93" s="65" t="str">
        <x:v>ispu:structure:1</x:v>
      </x:c>
      <x:c r="F93" s="65" t="str">
        <x:v>p.2</x:v>
      </x:c>
      <x:c r="G93" s="92" t="n">
        <x:v>0.1741363</x:v>
      </x:c>
      <x:c r="H93" s="65" t="str">
        <x:v>Indonesian ISPU categories</x:v>
      </x:c>
      <x:c r="I93" s="65" t="str">
        <x:v>Ministry of Environment and Forestry</x:v>
      </x:c>
      <x:c r="J93" s="65" t="str">
        <x:v>Never describe an ISPU value as a PM2.5 concentration. The application should show the index and the concentration separately.</x:v>
      </x:c>
      <x:c r="K93" s="65" t="str">
        <x:v>https://peraturan.bpk.go.id/Details/163466/permen-lhk-no-14-tahun-2020</x:v>
      </x:c>
      <x:c r="L93" s="65" t="n">
        <x:v>3</x:v>
      </x:c>
      <x:c r="M93" s="65" t="str">
        <x:v>Expected source for this question.</x:v>
      </x:c>
    </x:row>
    <x:row r="94" ht="42" customHeight="1">
      <x:c r="A94" s="65" t="str">
        <x:v>gold30-005</x:v>
      </x:c>
      <x:c r="B94" s="65" t="str">
        <x:v>dense</x:v>
      </x:c>
      <x:c r="C94" s="88" t="n">
        <x:v>4</x:v>
      </x:c>
      <x:c r="D94" s="65" t="str">
        <x:v>jakarta-causes</x:v>
      </x:c>
      <x:c r="E94" s="65" t="str">
        <x:v>jakarta-causes:structure:1</x:v>
      </x:c>
      <x:c r="F94" s="65" t="str">
        <x:v>p.2</x:v>
      </x:c>
      <x:c r="G94" s="92" t="n">
        <x:v>0.17375949</x:v>
      </x:c>
      <x:c r="H94" s="65" t="str">
        <x:v>What causes Jakarta air pollution</x:v>
      </x:c>
      <x:c r="I94" s="65" t="str">
        <x:v>Dinas Lingkungan Hidup DKI Jakarta / Vital Strategies / ITB</x:v>
      </x:c>
      <x:c r="J94" s="65" t="str">
        <x:v>The 2019–2020 Jakarta/ITB/Vital Strategies receptor-based source-apportionment study found that transport contributed substantially to ambient PM2.5, with different estimates by season and sampling site. It also identified coal combustion, construction, open burning, soil, and r…</x:v>
      </x:c>
      <x:c r="K94" s="65" t="str">
        <x:v>https://rendahemisi.jakarta.go.id/learn</x:v>
      </x:c>
      <x:c r="L94" s="65" t="n">
        <x:v>0</x:v>
      </x:c>
      <x:c r="M94" s="65" t="str">
        <x:v>Machine-suggested near-miss; human review required.</x:v>
      </x:c>
    </x:row>
    <x:row r="95" ht="42" customHeight="1">
      <x:c r="A95" s="65" t="str">
        <x:v>gold30-005</x:v>
      </x:c>
      <x:c r="B95" s="65" t="str">
        <x:v>dense</x:v>
      </x:c>
      <x:c r="C95" s="88" t="n">
        <x:v>5</x:v>
      </x:c>
      <x:c r="D95" s="65" t="str">
        <x:v>pp-22-2021-air-quality</x:v>
      </x:c>
      <x:c r="E95" s="65" t="str">
        <x:v>pp-22-2021-air-quality:structure:0</x:v>
      </x:c>
      <x:c r="F95" s="65" t="str">
        <x:v>p.1</x:v>
      </x:c>
      <x:c r="G95" s="92" t="n">
        <x:v>0.15183882</x:v>
      </x:c>
      <x:c r="H95" s="65" t="str">
        <x:v>PP No. 22 Tahun 2021 — environmental protection and ambient air quality</x:v>
      </x:c>
      <x:c r="I95" s="65" t="str">
        <x:v>Pemerintah Republik Indonesia / Database Peraturan BPK</x:v>
      </x:c>
      <x:c r="J95"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95" s="65" t="str">
        <x:v>https://peraturan.bpk.go.id/Details/161852/pp-no-22tahun-2021</x:v>
      </x:c>
      <x:c r="L95" s="65" t="n">
        <x:v>0</x:v>
      </x:c>
      <x:c r="M95" s="65" t="str">
        <x:v>Machine-suggested near-miss; human review required.</x:v>
      </x:c>
    </x:row>
    <x:row r="96" ht="42" customHeight="1">
      <x:c r="A96" s="65" t="str">
        <x:v>gold30-005</x:v>
      </x:c>
      <x:c r="B96" s="65" t="str">
        <x:v>hybrid</x:v>
      </x:c>
      <x:c r="C96" s="88" t="n">
        <x:v>1</x:v>
      </x:c>
      <x:c r="D96" s="65" t="str">
        <x:v>jakarta-historical-city-series</x:v>
      </x:c>
      <x:c r="E96" s="65" t="str">
        <x:v>jakarta-historical-city-series:structure:4</x:v>
      </x:c>
      <x:c r="F96" s="65" t="str">
        <x:v>p.5</x:v>
      </x:c>
      <x:c r="G96" s="92" t="n">
        <x:v>0.03311475</x:v>
      </x:c>
      <x:c r="H96" s="65" t="str">
        <x:v>Jakarta historical PM2.5 and PM10 series: provenance and quality</x:v>
      </x:c>
      <x:c r="I96" s="65" t="str">
        <x:v>Open-Meteo / CAMS Global; deposited dataset by Nitiraj Kulkarni and Jagadish Tawade</x:v>
      </x:c>
      <x:c r="J96" s="65" t="str">
        <x:v>Across paired rows, Pearson correlation is 0.883 and Spearman correlation is 0.873. Mean absolute difference is 17.06, median absolute difference 16.80, and RMSE 23.05 µg/m³. The median PM10:PM2.5 ratio is 1.435 (mean 1.272). Absolute differences are within 1, 2, and 5 µg/m³ for…</x:v>
      </x:c>
      <x:c r="K96" s="65" t="str">
        <x:v>https://zenodo.org/records/18673885</x:v>
      </x:c>
      <x:c r="L96" s="65" t="n">
        <x:v>0</x:v>
      </x:c>
      <x:c r="M96" s="65" t="str">
        <x:v>Machine-suggested near-miss; human review required.</x:v>
      </x:c>
    </x:row>
    <x:row r="97" ht="42" customHeight="1">
      <x:c r="A97" s="65" t="str">
        <x:v>gold30-005</x:v>
      </x:c>
      <x:c r="B97" s="65" t="str">
        <x:v>hybrid</x:v>
      </x:c>
      <x:c r="C97" s="88" t="n">
        <x:v>2</x:v>
      </x:c>
      <x:c r="D97" s="65" t="str">
        <x:v>jakarta-seasonal-exposure</x:v>
      </x:c>
      <x:c r="E97" s="65" t="str">
        <x:v>jakarta-seasonal-exposure:structure:1</x:v>
      </x:c>
      <x:c r="F97" s="65" t="str">
        <x:v>p.2</x:v>
      </x:c>
      <x:c r="G97" s="92" t="n">
        <x:v>0.0311575</x:v>
      </x:c>
      <x:c r="H97" s="65" t="str">
        <x:v>Jakarta timing and local exposure context</x:v>
      </x:c>
      <x:c r="I97" s="65" t="str">
        <x:v>Dinas Lingkungan Hidup DKI Jakarta</x:v>
      </x:c>
      <x:c r="J97" s="65" t="str">
        <x:v>DLH DKI, BMKG, KLHK, and Dinas Kesehatan warned that PM2.5 can increase in the dry season (roughly May–August in the notice) when rain and wind are low, because particles can accumulate and remain suspended. The notice also says SPKU observations showed different day/night patte…</x:v>
      </x:c>
      <x:c r="K97" s="65" t="str">
        <x:v>https://lingkunganhidup.jakarta.go.id/detail-artikel/masuki-musim-kemarau-pemprov-dki-minta-masyarakat-waspadai-penurunan-kualitas-udara</x:v>
      </x:c>
      <x:c r="L97" s="65" t="n">
        <x:v>0</x:v>
      </x:c>
      <x:c r="M97" s="65" t="str">
        <x:v>Machine-suggested near-miss; human review required.</x:v>
      </x:c>
    </x:row>
    <x:row r="98" ht="42" customHeight="1">
      <x:c r="A98" s="65" t="str">
        <x:v>gold30-005</x:v>
      </x:c>
      <x:c r="B98" s="65" t="str">
        <x:v>hybrid</x:v>
      </x:c>
      <x:c r="C98" s="88" t="n">
        <x:v>3</x:v>
      </x:c>
      <x:c r="D98" s="65" t="str">
        <x:v>jakarta-causes</x:v>
      </x:c>
      <x:c r="E98" s="65" t="str">
        <x:v>jakarta-causes:structure:1</x:v>
      </x:c>
      <x:c r="F98" s="65" t="str">
        <x:v>p.2</x:v>
      </x:c>
      <x:c r="G98" s="92" t="n">
        <x:v>0.03108902</x:v>
      </x:c>
      <x:c r="H98" s="65" t="str">
        <x:v>What causes Jakarta air pollution</x:v>
      </x:c>
      <x:c r="I98" s="65" t="str">
        <x:v>Dinas Lingkungan Hidup DKI Jakarta / Vital Strategies / ITB</x:v>
      </x:c>
      <x:c r="J98" s="65" t="str">
        <x:v>The 2019–2020 Jakarta/ITB/Vital Strategies receptor-based source-apportionment study found that transport contributed substantially to ambient PM2.5, with different estimates by season and sampling site. It also identified coal combustion, construction, open burning, soil, and r…</x:v>
      </x:c>
      <x:c r="K98" s="65" t="str">
        <x:v>https://rendahemisi.jakarta.go.id/learn</x:v>
      </x:c>
      <x:c r="L98" s="65" t="n">
        <x:v>0</x:v>
      </x:c>
      <x:c r="M98" s="65" t="str">
        <x:v>Machine-suggested near-miss; human review required.</x:v>
      </x:c>
    </x:row>
    <x:row r="99" ht="42" customHeight="1">
      <x:c r="A99" s="65" t="str">
        <x:v>gold30-005</x:v>
      </x:c>
      <x:c r="B99" s="65" t="str">
        <x:v>hybrid</x:v>
      </x:c>
      <x:c r="C99" s="88" t="n">
        <x:v>4</x:v>
      </x:c>
      <x:c r="D99" s="65" t="str">
        <x:v>ispu</x:v>
      </x:c>
      <x:c r="E99" s="65" t="str">
        <x:v>ispu:structure:1</x:v>
      </x:c>
      <x:c r="F99" s="65" t="str">
        <x:v>p.2</x:v>
      </x:c>
      <x:c r="G99" s="92" t="n">
        <x:v>0.03068323</x:v>
      </x:c>
      <x:c r="H99" s="65" t="str">
        <x:v>Indonesian ISPU categories</x:v>
      </x:c>
      <x:c r="I99" s="65" t="str">
        <x:v>Ministry of Environment and Forestry</x:v>
      </x:c>
      <x:c r="J99" s="65" t="str">
        <x:v>Never describe an ISPU value as a PM2.5 concentration. The application should show the index and the concentration separately.</x:v>
      </x:c>
      <x:c r="K99" s="65" t="str">
        <x:v>https://peraturan.bpk.go.id/Details/163466/permen-lhk-no-14-tahun-2020</x:v>
      </x:c>
      <x:c r="L99" s="65" t="n">
        <x:v>3</x:v>
      </x:c>
      <x:c r="M99" s="65" t="str">
        <x:v>Expected source for this question.</x:v>
      </x:c>
    </x:row>
    <x:row r="100" ht="42" customHeight="1">
      <x:c r="A100" s="65" t="str">
        <x:v>gold30-005</x:v>
      </x:c>
      <x:c r="B100" s="65" t="str">
        <x:v>hybrid</x:v>
      </x:c>
      <x:c r="C100" s="88" t="n">
        <x:v>5</x:v>
      </x:c>
      <x:c r="D100" s="65" t="str">
        <x:v>jakarta-policy-implementation</x:v>
      </x:c>
      <x:c r="E100" s="65" t="str">
        <x:v>jakarta-policy-implementation:structure:1</x:v>
      </x:c>
      <x:c r="F100" s="65" t="str">
        <x:v>p.2</x:v>
      </x:c>
      <x:c r="G100" s="92" t="n">
        <x:v>0.02970798</x:v>
      </x:c>
      <x:c r="H100" s="65" t="str">
        <x:v>Why rules can coexist with poor air: implementation evidence</x:v>
      </x:c>
      <x:c r="I100" s="65" t="str">
        <x:v>Pemerintah Provinsi DKI Jakarta; Dinas Lingkungan Hidup DKI Jakarta; Mahkamah Agung</x:v>
      </x:c>
      <x:c r="J100"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100" s="65" t="str">
        <x:v>https://www.jakarta.go.id/siaran-pers/4802-SP-HMS-06-2024</x:v>
      </x:c>
      <x:c r="L100" s="65" t="n">
        <x:v>0</x:v>
      </x:c>
      <x:c r="M100" s="65" t="str">
        <x:v>Machine-suggested near-miss; human review required.</x:v>
      </x:c>
    </x:row>
    <x:row r="101" ht="42" customHeight="1">
      <x:c r="A101" s="65" t="str">
        <x:v>gold30-005</x:v>
      </x:c>
      <x:c r="B101" s="65" t="str">
        <x:v>hybrid_rerank</x:v>
      </x:c>
      <x:c r="C101" s="88" t="n">
        <x:v>1</x:v>
      </x:c>
      <x:c r="D101" s="65" t="str">
        <x:v>jakarta-historical-city-series</x:v>
      </x:c>
      <x:c r="E101" s="65" t="str">
        <x:v>jakarta-historical-city-series:structure:4</x:v>
      </x:c>
      <x:c r="F101" s="65" t="str">
        <x:v>p.5</x:v>
      </x:c>
      <x:c r="G101" s="92" t="n">
        <x:v>0.55437887</x:v>
      </x:c>
      <x:c r="H101" s="65" t="str">
        <x:v>Jakarta historical PM2.5 and PM10 series: provenance and quality</x:v>
      </x:c>
      <x:c r="I101" s="65" t="str">
        <x:v>Open-Meteo / CAMS Global; deposited dataset by Nitiraj Kulkarni and Jagadish Tawade</x:v>
      </x:c>
      <x:c r="J101" s="65" t="str">
        <x:v>Across paired rows, Pearson correlation is 0.883 and Spearman correlation is 0.873. Mean absolute difference is 17.06, median absolute difference 16.80, and RMSE 23.05 µg/m³. The median PM10:PM2.5 ratio is 1.435 (mean 1.272). Absolute differences are within 1, 2, and 5 µg/m³ for…</x:v>
      </x:c>
      <x:c r="K101" s="65" t="str">
        <x:v>https://zenodo.org/records/18673885</x:v>
      </x:c>
      <x:c r="L101" s="65" t="n">
        <x:v>0</x:v>
      </x:c>
      <x:c r="M101" s="65" t="str">
        <x:v>Machine-suggested near-miss; human review required.</x:v>
      </x:c>
    </x:row>
    <x:row r="102" ht="42" customHeight="1">
      <x:c r="A102" s="65" t="str">
        <x:v>gold30-005</x:v>
      </x:c>
      <x:c r="B102" s="65" t="str">
        <x:v>hybrid_rerank</x:v>
      </x:c>
      <x:c r="C102" s="88" t="n">
        <x:v>2</x:v>
      </x:c>
      <x:c r="D102" s="65" t="str">
        <x:v>policy-improvements-evidence</x:v>
      </x:c>
      <x:c r="E102" s="65" t="str">
        <x:v>policy-improvements-evidence:structure:2</x:v>
      </x:c>
      <x:c r="F102" s="65" t="str">
        <x:v>p.3</x:v>
      </x:c>
      <x:c r="G102" s="92" t="n">
        <x:v>0.31594982</x:v>
      </x:c>
      <x:c r="H102" s="65" t="str">
        <x:v>Evidence-based policy improvements for Jakarta</x:v>
      </x:c>
      <x:c r="I102" s="65" t="str">
        <x:v>Dinas Lingkungan Hidup DKI Jakarta; World Health Organization</x:v>
      </x:c>
      <x:c r="J102"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102" s="65" t="str">
        <x:v>https://www.jakarta.go.id/siaran-pers/4802-SP-HMS-06-2024</x:v>
      </x:c>
      <x:c r="L102" s="65" t="n">
        <x:v>0</x:v>
      </x:c>
      <x:c r="M102" s="65" t="str">
        <x:v>Machine-suggested near-miss; human review required.</x:v>
      </x:c>
    </x:row>
    <x:row r="103" ht="42" customHeight="1">
      <x:c r="A103" s="65" t="str">
        <x:v>gold30-005</x:v>
      </x:c>
      <x:c r="B103" s="65" t="str">
        <x:v>hybrid_rerank</x:v>
      </x:c>
      <x:c r="C103" s="88" t="n">
        <x:v>3</x:v>
      </x:c>
      <x:c r="D103" s="65" t="str">
        <x:v>who-aqg-2021-extract</x:v>
      </x:c>
      <x:c r="E103" s="65" t="str">
        <x:v>who-aqg-2021-extract:structure:3</x:v>
      </x:c>
      <x:c r="F103" s="65" t="str">
        <x:v>p.4</x:v>
      </x:c>
      <x:c r="G103" s="92" t="n">
        <x:v>0.31587302</x:v>
      </x:c>
      <x:c r="H103" s="65" t="str">
        <x:v>WHO Global Air Quality Guidelines (2021) — particulate matter targets</x:v>
      </x:c>
      <x:c r="I103" s="65" t="str">
        <x:v>World Health Organization</x:v>
      </x:c>
      <x:c r="J103" s="65" t="str">
        <x:v>For PM10, the table reports an annual guideline level of 15 micrograms per cubic metre and a 24-hour guideline level of 45 micrograms per cubic metre. These values use an averaging time and pollutant-specific unit that must remain attached to the comparison.</x:v>
      </x:c>
      <x:c r="K103" s="65" t="str">
        <x:v>https://www.who.int/publications/i/item/9789240034228</x:v>
      </x:c>
      <x:c r="L103" s="65" t="n">
        <x:v>0</x:v>
      </x:c>
      <x:c r="M103" s="65" t="str">
        <x:v>Machine-suggested near-miss; human review required.</x:v>
      </x:c>
    </x:row>
    <x:row r="104" ht="42" customHeight="1">
      <x:c r="A104" s="65" t="str">
        <x:v>gold30-005</x:v>
      </x:c>
      <x:c r="B104" s="65" t="str">
        <x:v>hybrid_rerank</x:v>
      </x:c>
      <x:c r="C104" s="88" t="n">
        <x:v>4</x:v>
      </x:c>
      <x:c r="D104" s="65" t="str">
        <x:v>jakarta-seasonal-exposure</x:v>
      </x:c>
      <x:c r="E104" s="65" t="str">
        <x:v>jakarta-seasonal-exposure:structure:1</x:v>
      </x:c>
      <x:c r="F104" s="65" t="str">
        <x:v>p.2</x:v>
      </x:c>
      <x:c r="G104" s="92" t="n">
        <x:v>0.24268058</x:v>
      </x:c>
      <x:c r="H104" s="65" t="str">
        <x:v>Jakarta timing and local exposure context</x:v>
      </x:c>
      <x:c r="I104" s="65" t="str">
        <x:v>Dinas Lingkungan Hidup DKI Jakarta</x:v>
      </x:c>
      <x:c r="J104" s="65" t="str">
        <x:v>DLH DKI, BMKG, KLHK, and Dinas Kesehatan warned that PM2.5 can increase in the dry season (roughly May–August in the notice) when rain and wind are low, because particles can accumulate and remain suspended. The notice also says SPKU observations showed different day/night patte…</x:v>
      </x:c>
      <x:c r="K104" s="65" t="str">
        <x:v>https://lingkunganhidup.jakarta.go.id/detail-artikel/masuki-musim-kemarau-pemprov-dki-minta-masyarakat-waspadai-penurunan-kualitas-udara</x:v>
      </x:c>
      <x:c r="L104" s="65" t="n">
        <x:v>0</x:v>
      </x:c>
      <x:c r="M104" s="65" t="str">
        <x:v>Machine-suggested near-miss; human review required.</x:v>
      </x:c>
    </x:row>
    <x:row r="105" ht="42" customHeight="1">
      <x:c r="A105" s="65" t="str">
        <x:v>gold30-005</x:v>
      </x:c>
      <x:c r="B105" s="65" t="str">
        <x:v>hybrid_rerank</x:v>
      </x:c>
      <x:c r="C105" s="88" t="n">
        <x:v>5</x:v>
      </x:c>
      <x:c r="D105" s="65" t="str">
        <x:v>jakarta-causes</x:v>
      </x:c>
      <x:c r="E105" s="65" t="str">
        <x:v>jakarta-causes:structure:1</x:v>
      </x:c>
      <x:c r="F105" s="65" t="str">
        <x:v>p.2</x:v>
      </x:c>
      <x:c r="G105" s="92" t="n">
        <x:v>0.24266004</x:v>
      </x:c>
      <x:c r="H105" s="65" t="str">
        <x:v>What causes Jakarta air pollution</x:v>
      </x:c>
      <x:c r="I105" s="65" t="str">
        <x:v>Dinas Lingkungan Hidup DKI Jakarta / Vital Strategies / ITB</x:v>
      </x:c>
      <x:c r="J105" s="65" t="str">
        <x:v>The 2019–2020 Jakarta/ITB/Vital Strategies receptor-based source-apportionment study found that transport contributed substantially to ambient PM2.5, with different estimates by season and sampling site. It also identified coal combustion, construction, open burning, soil, and r…</x:v>
      </x:c>
      <x:c r="K105" s="65" t="str">
        <x:v>https://rendahemisi.jakarta.go.id/learn</x:v>
      </x:c>
      <x:c r="L105" s="65" t="n">
        <x:v>0</x:v>
      </x:c>
      <x:c r="M105" s="65" t="str">
        <x:v>Machine-suggested near-miss; human review required.</x:v>
      </x:c>
    </x:row>
    <x:row r="106" ht="42" customHeight="1">
      <x:c r="A106" s="65" t="str">
        <x:v>gold30-006</x:v>
      </x:c>
      <x:c r="B106" s="65" t="str">
        <x:v>bm25</x:v>
      </x:c>
      <x:c r="C106" s="88" t="n">
        <x:v>1</x:v>
      </x:c>
      <x:c r="D106" s="65" t="str">
        <x:v>who-aqg-2021-extract</x:v>
      </x:c>
      <x:c r="E106" s="65" t="str">
        <x:v>who-aqg-2021-extract:structure:2</x:v>
      </x:c>
      <x:c r="F106" s="65" t="str">
        <x:v>p.3</x:v>
      </x:c>
      <x:c r="G106" s="92" t="n">
        <x:v>0.2</x:v>
      </x:c>
      <x:c r="H106" s="65" t="str">
        <x:v>WHO Global Air Quality Guidelines (2021) — particulate matter targets</x:v>
      </x:c>
      <x:c r="I106" s="65" t="str">
        <x:v>World Health Organization</x:v>
      </x:c>
      <x:c r="J106"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06" s="65" t="str">
        <x:v>https://www.who.int/publications/i/item/9789240034228</x:v>
      </x:c>
      <x:c r="L106" s="65" t="n">
        <x:v>3</x:v>
      </x:c>
      <x:c r="M106" s="65" t="str">
        <x:v>Expected source for this question.</x:v>
      </x:c>
    </x:row>
    <x:row r="107" ht="42" customHeight="1">
      <x:c r="A107" s="65" t="str">
        <x:v>gold30-006</x:v>
      </x:c>
      <x:c r="B107" s="65" t="str">
        <x:v>bm25</x:v>
      </x:c>
      <x:c r="C107" s="88" t="n">
        <x:v>2</x:v>
      </x:c>
      <x:c r="D107" s="65" t="str">
        <x:v>bad-air-day-protection</x:v>
      </x:c>
      <x:c r="E107" s="65" t="str">
        <x:v>bad-air-day-protection:structure:1</x:v>
      </x:c>
      <x:c r="F107" s="65" t="str">
        <x:v>p.2</x:v>
      </x:c>
      <x:c r="G107" s="92" t="n">
        <x:v>0.1</x:v>
      </x:c>
      <x:c r="H107" s="65" t="str">
        <x:v>Bad-air-day protection playbook</x:v>
      </x:c>
      <x:c r="I107" s="65" t="str">
        <x:v>World Health Organization, Regional Office for Europe</x:v>
      </x:c>
      <x:c r="J107"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107" s="65" t="str">
        <x:v>https://www.who.int/news-room/questions-and-answers/item/air-pollution-personal-interventions-and-risk-communication</x:v>
      </x:c>
      <x:c r="L107" s="65" t="n">
        <x:v>0</x:v>
      </x:c>
      <x:c r="M107" s="65" t="str">
        <x:v>Machine-suggested near-miss; human review required.</x:v>
      </x:c>
    </x:row>
    <x:row r="108" ht="42" customHeight="1">
      <x:c r="A108" s="65" t="str">
        <x:v>gold30-006</x:v>
      </x:c>
      <x:c r="B108" s="65" t="str">
        <x:v>bm25</x:v>
      </x:c>
      <x:c r="C108" s="88" t="n">
        <x:v>3</x:v>
      </x:c>
      <x:c r="D108" s="65" t="str">
        <x:v>exposure-protection</x:v>
      </x:c>
      <x:c r="E108" s="65" t="str">
        <x:v>exposure-protection:structure:1</x:v>
      </x:c>
      <x:c r="F108" s="65" t="str">
        <x:v>p.2</x:v>
      </x:c>
      <x:c r="G108" s="92" t="n">
        <x:v>0.1</x:v>
      </x:c>
      <x:c r="H108" s="65" t="str">
        <x:v>Reducing personal exposure to air pollution</x:v>
      </x:c>
      <x:c r="I108" s="65" t="str">
        <x:v>World Health Organization</x:v>
      </x:c>
      <x:c r="J108" s="65" t="str">
        <x:v>A properly fitted, certified particulate respirator can reduce inhaled particles such as PM2.5, but it does not remove every gas and fit is important. Portable particle filtration may reduce indoor PM2.5, but effectiveness depends on room size, filter performance, fan speed, inf…</x:v>
      </x:c>
      <x:c r="K108" s="65" t="str">
        <x:v>https://www.who.int/publications/i/item/9789240000278</x:v>
      </x:c>
      <x:c r="L108" s="65" t="n">
        <x:v>0</x:v>
      </x:c>
      <x:c r="M108" s="65" t="str">
        <x:v>Machine-suggested near-miss; human review required.</x:v>
      </x:c>
    </x:row>
    <x:row r="109" ht="42" customHeight="1">
      <x:c r="A109" s="65" t="str">
        <x:v>gold30-006</x:v>
      </x:c>
      <x:c r="B109" s="65" t="str">
        <x:v>bm25</x:v>
      </x:c>
      <x:c r="C109" s="88" t="n">
        <x:v>4</x:v>
      </x:c>
      <x:c r="D109" s="65" t="str">
        <x:v>ispu</x:v>
      </x:c>
      <x:c r="E109" s="65" t="str">
        <x:v>ispu:structure:1</x:v>
      </x:c>
      <x:c r="F109" s="65" t="str">
        <x:v>p.2</x:v>
      </x:c>
      <x:c r="G109" s="92" t="n">
        <x:v>0.1</x:v>
      </x:c>
      <x:c r="H109" s="65" t="str">
        <x:v>Indonesian ISPU categories</x:v>
      </x:c>
      <x:c r="I109" s="65" t="str">
        <x:v>Ministry of Environment and Forestry</x:v>
      </x:c>
      <x:c r="J109" s="65" t="str">
        <x:v>Never describe an ISPU value as a PM2.5 concentration. The application should show the index and the concentration separately.</x:v>
      </x:c>
      <x:c r="K109" s="65" t="str">
        <x:v>https://peraturan.bpk.go.id/Details/163466/permen-lhk-no-14-tahun-2020</x:v>
      </x:c>
      <x:c r="L109" s="65" t="n">
        <x:v>0</x:v>
      </x:c>
      <x:c r="M109" s="65" t="str">
        <x:v>Machine-suggested near-miss; human review required.</x:v>
      </x:c>
    </x:row>
    <x:row r="110" ht="42" customHeight="1">
      <x:c r="A110" s="65" t="str">
        <x:v>gold30-006</x:v>
      </x:c>
      <x:c r="B110" s="65" t="str">
        <x:v>bm25</x:v>
      </x:c>
      <x:c r="C110" s="88" t="n">
        <x:v>5</x:v>
      </x:c>
      <x:c r="D110" s="65" t="str">
        <x:v>jakarta-causes</x:v>
      </x:c>
      <x:c r="E110" s="65" t="str">
        <x:v>jakarta-causes:structure:0</x:v>
      </x:c>
      <x:c r="F110" s="65" t="str">
        <x:v>p.1</x:v>
      </x:c>
      <x:c r="G110" s="92" t="n">
        <x:v>0.1</x:v>
      </x:c>
      <x:c r="H110" s="65" t="str">
        <x:v>What causes Jakarta air pollution</x:v>
      </x:c>
      <x:c r="I110" s="65" t="str">
        <x:v>Dinas Lingkungan Hidup DKI Jakarta / Vital Strategies / ITB</x:v>
      </x:c>
      <x:c r="J110"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10" s="65" t="str">
        <x:v>https://rendahemisi.jakarta.go.id/learn</x:v>
      </x:c>
      <x:c r="L110" s="65" t="n">
        <x:v>0</x:v>
      </x:c>
      <x:c r="M110" s="65" t="str">
        <x:v>Machine-suggested near-miss; human review required.</x:v>
      </x:c>
    </x:row>
    <x:row r="111" ht="42" customHeight="1">
      <x:c r="A111" s="65" t="str">
        <x:v>gold30-006</x:v>
      </x:c>
      <x:c r="B111" s="65" t="str">
        <x:v>dense</x:v>
      </x:c>
      <x:c r="C111" s="88" t="n">
        <x:v>1</x:v>
      </x:c>
      <x:c r="D111" s="65" t="str">
        <x:v>ispu</x:v>
      </x:c>
      <x:c r="E111" s="65" t="str">
        <x:v>ispu:structure:1</x:v>
      </x:c>
      <x:c r="F111" s="65" t="str">
        <x:v>p.2</x:v>
      </x:c>
      <x:c r="G111" s="92" t="n">
        <x:v>0.18355577</x:v>
      </x:c>
      <x:c r="H111" s="65" t="str">
        <x:v>Indonesian ISPU categories</x:v>
      </x:c>
      <x:c r="I111" s="65" t="str">
        <x:v>Ministry of Environment and Forestry</x:v>
      </x:c>
      <x:c r="J111" s="65" t="str">
        <x:v>Never describe an ISPU value as a PM2.5 concentration. The application should show the index and the concentration separately.</x:v>
      </x:c>
      <x:c r="K111" s="65" t="str">
        <x:v>https://peraturan.bpk.go.id/Details/163466/permen-lhk-no-14-tahun-2020</x:v>
      </x:c>
      <x:c r="L111" s="65" t="n">
        <x:v>0</x:v>
      </x:c>
      <x:c r="M111" s="65" t="str">
        <x:v>Machine-suggested near-miss; human review required.</x:v>
      </x:c>
    </x:row>
    <x:row r="112" ht="42" customHeight="1">
      <x:c r="A112" s="65" t="str">
        <x:v>gold30-006</x:v>
      </x:c>
      <x:c r="B112" s="65" t="str">
        <x:v>dense</x:v>
      </x:c>
      <x:c r="C112" s="88" t="n">
        <x:v>2</x:v>
      </x:c>
      <x:c r="D112" s="65" t="str">
        <x:v>jakarta-regulations</x:v>
      </x:c>
      <x:c r="E112" s="65" t="str">
        <x:v>jakarta-regulations:structure:0</x:v>
      </x:c>
      <x:c r="F112" s="65" t="str">
        <x:v>p.1</x:v>
      </x:c>
      <x:c r="G112" s="92" t="n">
        <x:v>0.16171115</x:v>
      </x:c>
      <x:c r="H112" s="65" t="str">
        <x:v>Jakarta and Indonesian air-quality regulations</x:v>
      </x:c>
      <x:c r="I112" s="65" t="str">
        <x:v>JDIH DKI Jakarta / Government of Indonesia</x:v>
      </x:c>
      <x:c r="J112"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112" s="65" t="str">
        <x:v>https://udara.jakarta.go.id/regulasi</x:v>
      </x:c>
      <x:c r="L112" s="65" t="n">
        <x:v>3</x:v>
      </x:c>
      <x:c r="M112" s="65" t="str">
        <x:v>Expected source for this question.</x:v>
      </x:c>
    </x:row>
    <x:row r="113" ht="42" customHeight="1">
      <x:c r="A113" s="65" t="str">
        <x:v>gold30-006</x:v>
      </x:c>
      <x:c r="B113" s="65" t="str">
        <x:v>dense</x:v>
      </x:c>
      <x:c r="C113" s="88" t="n">
        <x:v>3</x:v>
      </x:c>
      <x:c r="D113" s="65" t="str">
        <x:v>pp-22-2021-air-quality</x:v>
      </x:c>
      <x:c r="E113" s="65" t="str">
        <x:v>pp-22-2021-air-quality:structure:0</x:v>
      </x:c>
      <x:c r="F113" s="65" t="str">
        <x:v>p.1</x:v>
      </x:c>
      <x:c r="G113" s="92" t="n">
        <x:v>0.14004565</x:v>
      </x:c>
      <x:c r="H113" s="65" t="str">
        <x:v>PP No. 22 Tahun 2021 — environmental protection and ambient air quality</x:v>
      </x:c>
      <x:c r="I113" s="65" t="str">
        <x:v>Pemerintah Republik Indonesia / Database Peraturan BPK</x:v>
      </x:c>
      <x:c r="J113"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113" s="65" t="str">
        <x:v>https://peraturan.bpk.go.id/Details/161852/pp-no-22tahun-2021</x:v>
      </x:c>
      <x:c r="L113" s="65" t="n">
        <x:v>0</x:v>
      </x:c>
      <x:c r="M113" s="65" t="str">
        <x:v>Machine-suggested near-miss; human review required.</x:v>
      </x:c>
    </x:row>
    <x:row r="114" ht="42" customHeight="1">
      <x:c r="A114" s="65" t="str">
        <x:v>gold30-006</x:v>
      </x:c>
      <x:c r="B114" s="65" t="str">
        <x:v>dense</x:v>
      </x:c>
      <x:c r="C114" s="88" t="n">
        <x:v>4</x:v>
      </x:c>
      <x:c r="D114" s="65" t="str">
        <x:v>exposure-protection</x:v>
      </x:c>
      <x:c r="E114" s="65" t="str">
        <x:v>exposure-protection:structure:1</x:v>
      </x:c>
      <x:c r="F114" s="65" t="str">
        <x:v>p.2</x:v>
      </x:c>
      <x:c r="G114" s="92" t="n">
        <x:v>0.13274503</x:v>
      </x:c>
      <x:c r="H114" s="65" t="str">
        <x:v>Reducing personal exposure to air pollution</x:v>
      </x:c>
      <x:c r="I114" s="65" t="str">
        <x:v>World Health Organization</x:v>
      </x:c>
      <x:c r="J114" s="65" t="str">
        <x:v>A properly fitted, certified particulate respirator can reduce inhaled particles such as PM2.5, but it does not remove every gas and fit is important. Portable particle filtration may reduce indoor PM2.5, but effectiveness depends on room size, filter performance, fan speed, inf…</x:v>
      </x:c>
      <x:c r="K114" s="65" t="str">
        <x:v>https://www.who.int/publications/i/item/9789240000278</x:v>
      </x:c>
      <x:c r="L114" s="65" t="n">
        <x:v>0</x:v>
      </x:c>
      <x:c r="M114" s="65" t="str">
        <x:v>Machine-suggested near-miss; human review required.</x:v>
      </x:c>
    </x:row>
    <x:row r="115" ht="42" customHeight="1">
      <x:c r="A115" s="65" t="str">
        <x:v>gold30-006</x:v>
      </x:c>
      <x:c r="B115" s="65" t="str">
        <x:v>dense</x:v>
      </x:c>
      <x:c r="C115" s="88" t="n">
        <x:v>5</x:v>
      </x:c>
      <x:c r="D115" s="65" t="str">
        <x:v>clean-air-room</x:v>
      </x:c>
      <x:c r="E115" s="65" t="str">
        <x:v>clean-air-room:structure:0</x:v>
      </x:c>
      <x:c r="F115" s="65" t="str">
        <x:v>p.1</x:v>
      </x:c>
      <x:c r="G115" s="92" t="n">
        <x:v>0.12477209</x:v>
      </x:c>
      <x:c r="H115" s="65" t="str">
        <x:v>Indoor filtration and a clean-air room</x:v>
      </x:c>
      <x:c r="I115" s="65" t="str">
        <x:v>United States Environmental Protection Agency</x:v>
      </x:c>
      <x:c r="J115" s="65" t="str">
        <x:v>Published: not stated; page last updated 2026-02-17 (accessed 2026-09-07) Status as of: 2026-09-07 (technical guidance; not Indonesian law) Document type: indoor_air_guidance Tags: topic=indoor-filtration; audience=household; action=protect-now; pollutant=particles</x:v>
      </x:c>
      <x:c r="K115" s="65" t="str">
        <x:v>https://www.epa.gov/indoor-air-quality-iaq/guide-air-cleaners-home</x:v>
      </x:c>
      <x:c r="L115" s="65" t="n">
        <x:v>0</x:v>
      </x:c>
      <x:c r="M115" s="65" t="str">
        <x:v>Machine-suggested near-miss; human review required.</x:v>
      </x:c>
    </x:row>
    <x:row r="116" ht="42" customHeight="1">
      <x:c r="A116" s="65" t="str">
        <x:v>gold30-006</x:v>
      </x:c>
      <x:c r="B116" s="65" t="str">
        <x:v>hybrid</x:v>
      </x:c>
      <x:c r="C116" s="88" t="n">
        <x:v>1</x:v>
      </x:c>
      <x:c r="D116" s="65" t="str">
        <x:v>ispu</x:v>
      </x:c>
      <x:c r="E116" s="65" t="str">
        <x:v>ispu:structure:1</x:v>
      </x:c>
      <x:c r="F116" s="65" t="str">
        <x:v>p.2</x:v>
      </x:c>
      <x:c r="G116" s="92" t="n">
        <x:v>0.03234631</x:v>
      </x:c>
      <x:c r="H116" s="65" t="str">
        <x:v>Indonesian ISPU categories</x:v>
      </x:c>
      <x:c r="I116" s="65" t="str">
        <x:v>Ministry of Environment and Forestry</x:v>
      </x:c>
      <x:c r="J116" s="65" t="str">
        <x:v>Never describe an ISPU value as a PM2.5 concentration. The application should show the index and the concentration separately.</x:v>
      </x:c>
      <x:c r="K116" s="65" t="str">
        <x:v>https://peraturan.bpk.go.id/Details/163466/permen-lhk-no-14-tahun-2020</x:v>
      </x:c>
      <x:c r="L116" s="65" t="n">
        <x:v>0</x:v>
      </x:c>
      <x:c r="M116" s="65" t="str">
        <x:v>Machine-suggested near-miss; human review required.</x:v>
      </x:c>
    </x:row>
    <x:row r="117" ht="42" customHeight="1">
      <x:c r="A117" s="65" t="str">
        <x:v>gold30-006</x:v>
      </x:c>
      <x:c r="B117" s="65" t="str">
        <x:v>hybrid</x:v>
      </x:c>
      <x:c r="C117" s="88" t="n">
        <x:v>2</x:v>
      </x:c>
      <x:c r="D117" s="65" t="str">
        <x:v>exposure-protection</x:v>
      </x:c>
      <x:c r="E117" s="65" t="str">
        <x:v>exposure-protection:structure:1</x:v>
      </x:c>
      <x:c r="F117" s="65" t="str">
        <x:v>p.2</x:v>
      </x:c>
      <x:c r="G117" s="92" t="n">
        <x:v>0.03181052</x:v>
      </x:c>
      <x:c r="H117" s="65" t="str">
        <x:v>Reducing personal exposure to air pollution</x:v>
      </x:c>
      <x:c r="I117" s="65" t="str">
        <x:v>World Health Organization</x:v>
      </x:c>
      <x:c r="J117" s="65" t="str">
        <x:v>A properly fitted, certified particulate respirator can reduce inhaled particles such as PM2.5, but it does not remove every gas and fit is important. Portable particle filtration may reduce indoor PM2.5, but effectiveness depends on room size, filter performance, fan speed, inf…</x:v>
      </x:c>
      <x:c r="K117" s="65" t="str">
        <x:v>https://www.who.int/publications/i/item/9789240000278</x:v>
      </x:c>
      <x:c r="L117" s="65" t="n">
        <x:v>0</x:v>
      </x:c>
      <x:c r="M117" s="65" t="str">
        <x:v>Machine-suggested near-miss; human review required.</x:v>
      </x:c>
    </x:row>
    <x:row r="118" ht="42" customHeight="1">
      <x:c r="A118" s="65" t="str">
        <x:v>gold30-006</x:v>
      </x:c>
      <x:c r="B118" s="65" t="str">
        <x:v>hybrid</x:v>
      </x:c>
      <x:c r="C118" s="88" t="n">
        <x:v>3</x:v>
      </x:c>
      <x:c r="D118" s="65" t="str">
        <x:v>jakarta-regulations</x:v>
      </x:c>
      <x:c r="E118" s="65" t="str">
        <x:v>jakarta-regulations:structure:0</x:v>
      </x:c>
      <x:c r="F118" s="65" t="str">
        <x:v>p.1</x:v>
      </x:c>
      <x:c r="G118" s="92" t="n">
        <x:v>0.03094437</x:v>
      </x:c>
      <x:c r="H118" s="65" t="str">
        <x:v>Jakarta and Indonesian air-quality regulations</x:v>
      </x:c>
      <x:c r="I118" s="65" t="str">
        <x:v>JDIH DKI Jakarta / Government of Indonesia</x:v>
      </x:c>
      <x:c r="J118"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118" s="65" t="str">
        <x:v>https://udara.jakarta.go.id/regulasi</x:v>
      </x:c>
      <x:c r="L118" s="65" t="n">
        <x:v>3</x:v>
      </x:c>
      <x:c r="M118" s="65" t="str">
        <x:v>Expected source for this question.</x:v>
      </x:c>
    </x:row>
    <x:row r="119" ht="42" customHeight="1">
      <x:c r="A119" s="65" t="str">
        <x:v>gold30-006</x:v>
      </x:c>
      <x:c r="B119" s="65" t="str">
        <x:v>hybrid</x:v>
      </x:c>
      <x:c r="C119" s="88" t="n">
        <x:v>4</x:v>
      </x:c>
      <x:c r="D119" s="65" t="str">
        <x:v>jakarta-historical-city-series</x:v>
      </x:c>
      <x:c r="E119" s="65" t="str">
        <x:v>jakarta-historical-city-series:structure:2</x:v>
      </x:c>
      <x:c r="F119" s="65" t="str">
        <x:v>p.3</x:v>
      </x:c>
      <x:c r="G119" s="92" t="n">
        <x:v>0.03037992</x:v>
      </x:c>
      <x:c r="H119" s="65" t="str">
        <x:v>Jakarta historical PM2.5 and PM10 series: provenance and quality</x:v>
      </x:c>
      <x:c r="I119" s="65" t="str">
        <x:v>Open-Meteo / CAMS Global; deposited dataset by Nitiraj Kulkarni and Jagadish Tawade</x:v>
      </x:c>
      <x:c r="J119"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19" s="65" t="str">
        <x:v>https://zenodo.org/records/18673885</x:v>
      </x:c>
      <x:c r="L119" s="65" t="n">
        <x:v>0</x:v>
      </x:c>
      <x:c r="M119" s="65" t="str">
        <x:v>Machine-suggested near-miss; human review required.</x:v>
      </x:c>
    </x:row>
    <x:row r="120" ht="42" customHeight="1">
      <x:c r="A120" s="65" t="str">
        <x:v>gold30-006</x:v>
      </x:c>
      <x:c r="B120" s="65" t="str">
        <x:v>hybrid</x:v>
      </x:c>
      <x:c r="C120" s="88" t="n">
        <x:v>5</x:v>
      </x:c>
      <x:c r="D120" s="65" t="str">
        <x:v>jakarta-seasonal-exposure</x:v>
      </x:c>
      <x:c r="E120" s="65" t="str">
        <x:v>jakarta-seasonal-exposure:structure:0</x:v>
      </x:c>
      <x:c r="F120" s="65" t="str">
        <x:v>p.1</x:v>
      </x:c>
      <x:c r="G120" s="92" t="n">
        <x:v>0.02885714</x:v>
      </x:c>
      <x:c r="H120" s="65" t="str">
        <x:v>Jakarta timing and local exposure context</x:v>
      </x:c>
      <x:c r="I120" s="65" t="str">
        <x:v>Dinas Lingkungan Hidup DKI Jakarta</x:v>
      </x:c>
      <x:c r="J120" s="65" t="str">
        <x:v>Published: 2024-04-06 Status as of: 2026-09-07 (official seasonal notice; not a current forecast) Document type: official_public_guidance Tags: topic=exposure-protection; audience=Jakarta-resident; action=protect-now; pollutant=PM2.5</x:v>
      </x:c>
      <x:c r="K120" s="65" t="str">
        <x:v>https://lingkunganhidup.jakarta.go.id/detail-artikel/masuki-musim-kemarau-pemprov-dki-minta-masyarakat-waspadai-penurunan-kualitas-udara</x:v>
      </x:c>
      <x:c r="L120" s="65" t="n">
        <x:v>0</x:v>
      </x:c>
      <x:c r="M120" s="65" t="str">
        <x:v>Machine-suggested near-miss; human review required.</x:v>
      </x:c>
    </x:row>
    <x:row r="121" ht="42" customHeight="1">
      <x:c r="A121" s="65" t="str">
        <x:v>gold30-006</x:v>
      </x:c>
      <x:c r="B121" s="65" t="str">
        <x:v>hybrid_rerank</x:v>
      </x:c>
      <x:c r="C121" s="88" t="n">
        <x:v>1</x:v>
      </x:c>
      <x:c r="D121" s="65" t="str">
        <x:v>who-aqg-2021-extract</x:v>
      </x:c>
      <x:c r="E121" s="65" t="str">
        <x:v>who-aqg-2021-extract:structure:2</x:v>
      </x:c>
      <x:c r="F121" s="65" t="str">
        <x:v>p.3</x:v>
      </x:c>
      <x:c r="G121" s="92" t="n">
        <x:v>0.14491803</x:v>
      </x:c>
      <x:c r="H121" s="65" t="str">
        <x:v>WHO Global Air Quality Guidelines (2021) — particulate matter targets</x:v>
      </x:c>
      <x:c r="I121" s="65" t="str">
        <x:v>World Health Organization</x:v>
      </x:c>
      <x:c r="J121"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21" s="65" t="str">
        <x:v>https://www.who.int/publications/i/item/9789240034228</x:v>
      </x:c>
      <x:c r="L121" s="65" t="n">
        <x:v>3</x:v>
      </x:c>
      <x:c r="M121" s="65" t="str">
        <x:v>Expected source for this question.</x:v>
      </x:c>
    </x:row>
    <x:row r="122" ht="42" customHeight="1">
      <x:c r="A122" s="65" t="str">
        <x:v>gold30-006</x:v>
      </x:c>
      <x:c r="B122" s="65" t="str">
        <x:v>hybrid_rerank</x:v>
      </x:c>
      <x:c r="C122" s="88" t="n">
        <x:v>2</x:v>
      </x:c>
      <x:c r="D122" s="65" t="str">
        <x:v>ispu</x:v>
      </x:c>
      <x:c r="E122" s="65" t="str">
        <x:v>ispu:structure:1</x:v>
      </x:c>
      <x:c r="F122" s="65" t="str">
        <x:v>p.2</x:v>
      </x:c>
      <x:c r="G122" s="92" t="n">
        <x:v>0.07970389</x:v>
      </x:c>
      <x:c r="H122" s="65" t="str">
        <x:v>Indonesian ISPU categories</x:v>
      </x:c>
      <x:c r="I122" s="65" t="str">
        <x:v>Ministry of Environment and Forestry</x:v>
      </x:c>
      <x:c r="J122" s="65" t="str">
        <x:v>Never describe an ISPU value as a PM2.5 concentration. The application should show the index and the concentration separately.</x:v>
      </x:c>
      <x:c r="K122" s="65" t="str">
        <x:v>https://peraturan.bpk.go.id/Details/163466/permen-lhk-no-14-tahun-2020</x:v>
      </x:c>
      <x:c r="L122" s="65" t="n">
        <x:v>0</x:v>
      </x:c>
      <x:c r="M122" s="65" t="str">
        <x:v>Machine-suggested near-miss; human review required.</x:v>
      </x:c>
    </x:row>
    <x:row r="123" ht="42" customHeight="1">
      <x:c r="A123" s="65" t="str">
        <x:v>gold30-006</x:v>
      </x:c>
      <x:c r="B123" s="65" t="str">
        <x:v>hybrid_rerank</x:v>
      </x:c>
      <x:c r="C123" s="88" t="n">
        <x:v>3</x:v>
      </x:c>
      <x:c r="D123" s="65" t="str">
        <x:v>exposure-protection</x:v>
      </x:c>
      <x:c r="E123" s="65" t="str">
        <x:v>exposure-protection:structure:1</x:v>
      </x:c>
      <x:c r="F123" s="65" t="str">
        <x:v>p.2</x:v>
      </x:c>
      <x:c r="G123" s="92" t="n">
        <x:v>0.07954315</x:v>
      </x:c>
      <x:c r="H123" s="65" t="str">
        <x:v>Reducing personal exposure to air pollution</x:v>
      </x:c>
      <x:c r="I123" s="65" t="str">
        <x:v>World Health Organization</x:v>
      </x:c>
      <x:c r="J123" s="65" t="str">
        <x:v>A properly fitted, certified particulate respirator can reduce inhaled particles such as PM2.5, but it does not remove every gas and fit is important. Portable particle filtration may reduce indoor PM2.5, but effectiveness depends on room size, filter performance, fan speed, inf…</x:v>
      </x:c>
      <x:c r="K123" s="65" t="str">
        <x:v>https://www.who.int/publications/i/item/9789240000278</x:v>
      </x:c>
      <x:c r="L123" s="65" t="n">
        <x:v>0</x:v>
      </x:c>
      <x:c r="M123" s="65" t="str">
        <x:v>Machine-suggested near-miss; human review required.</x:v>
      </x:c>
    </x:row>
    <x:row r="124" ht="42" customHeight="1">
      <x:c r="A124" s="65" t="str">
        <x:v>gold30-006</x:v>
      </x:c>
      <x:c r="B124" s="65" t="str">
        <x:v>hybrid_rerank</x:v>
      </x:c>
      <x:c r="C124" s="88" t="n">
        <x:v>4</x:v>
      </x:c>
      <x:c r="D124" s="65" t="str">
        <x:v>jakarta-regulations</x:v>
      </x:c>
      <x:c r="E124" s="65" t="str">
        <x:v>jakarta-regulations:structure:0</x:v>
      </x:c>
      <x:c r="F124" s="65" t="str">
        <x:v>p.1</x:v>
      </x:c>
      <x:c r="G124" s="92" t="n">
        <x:v>0.07928331</x:v>
      </x:c>
      <x:c r="H124" s="65" t="str">
        <x:v>Jakarta and Indonesian air-quality regulations</x:v>
      </x:c>
      <x:c r="I124" s="65" t="str">
        <x:v>JDIH DKI Jakarta / Government of Indonesia</x:v>
      </x:c>
      <x:c r="J124"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124" s="65" t="str">
        <x:v>https://udara.jakarta.go.id/regulasi</x:v>
      </x:c>
      <x:c r="L124" s="65" t="n">
        <x:v>3</x:v>
      </x:c>
      <x:c r="M124" s="65" t="str">
        <x:v>Expected source for this question.</x:v>
      </x:c>
    </x:row>
    <x:row r="125" ht="42" customHeight="1">
      <x:c r="A125" s="65" t="str">
        <x:v>gold30-006</x:v>
      </x:c>
      <x:c r="B125" s="65" t="str">
        <x:v>hybrid_rerank</x:v>
      </x:c>
      <x:c r="C125" s="88" t="n">
        <x:v>5</x:v>
      </x:c>
      <x:c r="D125" s="65" t="str">
        <x:v>jakarta-historical-city-series</x:v>
      </x:c>
      <x:c r="E125" s="65" t="str">
        <x:v>jakarta-historical-city-series:structure:2</x:v>
      </x:c>
      <x:c r="F125" s="65" t="str">
        <x:v>p.3</x:v>
      </x:c>
      <x:c r="G125" s="92" t="n">
        <x:v>0.07911398</x:v>
      </x:c>
      <x:c r="H125" s="65" t="str">
        <x:v>Jakarta historical PM2.5 and PM10 series: provenance and quality</x:v>
      </x:c>
      <x:c r="I125" s="65" t="str">
        <x:v>Open-Meteo / CAMS Global; deposited dataset by Nitiraj Kulkarni and Jagadish Tawade</x:v>
      </x:c>
      <x:c r="J125"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25" s="65" t="str">
        <x:v>https://zenodo.org/records/18673885</x:v>
      </x:c>
      <x:c r="L125" s="65" t="n">
        <x:v>0</x:v>
      </x:c>
      <x:c r="M125" s="65" t="str">
        <x:v>Machine-suggested near-miss; human review required.</x:v>
      </x:c>
    </x:row>
    <x:row r="126" ht="42" customHeight="1">
      <x:c r="A126" s="65" t="str">
        <x:v>gold30-007</x:v>
      </x:c>
      <x:c r="B126" s="65" t="str">
        <x:v>bm25</x:v>
      </x:c>
      <x:c r="C126" s="88" t="n">
        <x:v>1</x:v>
      </x:c>
      <x:c r="D126" s="65" t="str">
        <x:v>jakarta-historical-city-series</x:v>
      </x:c>
      <x:c r="E126" s="65" t="str">
        <x:v>jakarta-historical-city-series:structure:2</x:v>
      </x:c>
      <x:c r="F126" s="65" t="str">
        <x:v>p.3</x:v>
      </x:c>
      <x:c r="G126" s="92" t="n">
        <x:v>0.7</x:v>
      </x:c>
      <x:c r="H126" s="65" t="str">
        <x:v>Jakarta historical PM2.5 and PM10 series: provenance and quality</x:v>
      </x:c>
      <x:c r="I126" s="65" t="str">
        <x:v>Open-Meteo / CAMS Global; deposited dataset by Nitiraj Kulkarni and Jagadish Tawade</x:v>
      </x:c>
      <x:c r="J126"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26" s="65" t="str">
        <x:v>https://zenodo.org/records/18673885</x:v>
      </x:c>
      <x:c r="L126" s="65" t="n">
        <x:v>3</x:v>
      </x:c>
      <x:c r="M126" s="65" t="str">
        <x:v>Expected source for this question.</x:v>
      </x:c>
    </x:row>
    <x:row r="127" ht="42" customHeight="1">
      <x:c r="A127" s="65" t="str">
        <x:v>gold30-007</x:v>
      </x:c>
      <x:c r="B127" s="65" t="str">
        <x:v>bm25</x:v>
      </x:c>
      <x:c r="C127" s="88" t="n">
        <x:v>2</x:v>
      </x:c>
      <x:c r="D127" s="65" t="str">
        <x:v>individual-emission-actions</x:v>
      </x:c>
      <x:c r="E127" s="65" t="str">
        <x:v>individual-emission-actions:structure:2</x:v>
      </x:c>
      <x:c r="F127" s="65" t="str">
        <x:v>p.3</x:v>
      </x:c>
      <x:c r="G127" s="92" t="n">
        <x:v>0.4</x:v>
      </x:c>
      <x:c r="H127" s="65" t="str">
        <x:v>What an individual can do to reduce emissions and improve accountability</x:v>
      </x:c>
      <x:c r="I127" s="65" t="str">
        <x:v>World Health Organization; Pemerintah Provinsi DKI Jakarta</x:v>
      </x:c>
      <x:c r="J127" s="65" t="str">
        <x:v>Report suspected open burning, smoky vehicles, or industrial violations through the responsible DKI/KLHK reporting channel and keep the date, location, photo or video, wind/odour description, and the relevant station reading. Join a community-monitoring project only if sensors h…</x:v>
      </x:c>
      <x:c r="K127" s="65" t="str">
        <x:v>https://www.who.int/europe/publications/m/item/personal-level-actions-to-reduce-air-pollution-exposure</x:v>
      </x:c>
      <x:c r="L127" s="65" t="n">
        <x:v>0</x:v>
      </x:c>
      <x:c r="M127" s="65" t="str">
        <x:v>Machine-suggested near-miss; human review required.</x:v>
      </x:c>
    </x:row>
    <x:row r="128" ht="42" customHeight="1">
      <x:c r="A128" s="65" t="str">
        <x:v>gold30-007</x:v>
      </x:c>
      <x:c r="B128" s="65" t="str">
        <x:v>bm25</x:v>
      </x:c>
      <x:c r="C128" s="88" t="n">
        <x:v>3</x:v>
      </x:c>
      <x:c r="D128" s="65" t="str">
        <x:v>jakarta-causes</x:v>
      </x:c>
      <x:c r="E128" s="65" t="str">
        <x:v>jakarta-causes:structure:0</x:v>
      </x:c>
      <x:c r="F128" s="65" t="str">
        <x:v>p.1</x:v>
      </x:c>
      <x:c r="G128" s="92" t="n">
        <x:v>0.4</x:v>
      </x:c>
      <x:c r="H128" s="65" t="str">
        <x:v>What causes Jakarta air pollution</x:v>
      </x:c>
      <x:c r="I128" s="65" t="str">
        <x:v>Dinas Lingkungan Hidup DKI Jakarta / Vital Strategies / ITB</x:v>
      </x:c>
      <x:c r="J128"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28" s="65" t="str">
        <x:v>https://rendahemisi.jakarta.go.id/learn</x:v>
      </x:c>
      <x:c r="L128" s="65" t="n">
        <x:v>0</x:v>
      </x:c>
      <x:c r="M128" s="65" t="str">
        <x:v>Machine-suggested near-miss; human review required.</x:v>
      </x:c>
    </x:row>
    <x:row r="129" ht="42" customHeight="1">
      <x:c r="A129" s="65" t="str">
        <x:v>gold30-007</x:v>
      </x:c>
      <x:c r="B129" s="65" t="str">
        <x:v>bm25</x:v>
      </x:c>
      <x:c r="C129" s="88" t="n">
        <x:v>4</x:v>
      </x:c>
      <x:c r="D129" s="65" t="str">
        <x:v>policy-improvements-evidence</x:v>
      </x:c>
      <x:c r="E129" s="65" t="str">
        <x:v>policy-improvements-evidence:structure:2</x:v>
      </x:c>
      <x:c r="F129" s="65" t="str">
        <x:v>p.3</x:v>
      </x:c>
      <x:c r="G129" s="92" t="n">
        <x:v>0.4</x:v>
      </x:c>
      <x:c r="H129" s="65" t="str">
        <x:v>Evidence-based policy improvements for Jakarta</x:v>
      </x:c>
      <x:c r="I129" s="65" t="str">
        <x:v>Dinas Lingkungan Hidup DKI Jakarta; World Health Organization</x:v>
      </x:c>
      <x:c r="J129"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129" s="65" t="str">
        <x:v>https://www.jakarta.go.id/siaran-pers/4802-SP-HMS-06-2024</x:v>
      </x:c>
      <x:c r="L129" s="65" t="n">
        <x:v>0</x:v>
      </x:c>
      <x:c r="M129" s="65" t="str">
        <x:v>Machine-suggested near-miss; human review required.</x:v>
      </x:c>
    </x:row>
    <x:row r="130" ht="42" customHeight="1">
      <x:c r="A130" s="65" t="str">
        <x:v>gold30-007</x:v>
      </x:c>
      <x:c r="B130" s="65" t="str">
        <x:v>bm25</x:v>
      </x:c>
      <x:c r="C130" s="88" t="n">
        <x:v>5</x:v>
      </x:c>
      <x:c r="D130" s="65" t="str">
        <x:v>bad-air-day-protection</x:v>
      </x:c>
      <x:c r="E130" s="65" t="str">
        <x:v>bad-air-day-protection:structure:1</x:v>
      </x:c>
      <x:c r="F130" s="65" t="str">
        <x:v>p.2</x:v>
      </x:c>
      <x:c r="G130" s="92" t="n">
        <x:v>0.3</x:v>
      </x:c>
      <x:c r="H130" s="65" t="str">
        <x:v>Bad-air-day protection playbook</x:v>
      </x:c>
      <x:c r="I130" s="65" t="str">
        <x:v>World Health Organization, Regional Office for Europe</x:v>
      </x:c>
      <x:c r="J130"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130" s="65" t="str">
        <x:v>https://www.who.int/news-room/questions-and-answers/item/air-pollution-personal-interventions-and-risk-communication</x:v>
      </x:c>
      <x:c r="L130" s="65" t="n">
        <x:v>0</x:v>
      </x:c>
      <x:c r="M130" s="65" t="str">
        <x:v>Machine-suggested near-miss; human review required.</x:v>
      </x:c>
    </x:row>
    <x:row r="131" ht="42" customHeight="1">
      <x:c r="A131" s="65" t="str">
        <x:v>gold30-007</x:v>
      </x:c>
      <x:c r="B131" s="65" t="str">
        <x:v>dense</x:v>
      </x:c>
      <x:c r="C131" s="88" t="n">
        <x:v>1</x:v>
      </x:c>
      <x:c r="D131" s="65" t="str">
        <x:v>jakarta-monitoring</x:v>
      </x:c>
      <x:c r="E131" s="65" t="str">
        <x:v>jakarta-monitoring:structure:0</x:v>
      </x:c>
      <x:c r="F131" s="65" t="str">
        <x:v>p.1</x:v>
      </x:c>
      <x:c r="G131" s="92" t="n">
        <x:v>0.43216944</x:v>
      </x:c>
      <x:c r="H131" s="65" t="str">
        <x:v>Jakarta monitoring stations</x:v>
      </x:c>
      <x:c r="I131" s="65" t="str">
        <x:v>Dinas Lingkungan Hidup Provinsi DKI Jakarta</x:v>
      </x:c>
      <x:c r="J131" s="65" t="str">
        <x:v>Jakarta's official monitoring portal publishes station locations, pollutant parameters, current readings, and timestamps. A station observation describes that station and observation time; it should not automatically be generalized to all of Jakarta.</x:v>
      </x:c>
      <x:c r="K131" s="65" t="str">
        <x:v>https://udara.jakarta.go.id/lokasi-spku</x:v>
      </x:c>
      <x:c r="L131" s="65" t="n">
        <x:v>0</x:v>
      </x:c>
      <x:c r="M131" s="65" t="str">
        <x:v>Machine-suggested near-miss; human review required.</x:v>
      </x:c>
    </x:row>
    <x:row r="132" ht="42" customHeight="1">
      <x:c r="A132" s="65" t="str">
        <x:v>gold30-007</x:v>
      </x:c>
      <x:c r="B132" s="65" t="str">
        <x:v>dense</x:v>
      </x:c>
      <x:c r="C132" s="88" t="n">
        <x:v>2</x:v>
      </x:c>
      <x:c r="D132" s="65" t="str">
        <x:v>jakarta-causes</x:v>
      </x:c>
      <x:c r="E132" s="65" t="str">
        <x:v>jakarta-causes:structure:0</x:v>
      </x:c>
      <x:c r="F132" s="65" t="str">
        <x:v>p.1</x:v>
      </x:c>
      <x:c r="G132" s="92" t="n">
        <x:v>0.33829663</x:v>
      </x:c>
      <x:c r="H132" s="65" t="str">
        <x:v>What causes Jakarta air pollution</x:v>
      </x:c>
      <x:c r="I132" s="65" t="str">
        <x:v>Dinas Lingkungan Hidup DKI Jakarta / Vital Strategies / ITB</x:v>
      </x:c>
      <x:c r="J132"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32" s="65" t="str">
        <x:v>https://rendahemisi.jakarta.go.id/learn</x:v>
      </x:c>
      <x:c r="L132" s="65" t="n">
        <x:v>0</x:v>
      </x:c>
      <x:c r="M132" s="65" t="str">
        <x:v>Machine-suggested near-miss; human review required.</x:v>
      </x:c>
    </x:row>
    <x:row r="133" ht="42" customHeight="1">
      <x:c r="A133" s="65" t="str">
        <x:v>gold30-007</x:v>
      </x:c>
      <x:c r="B133" s="65" t="str">
        <x:v>dense</x:v>
      </x:c>
      <x:c r="C133" s="88" t="n">
        <x:v>3</x:v>
      </x:c>
      <x:c r="D133" s="65" t="str">
        <x:v>jakarta-sppu-official-status-2024</x:v>
      </x:c>
      <x:c r="E133" s="65" t="str">
        <x:v>jakarta-sppu-official-status-2024:structure:1</x:v>
      </x:c>
      <x:c r="F133" s="65" t="str">
        <x:v>p.2</x:v>
      </x:c>
      <x:c r="G133" s="92" t="n">
        <x:v>0.32208016</x:v>
      </x:c>
      <x:c r="H133" s="65" t="str">
        <x:v>Jakarta SPPU and air-quality implementation status (official statement, 2024)</x:v>
      </x:c>
      <x:c r="I133" s="65" t="str">
        <x:v>Pemerintah Provinsi DKI Jakarta / Dinas Lingkungan Hidup DKI Jakarta</x:v>
      </x:c>
      <x:c r="J133" s="65" t="str">
        <x:v>The official statement discusses work involving emissions inventories, stronger oversight of mobile and stationary sources, and cooperation across the Greater Jakarta agglomeration. These are documented workstreams and should not be rewritten as completed outcomes without separa…</x:v>
      </x:c>
      <x:c r="K133" s="65" t="str">
        <x:v>https://www.jakarta.go.id/siaran-pers/4802-SP-HMS-06-2024</x:v>
      </x:c>
      <x:c r="L133" s="65" t="n">
        <x:v>0</x:v>
      </x:c>
      <x:c r="M133" s="65" t="str">
        <x:v>Machine-suggested near-miss; human review required.</x:v>
      </x:c>
    </x:row>
    <x:row r="134" ht="42" customHeight="1">
      <x:c r="A134" s="65" t="str">
        <x:v>gold30-007</x:v>
      </x:c>
      <x:c r="B134" s="65" t="str">
        <x:v>dense</x:v>
      </x:c>
      <x:c r="C134" s="88" t="n">
        <x:v>4</x:v>
      </x:c>
      <x:c r="D134" s="65" t="str">
        <x:v>jakarta-policy-implementation</x:v>
      </x:c>
      <x:c r="E134" s="65" t="str">
        <x:v>jakarta-policy-implementation:structure:0</x:v>
      </x:c>
      <x:c r="F134" s="65" t="str">
        <x:v>p.1</x:v>
      </x:c>
      <x:c r="G134" s="92" t="n">
        <x:v>0.31554814</x:v>
      </x:c>
      <x:c r="H134" s="65" t="str">
        <x:v>Why rules can coexist with poor air: implementation evidence</x:v>
      </x:c>
      <x:c r="I134" s="65" t="str">
        <x:v>Pemerintah Provinsi DKI Jakarta; Dinas Lingkungan Hidup DKI Jakarta; Mahkamah Agung</x:v>
      </x:c>
      <x:c r="J134" s="65" t="str">
        <x:v>Published: 2024-06-19; court record dated 2021-09-16 Status as of: 2026-09-07 (status is date-bounded; verify later changes in JDIH) Document type: implementation_evidence Tags: topic=regulation-implementation; audience=Jakarta-resident; action=accountability; status=implementat…</x:v>
      </x:c>
      <x:c r="K134" s="65" t="str">
        <x:v>https://www.jakarta.go.id/siaran-pers/4802-SP-HMS-06-2024</x:v>
      </x:c>
      <x:c r="L134" s="65" t="n">
        <x:v>0</x:v>
      </x:c>
      <x:c r="M134" s="65" t="str">
        <x:v>Machine-suggested near-miss; human review required.</x:v>
      </x:c>
    </x:row>
    <x:row r="135" ht="42" customHeight="1">
      <x:c r="A135" s="65" t="str">
        <x:v>gold30-007</x:v>
      </x:c>
      <x:c r="B135" s="65" t="str">
        <x:v>dense</x:v>
      </x:c>
      <x:c r="C135" s="88" t="n">
        <x:v>5</x:v>
      </x:c>
      <x:c r="D135" s="65" t="str">
        <x:v>jakarta-improvements</x:v>
      </x:c>
      <x:c r="E135" s="65" t="str">
        <x:v>jakarta-improvements:structure:0</x:v>
      </x:c>
      <x:c r="F135" s="65" t="str">
        <x:v>p.1</x:v>
      </x:c>
      <x:c r="G135" s="92" t="n">
        <x:v>0.31405923</x:v>
      </x:c>
      <x:c r="H135" s="65" t="str">
        <x:v>Ways to improve Jakarta air quality</x:v>
      </x:c>
      <x:c r="I135" s="65" t="str">
        <x:v>Pemerintah Provinsi DKI Jakarta / Dinas Lingkungan Hidup</x:v>
      </x:c>
      <x:c r="J135"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135" s="65" t="str">
        <x:v>https://www.jakarta.go.id/page/upaya-bersama-jaga-kualitas-udara-jakarta</x:v>
      </x:c>
      <x:c r="L135" s="65" t="n">
        <x:v>0</x:v>
      </x:c>
      <x:c r="M135" s="65" t="str">
        <x:v>Machine-suggested near-miss; human review required.</x:v>
      </x:c>
    </x:row>
    <x:row r="136" ht="42" customHeight="1">
      <x:c r="A136" s="65" t="str">
        <x:v>gold30-007</x:v>
      </x:c>
      <x:c r="B136" s="65" t="str">
        <x:v>hybrid</x:v>
      </x:c>
      <x:c r="C136" s="88" t="n">
        <x:v>1</x:v>
      </x:c>
      <x:c r="D136" s="65" t="str">
        <x:v>jakarta-causes</x:v>
      </x:c>
      <x:c r="E136" s="65" t="str">
        <x:v>jakarta-causes:structure:0</x:v>
      </x:c>
      <x:c r="F136" s="65" t="str">
        <x:v>p.1</x:v>
      </x:c>
      <x:c r="G136" s="92" t="n">
        <x:v>0.03232463</x:v>
      </x:c>
      <x:c r="H136" s="65" t="str">
        <x:v>What causes Jakarta air pollution</x:v>
      </x:c>
      <x:c r="I136" s="65" t="str">
        <x:v>Dinas Lingkungan Hidup DKI Jakarta / Vital Strategies / ITB</x:v>
      </x:c>
      <x:c r="J136"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36" s="65" t="str">
        <x:v>https://rendahemisi.jakarta.go.id/learn</x:v>
      </x:c>
      <x:c r="L136" s="65" t="n">
        <x:v>0</x:v>
      </x:c>
      <x:c r="M136" s="65" t="str">
        <x:v>Machine-suggested near-miss; human review required.</x:v>
      </x:c>
    </x:row>
    <x:row r="137" ht="42" customHeight="1">
      <x:c r="A137" s="65" t="str">
        <x:v>gold30-007</x:v>
      </x:c>
      <x:c r="B137" s="65" t="str">
        <x:v>hybrid</x:v>
      </x:c>
      <x:c r="C137" s="88" t="n">
        <x:v>2</x:v>
      </x:c>
      <x:c r="D137" s="65" t="str">
        <x:v>jakarta-monitoring</x:v>
      </x:c>
      <x:c r="E137" s="65" t="str">
        <x:v>jakarta-monitoring:structure:0</x:v>
      </x:c>
      <x:c r="F137" s="65" t="str">
        <x:v>p.1</x:v>
      </x:c>
      <x:c r="G137" s="92" t="n">
        <x:v>0.03187283</x:v>
      </x:c>
      <x:c r="H137" s="65" t="str">
        <x:v>Jakarta monitoring stations</x:v>
      </x:c>
      <x:c r="I137" s="65" t="str">
        <x:v>Dinas Lingkungan Hidup Provinsi DKI Jakarta</x:v>
      </x:c>
      <x:c r="J137" s="65" t="str">
        <x:v>Jakarta's official monitoring portal publishes station locations, pollutant parameters, current readings, and timestamps. A station observation describes that station and observation time; it should not automatically be generalized to all of Jakarta.</x:v>
      </x:c>
      <x:c r="K137" s="65" t="str">
        <x:v>https://udara.jakarta.go.id/lokasi-spku</x:v>
      </x:c>
      <x:c r="L137" s="65" t="n">
        <x:v>0</x:v>
      </x:c>
      <x:c r="M137" s="65" t="str">
        <x:v>Machine-suggested near-miss; human review required.</x:v>
      </x:c>
    </x:row>
    <x:row r="138" ht="42" customHeight="1">
      <x:c r="A138" s="65" t="str">
        <x:v>gold30-007</x:v>
      </x:c>
      <x:c r="B138" s="65" t="str">
        <x:v>hybrid</x:v>
      </x:c>
      <x:c r="C138" s="88" t="n">
        <x:v>3</x:v>
      </x:c>
      <x:c r="D138" s="65" t="str">
        <x:v>jakarta-historical-city-series</x:v>
      </x:c>
      <x:c r="E138" s="65" t="str">
        <x:v>jakarta-historical-city-series:structure:2</x:v>
      </x:c>
      <x:c r="F138" s="65" t="str">
        <x:v>p.3</x:v>
      </x:c>
      <x:c r="G138" s="92" t="n">
        <x:v>0.03096487</x:v>
      </x:c>
      <x:c r="H138" s="65" t="str">
        <x:v>Jakarta historical PM2.5 and PM10 series: provenance and quality</x:v>
      </x:c>
      <x:c r="I138" s="65" t="str">
        <x:v>Open-Meteo / CAMS Global; deposited dataset by Nitiraj Kulkarni and Jagadish Tawade</x:v>
      </x:c>
      <x:c r="J138"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38" s="65" t="str">
        <x:v>https://zenodo.org/records/18673885</x:v>
      </x:c>
      <x:c r="L138" s="65" t="n">
        <x:v>3</x:v>
      </x:c>
      <x:c r="M138" s="65" t="str">
        <x:v>Expected source for this question.</x:v>
      </x:c>
    </x:row>
    <x:row r="139" ht="42" customHeight="1">
      <x:c r="A139" s="65" t="str">
        <x:v>gold30-007</x:v>
      </x:c>
      <x:c r="B139" s="65" t="str">
        <x:v>hybrid</x:v>
      </x:c>
      <x:c r="C139" s="88" t="n">
        <x:v>4</x:v>
      </x:c>
      <x:c r="D139" s="65" t="str">
        <x:v>jakarta-seasonal-exposure</x:v>
      </x:c>
      <x:c r="E139" s="65" t="str">
        <x:v>jakarta-seasonal-exposure:structure:0</x:v>
      </x:c>
      <x:c r="F139" s="65" t="str">
        <x:v>p.1</x:v>
      </x:c>
      <x:c r="G139" s="92" t="n">
        <x:v>0.03037992</x:v>
      </x:c>
      <x:c r="H139" s="65" t="str">
        <x:v>Jakarta timing and local exposure context</x:v>
      </x:c>
      <x:c r="I139" s="65" t="str">
        <x:v>Dinas Lingkungan Hidup DKI Jakarta</x:v>
      </x:c>
      <x:c r="J139" s="65" t="str">
        <x:v>Published: 2024-04-06 Status as of: 2026-09-07 (official seasonal notice; not a current forecast) Document type: official_public_guidance Tags: topic=exposure-protection; audience=Jakarta-resident; action=protect-now; pollutant=PM2.5</x:v>
      </x:c>
      <x:c r="K139" s="65" t="str">
        <x:v>https://lingkunganhidup.jakarta.go.id/detail-artikel/masuki-musim-kemarau-pemprov-dki-minta-masyarakat-waspadai-penurunan-kualitas-udara</x:v>
      </x:c>
      <x:c r="L139" s="65" t="n">
        <x:v>0</x:v>
      </x:c>
      <x:c r="M139" s="65" t="str">
        <x:v>Machine-suggested near-miss; human review required.</x:v>
      </x:c>
    </x:row>
    <x:row r="140" ht="42" customHeight="1">
      <x:c r="A140" s="65" t="str">
        <x:v>gold30-007</x:v>
      </x:c>
      <x:c r="B140" s="65" t="str">
        <x:v>hybrid</x:v>
      </x:c>
      <x:c r="C140" s="88" t="n">
        <x:v>5</x:v>
      </x:c>
      <x:c r="D140" s="65" t="str">
        <x:v>jakarta-sppu-official-status-2024</x:v>
      </x:c>
      <x:c r="E140" s="65" t="str">
        <x:v>jakarta-sppu-official-status-2024:structure:1</x:v>
      </x:c>
      <x:c r="F140" s="65" t="str">
        <x:v>p.2</x:v>
      </x:c>
      <x:c r="G140" s="92" t="n">
        <x:v>0.01619048</x:v>
      </x:c>
      <x:c r="H140" s="65" t="str">
        <x:v>Jakarta SPPU and air-quality implementation status (official statement, 2024)</x:v>
      </x:c>
      <x:c r="I140" s="65" t="str">
        <x:v>Pemerintah Provinsi DKI Jakarta / Dinas Lingkungan Hidup DKI Jakarta</x:v>
      </x:c>
      <x:c r="J140" s="65" t="str">
        <x:v>The official statement discusses work involving emissions inventories, stronger oversight of mobile and stationary sources, and cooperation across the Greater Jakarta agglomeration. These are documented workstreams and should not be rewritten as completed outcomes without separa…</x:v>
      </x:c>
      <x:c r="K140" s="65" t="str">
        <x:v>https://www.jakarta.go.id/siaran-pers/4802-SP-HMS-06-2024</x:v>
      </x:c>
      <x:c r="L140" s="65" t="n">
        <x:v>0</x:v>
      </x:c>
      <x:c r="M140" s="65" t="str">
        <x:v>Machine-suggested near-miss; human review required.</x:v>
      </x:c>
    </x:row>
    <x:row r="141" ht="42" customHeight="1">
      <x:c r="A141" s="65" t="str">
        <x:v>gold30-007</x:v>
      </x:c>
      <x:c r="B141" s="65" t="str">
        <x:v>hybrid_rerank</x:v>
      </x:c>
      <x:c r="C141" s="88" t="n">
        <x:v>1</x:v>
      </x:c>
      <x:c r="D141" s="65" t="str">
        <x:v>jakarta-historical-city-series</x:v>
      </x:c>
      <x:c r="E141" s="65" t="str">
        <x:v>jakarta-historical-city-series:structure:2</x:v>
      </x:c>
      <x:c r="F141" s="65" t="str">
        <x:v>p.3</x:v>
      </x:c>
      <x:c r="G141" s="92" t="n">
        <x:v>0.49928946</x:v>
      </x:c>
      <x:c r="H141" s="65" t="str">
        <x:v>Jakarta historical PM2.5 and PM10 series: provenance and quality</x:v>
      </x:c>
      <x:c r="I141" s="65" t="str">
        <x:v>Open-Meteo / CAMS Global; deposited dataset by Nitiraj Kulkarni and Jagadish Tawade</x:v>
      </x:c>
      <x:c r="J141"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41" s="65" t="str">
        <x:v>https://zenodo.org/records/18673885</x:v>
      </x:c>
      <x:c r="L141" s="65" t="n">
        <x:v>3</x:v>
      </x:c>
      <x:c r="M141" s="65" t="str">
        <x:v>Expected source for this question.</x:v>
      </x:c>
    </x:row>
    <x:row r="142" ht="42" customHeight="1">
      <x:c r="A142" s="65" t="str">
        <x:v>gold30-007</x:v>
      </x:c>
      <x:c r="B142" s="65" t="str">
        <x:v>hybrid_rerank</x:v>
      </x:c>
      <x:c r="C142" s="88" t="n">
        <x:v>2</x:v>
      </x:c>
      <x:c r="D142" s="65" t="str">
        <x:v>jakarta-causes</x:v>
      </x:c>
      <x:c r="E142" s="65" t="str">
        <x:v>jakarta-causes:structure:0</x:v>
      </x:c>
      <x:c r="F142" s="65" t="str">
        <x:v>p.1</x:v>
      </x:c>
      <x:c r="G142" s="92" t="n">
        <x:v>0.28969739</x:v>
      </x:c>
      <x:c r="H142" s="65" t="str">
        <x:v>What causes Jakarta air pollution</x:v>
      </x:c>
      <x:c r="I142" s="65" t="str">
        <x:v>Dinas Lingkungan Hidup DKI Jakarta / Vital Strategies / ITB</x:v>
      </x:c>
      <x:c r="J142"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42" s="65" t="str">
        <x:v>https://rendahemisi.jakarta.go.id/learn</x:v>
      </x:c>
      <x:c r="L142" s="65" t="n">
        <x:v>0</x:v>
      </x:c>
      <x:c r="M142" s="65" t="str">
        <x:v>Machine-suggested near-miss; human review required.</x:v>
      </x:c>
    </x:row>
    <x:row r="143" ht="42" customHeight="1">
      <x:c r="A143" s="65" t="str">
        <x:v>gold30-007</x:v>
      </x:c>
      <x:c r="B143" s="65" t="str">
        <x:v>hybrid_rerank</x:v>
      </x:c>
      <x:c r="C143" s="88" t="n">
        <x:v>3</x:v>
      </x:c>
      <x:c r="D143" s="65" t="str">
        <x:v>individual-emission-actions</x:v>
      </x:c>
      <x:c r="E143" s="65" t="str">
        <x:v>individual-emission-actions:structure:2</x:v>
      </x:c>
      <x:c r="F143" s="65" t="str">
        <x:v>p.3</x:v>
      </x:c>
      <x:c r="G143" s="92" t="n">
        <x:v>0.28483871</x:v>
      </x:c>
      <x:c r="H143" s="65" t="str">
        <x:v>What an individual can do to reduce emissions and improve accountability</x:v>
      </x:c>
      <x:c r="I143" s="65" t="str">
        <x:v>World Health Organization; Pemerintah Provinsi DKI Jakarta</x:v>
      </x:c>
      <x:c r="J143" s="65" t="str">
        <x:v>Report suspected open burning, smoky vehicles, or industrial violations through the responsible DKI/KLHK reporting channel and keep the date, location, photo or video, wind/odour description, and the relevant station reading. Join a community-monitoring project only if sensors h…</x:v>
      </x:c>
      <x:c r="K143" s="65" t="str">
        <x:v>https://www.who.int/europe/publications/m/item/personal-level-actions-to-reduce-air-pollution-exposure</x:v>
      </x:c>
      <x:c r="L143" s="65" t="n">
        <x:v>0</x:v>
      </x:c>
      <x:c r="M143" s="65" t="str">
        <x:v>Machine-suggested near-miss; human review required.</x:v>
      </x:c>
    </x:row>
    <x:row r="144" ht="42" customHeight="1">
      <x:c r="A144" s="65" t="str">
        <x:v>gold30-007</x:v>
      </x:c>
      <x:c r="B144" s="65" t="str">
        <x:v>hybrid_rerank</x:v>
      </x:c>
      <x:c r="C144" s="88" t="n">
        <x:v>4</x:v>
      </x:c>
      <x:c r="D144" s="65" t="str">
        <x:v>policy-improvements-evidence</x:v>
      </x:c>
      <x:c r="E144" s="65" t="str">
        <x:v>policy-improvements-evidence:structure:2</x:v>
      </x:c>
      <x:c r="F144" s="65" t="str">
        <x:v>p.3</x:v>
      </x:c>
      <x:c r="G144" s="92" t="n">
        <x:v>0.2846875</x:v>
      </x:c>
      <x:c r="H144" s="65" t="str">
        <x:v>Evidence-based policy improvements for Jakarta</x:v>
      </x:c>
      <x:c r="I144" s="65" t="str">
        <x:v>Dinas Lingkungan Hidup DKI Jakarta; World Health Organization</x:v>
      </x:c>
      <x:c r="J144"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144" s="65" t="str">
        <x:v>https://www.jakarta.go.id/siaran-pers/4802-SP-HMS-06-2024</x:v>
      </x:c>
      <x:c r="L144" s="65" t="n">
        <x:v>0</x:v>
      </x:c>
      <x:c r="M144" s="65" t="str">
        <x:v>Machine-suggested near-miss; human review required.</x:v>
      </x:c>
    </x:row>
    <x:row r="145" ht="42" customHeight="1">
      <x:c r="A145" s="65" t="str">
        <x:v>gold30-007</x:v>
      </x:c>
      <x:c r="B145" s="65" t="str">
        <x:v>hybrid_rerank</x:v>
      </x:c>
      <x:c r="C145" s="88" t="n">
        <x:v>5</x:v>
      </x:c>
      <x:c r="D145" s="65" t="str">
        <x:v>jakarta-monitoring</x:v>
      </x:c>
      <x:c r="E145" s="65" t="str">
        <x:v>jakarta-monitoring:structure:0</x:v>
      </x:c>
      <x:c r="F145" s="65" t="str">
        <x:v>p.1</x:v>
      </x:c>
      <x:c r="G145" s="92" t="n">
        <x:v>0.21956185</x:v>
      </x:c>
      <x:c r="H145" s="65" t="str">
        <x:v>Jakarta monitoring stations</x:v>
      </x:c>
      <x:c r="I145" s="65" t="str">
        <x:v>Dinas Lingkungan Hidup Provinsi DKI Jakarta</x:v>
      </x:c>
      <x:c r="J145" s="65" t="str">
        <x:v>Jakarta's official monitoring portal publishes station locations, pollutant parameters, current readings, and timestamps. A station observation describes that station and observation time; it should not automatically be generalized to all of Jakarta.</x:v>
      </x:c>
      <x:c r="K145" s="65" t="str">
        <x:v>https://udara.jakarta.go.id/lokasi-spku</x:v>
      </x:c>
      <x:c r="L145" s="65" t="n">
        <x:v>0</x:v>
      </x:c>
      <x:c r="M145" s="65" t="str">
        <x:v>Machine-suggested near-miss; human review required.</x:v>
      </x:c>
    </x:row>
    <x:row r="146" ht="42" customHeight="1">
      <x:c r="A146" s="65" t="str">
        <x:v>gold30-008</x:v>
      </x:c>
      <x:c r="B146" s="65" t="str">
        <x:v>bm25</x:v>
      </x:c>
      <x:c r="C146" s="88" t="n">
        <x:v>1</x:v>
      </x:c>
      <x:c r="D146" s="65" t="str">
        <x:v>jakarta-historical-city-series</x:v>
      </x:c>
      <x:c r="E146" s="65" t="str">
        <x:v>jakarta-historical-city-series:structure:2</x:v>
      </x:c>
      <x:c r="F146" s="65" t="str">
        <x:v>p.3</x:v>
      </x:c>
      <x:c r="G146" s="92" t="n">
        <x:v>0.5</x:v>
      </x:c>
      <x:c r="H146" s="65" t="str">
        <x:v>Jakarta historical PM2.5 and PM10 series: provenance and quality</x:v>
      </x:c>
      <x:c r="I146" s="65" t="str">
        <x:v>Open-Meteo / CAMS Global; deposited dataset by Nitiraj Kulkarni and Jagadish Tawade</x:v>
      </x:c>
      <x:c r="J146"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46" s="65" t="str">
        <x:v>https://zenodo.org/records/18673885</x:v>
      </x:c>
      <x:c r="L146" s="65" t="n">
        <x:v>3</x:v>
      </x:c>
      <x:c r="M146" s="65" t="str">
        <x:v>Expected source for this question.</x:v>
      </x:c>
    </x:row>
    <x:row r="147" ht="42" customHeight="1">
      <x:c r="A147" s="65" t="str">
        <x:v>gold30-008</x:v>
      </x:c>
      <x:c r="B147" s="65" t="str">
        <x:v>bm25</x:v>
      </x:c>
      <x:c r="C147" s="88" t="n">
        <x:v>2</x:v>
      </x:c>
      <x:c r="D147" s="65" t="str">
        <x:v>who-aqg-2021-extract</x:v>
      </x:c>
      <x:c r="E147" s="65" t="str">
        <x:v>who-aqg-2021-extract:structure:2</x:v>
      </x:c>
      <x:c r="F147" s="65" t="str">
        <x:v>p.3</x:v>
      </x:c>
      <x:c r="G147" s="92" t="n">
        <x:v>0.5</x:v>
      </x:c>
      <x:c r="H147" s="65" t="str">
        <x:v>WHO Global Air Quality Guidelines (2021) — particulate matter targets</x:v>
      </x:c>
      <x:c r="I147" s="65" t="str">
        <x:v>World Health Organization</x:v>
      </x:c>
      <x:c r="J147"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47" s="65" t="str">
        <x:v>https://www.who.int/publications/i/item/9789240034228</x:v>
      </x:c>
      <x:c r="L147" s="65" t="n">
        <x:v>0</x:v>
      </x:c>
      <x:c r="M147" s="65" t="str">
        <x:v>Machine-suggested near-miss; human review required.</x:v>
      </x:c>
    </x:row>
    <x:row r="148" ht="42" customHeight="1">
      <x:c r="A148" s="65" t="str">
        <x:v>gold30-008</x:v>
      </x:c>
      <x:c r="B148" s="65" t="str">
        <x:v>bm25</x:v>
      </x:c>
      <x:c r="C148" s="88" t="n">
        <x:v>3</x:v>
      </x:c>
      <x:c r="D148" s="65" t="str">
        <x:v>jakarta-causes</x:v>
      </x:c>
      <x:c r="E148" s="65" t="str">
        <x:v>jakarta-causes:structure:0</x:v>
      </x:c>
      <x:c r="F148" s="65" t="str">
        <x:v>p.1</x:v>
      </x:c>
      <x:c r="G148" s="92" t="n">
        <x:v>0.33333333</x:v>
      </x:c>
      <x:c r="H148" s="65" t="str">
        <x:v>What causes Jakarta air pollution</x:v>
      </x:c>
      <x:c r="I148" s="65" t="str">
        <x:v>Dinas Lingkungan Hidup DKI Jakarta / Vital Strategies / ITB</x:v>
      </x:c>
      <x:c r="J148"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48" s="65" t="str">
        <x:v>https://rendahemisi.jakarta.go.id/learn</x:v>
      </x:c>
      <x:c r="L148" s="65" t="n">
        <x:v>0</x:v>
      </x:c>
      <x:c r="M148" s="65" t="str">
        <x:v>Machine-suggested near-miss; human review required.</x:v>
      </x:c>
    </x:row>
    <x:row r="149" ht="42" customHeight="1">
      <x:c r="A149" s="65" t="str">
        <x:v>gold30-008</x:v>
      </x:c>
      <x:c r="B149" s="65" t="str">
        <x:v>bm25</x:v>
      </x:c>
      <x:c r="C149" s="88" t="n">
        <x:v>4</x:v>
      </x:c>
      <x:c r="D149" s="65" t="str">
        <x:v>policy-improvements-evidence</x:v>
      </x:c>
      <x:c r="E149" s="65" t="str">
        <x:v>policy-improvements-evidence:structure:2</x:v>
      </x:c>
      <x:c r="F149" s="65" t="str">
        <x:v>p.3</x:v>
      </x:c>
      <x:c r="G149" s="92" t="n">
        <x:v>0.33333333</x:v>
      </x:c>
      <x:c r="H149" s="65" t="str">
        <x:v>Evidence-based policy improvements for Jakarta</x:v>
      </x:c>
      <x:c r="I149" s="65" t="str">
        <x:v>Dinas Lingkungan Hidup DKI Jakarta; World Health Organization</x:v>
      </x:c>
      <x:c r="J149"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149" s="65" t="str">
        <x:v>https://www.jakarta.go.id/siaran-pers/4802-SP-HMS-06-2024</x:v>
      </x:c>
      <x:c r="L149" s="65" t="n">
        <x:v>0</x:v>
      </x:c>
      <x:c r="M149" s="65" t="str">
        <x:v>Machine-suggested near-miss; human review required.</x:v>
      </x:c>
    </x:row>
    <x:row r="150" ht="42" customHeight="1">
      <x:c r="A150" s="65" t="str">
        <x:v>gold30-008</x:v>
      </x:c>
      <x:c r="B150" s="65" t="str">
        <x:v>bm25</x:v>
      </x:c>
      <x:c r="C150" s="88" t="n">
        <x:v>5</x:v>
      </x:c>
      <x:c r="D150" s="65" t="str">
        <x:v>who-guidance</x:v>
      </x:c>
      <x:c r="E150" s="65" t="str">
        <x:v>who-guidance:structure:0</x:v>
      </x:c>
      <x:c r="F150" s="65" t="str">
        <x:v>p.1</x:v>
      </x:c>
      <x:c r="G150" s="92" t="n">
        <x:v>0.33333333</x:v>
      </x:c>
      <x:c r="H150" s="65" t="str">
        <x:v>WHO air-quality guideline context</x:v>
      </x:c>
      <x:c r="I150" s="65" t="str">
        <x:v>World Health Organization</x:v>
      </x:c>
      <x:c r="J150" s="65" t="str">
        <x:v>WHO air-quality guideline levels are health-based recommendations for pollutants including PM2.5, PM10, ozone, nitrogen dioxide, sulfur dioxide, and carbon monoxide. They are not Indonesian legal standards. Answers should state which framework is being used when comparing a meas…</x:v>
      </x:c>
      <x:c r="K150" s="65" t="str">
        <x:v>https://www.who.int/publications/i/item/9789240034228</x:v>
      </x:c>
      <x:c r="L150" s="65" t="n">
        <x:v>0</x:v>
      </x:c>
      <x:c r="M150" s="65" t="str">
        <x:v>Machine-suggested near-miss; human review required.</x:v>
      </x:c>
    </x:row>
    <x:row r="151" ht="42" customHeight="1">
      <x:c r="A151" s="65" t="str">
        <x:v>gold30-008</x:v>
      </x:c>
      <x:c r="B151" s="65" t="str">
        <x:v>dense</x:v>
      </x:c>
      <x:c r="C151" s="88" t="n">
        <x:v>1</x:v>
      </x:c>
      <x:c r="D151" s="65" t="str">
        <x:v>jakarta-historical-city-series</x:v>
      </x:c>
      <x:c r="E151" s="65" t="str">
        <x:v>jakarta-historical-city-series:structure:2</x:v>
      </x:c>
      <x:c r="F151" s="65" t="str">
        <x:v>p.3</x:v>
      </x:c>
      <x:c r="G151" s="92" t="n">
        <x:v>0.18831515</x:v>
      </x:c>
      <x:c r="H151" s="65" t="str">
        <x:v>Jakarta historical PM2.5 and PM10 series: provenance and quality</x:v>
      </x:c>
      <x:c r="I151" s="65" t="str">
        <x:v>Open-Meteo / CAMS Global; deposited dataset by Nitiraj Kulkarni and Jagadish Tawade</x:v>
      </x:c>
      <x:c r="J151"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51" s="65" t="str">
        <x:v>https://zenodo.org/records/18673885</x:v>
      </x:c>
      <x:c r="L151" s="65" t="n">
        <x:v>3</x:v>
      </x:c>
      <x:c r="M151" s="65" t="str">
        <x:v>Expected source for this question.</x:v>
      </x:c>
    </x:row>
    <x:row r="152" ht="42" customHeight="1">
      <x:c r="A152" s="65" t="str">
        <x:v>gold30-008</x:v>
      </x:c>
      <x:c r="B152" s="65" t="str">
        <x:v>dense</x:v>
      </x:c>
      <x:c r="C152" s="88" t="n">
        <x:v>2</x:v>
      </x:c>
      <x:c r="D152" s="65" t="str">
        <x:v>jakarta-causes</x:v>
      </x:c>
      <x:c r="E152" s="65" t="str">
        <x:v>jakarta-causes:structure:0</x:v>
      </x:c>
      <x:c r="F152" s="65" t="str">
        <x:v>p.1</x:v>
      </x:c>
      <x:c r="G152" s="92" t="n">
        <x:v>0.1050555</x:v>
      </x:c>
      <x:c r="H152" s="65" t="str">
        <x:v>What causes Jakarta air pollution</x:v>
      </x:c>
      <x:c r="I152" s="65" t="str">
        <x:v>Dinas Lingkungan Hidup DKI Jakarta / Vital Strategies / ITB</x:v>
      </x:c>
      <x:c r="J152"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52" s="65" t="str">
        <x:v>https://rendahemisi.jakarta.go.id/learn</x:v>
      </x:c>
      <x:c r="L152" s="65" t="n">
        <x:v>0</x:v>
      </x:c>
      <x:c r="M152" s="65" t="str">
        <x:v>Machine-suggested near-miss; human review required.</x:v>
      </x:c>
    </x:row>
    <x:row r="153" ht="42" customHeight="1">
      <x:c r="A153" s="65" t="str">
        <x:v>gold30-008</x:v>
      </x:c>
      <x:c r="B153" s="65" t="str">
        <x:v>dense</x:v>
      </x:c>
      <x:c r="C153" s="88" t="n">
        <x:v>3</x:v>
      </x:c>
      <x:c r="D153" s="65" t="str">
        <x:v>who-guidance</x:v>
      </x:c>
      <x:c r="E153" s="65" t="str">
        <x:v>who-guidance:structure:0</x:v>
      </x:c>
      <x:c r="F153" s="65" t="str">
        <x:v>p.1</x:v>
      </x:c>
      <x:c r="G153" s="92" t="n">
        <x:v>0.10338515</x:v>
      </x:c>
      <x:c r="H153" s="65" t="str">
        <x:v>WHO air-quality guideline context</x:v>
      </x:c>
      <x:c r="I153" s="65" t="str">
        <x:v>World Health Organization</x:v>
      </x:c>
      <x:c r="J153" s="65" t="str">
        <x:v>WHO air-quality guideline levels are health-based recommendations for pollutants including PM2.5, PM10, ozone, nitrogen dioxide, sulfur dioxide, and carbon monoxide. They are not Indonesian legal standards. Answers should state which framework is being used when comparing a meas…</x:v>
      </x:c>
      <x:c r="K153" s="65" t="str">
        <x:v>https://www.who.int/publications/i/item/9789240034228</x:v>
      </x:c>
      <x:c r="L153" s="65" t="n">
        <x:v>0</x:v>
      </x:c>
      <x:c r="M153" s="65" t="str">
        <x:v>Machine-suggested near-miss; human review required.</x:v>
      </x:c>
    </x:row>
    <x:row r="154" ht="42" customHeight="1">
      <x:c r="A154" s="65" t="str">
        <x:v>gold30-008</x:v>
      </x:c>
      <x:c r="B154" s="65" t="str">
        <x:v>dense</x:v>
      </x:c>
      <x:c r="C154" s="88" t="n">
        <x:v>4</x:v>
      </x:c>
      <x:c r="D154" s="65" t="str">
        <x:v>jakarta-sppu-official-status-2024</x:v>
      </x:c>
      <x:c r="E154" s="65" t="str">
        <x:v>jakarta-sppu-official-status-2024:structure:0</x:v>
      </x:c>
      <x:c r="F154" s="65" t="str">
        <x:v>p.1</x:v>
      </x:c>
      <x:c r="G154" s="92" t="n">
        <x:v>0.09823353</x:v>
      </x:c>
      <x:c r="H154" s="65" t="str">
        <x:v>Jakarta SPPU and air-quality implementation status (official statement, 2024)</x:v>
      </x:c>
      <x:c r="I154" s="65" t="str">
        <x:v>Pemerintah Provinsi DKI Jakarta / Dinas Lingkungan Hidup DKI Jakarta</x:v>
      </x:c>
      <x:c r="J154" s="65" t="str">
        <x:v>The 19 June 2024 DKI statement is implementation evidence about air-quality management and the SPPU context. It is not an enacted statute or an ambient standard. Its date must remain attached to claims about what the administration reported.</x:v>
      </x:c>
      <x:c r="K154" s="65" t="str">
        <x:v>https://www.jakarta.go.id/siaran-pers/4802-SP-HMS-06-2024</x:v>
      </x:c>
      <x:c r="L154" s="65" t="n">
        <x:v>0</x:v>
      </x:c>
      <x:c r="M154" s="65" t="str">
        <x:v>Machine-suggested near-miss; human review required.</x:v>
      </x:c>
    </x:row>
    <x:row r="155" ht="42" customHeight="1">
      <x:c r="A155" s="65" t="str">
        <x:v>gold30-008</x:v>
      </x:c>
      <x:c r="B155" s="65" t="str">
        <x:v>dense</x:v>
      </x:c>
      <x:c r="C155" s="88" t="n">
        <x:v>5</x:v>
      </x:c>
      <x:c r="D155" s="65" t="str">
        <x:v>pergub-66-2020-vehicle-testing</x:v>
      </x:c>
      <x:c r="E155" s="65" t="str">
        <x:v>pergub-66-2020-vehicle-testing:structure:0</x:v>
      </x:c>
      <x:c r="F155" s="65" t="str">
        <x:v>p.1</x:v>
      </x:c>
      <x:c r="G155" s="92" t="n">
        <x:v>0.0972709</x:v>
      </x:c>
      <x:c r="H155" s="65" t="str">
        <x:v>Pergub DKI Jakarta No. 66 Tahun 2020 — motor-vehicle emission testing</x:v>
      </x:c>
      <x:c r="I155" s="65" t="str">
        <x:v>Pemerintah Provinsi DKI Jakarta / Database Peraturan BPK</x:v>
      </x:c>
      <x:c r="J155" s="65" t="str">
        <x:v>Peraturan Gubernur Provinsi DKI Jakarta Nomor 66 Tahun 2020 is titled Uji Emisi Gas Buang Kendaraan Bermotor. The BPK record gives the adoption date as 22 July 2020, promulgation date as 24 July 2020, and effective date as 24 December 2020.</x:v>
      </x:c>
      <x:c r="K155" s="65" t="str">
        <x:v>https://peraturan.bpk.go.id/Details/153923/pergub-prov-dki-jakarta-no-66-tahun-2020</x:v>
      </x:c>
      <x:c r="L155" s="65" t="n">
        <x:v>0</x:v>
      </x:c>
      <x:c r="M155" s="65" t="str">
        <x:v>Machine-suggested near-miss; human review required.</x:v>
      </x:c>
    </x:row>
    <x:row r="156" ht="42" customHeight="1">
      <x:c r="A156" s="65" t="str">
        <x:v>gold30-008</x:v>
      </x:c>
      <x:c r="B156" s="65" t="str">
        <x:v>hybrid</x:v>
      </x:c>
      <x:c r="C156" s="88" t="n">
        <x:v>1</x:v>
      </x:c>
      <x:c r="D156" s="65" t="str">
        <x:v>jakarta-historical-city-series</x:v>
      </x:c>
      <x:c r="E156" s="65" t="str">
        <x:v>jakarta-historical-city-series:structure:2</x:v>
      </x:c>
      <x:c r="F156" s="65" t="str">
        <x:v>p.3</x:v>
      </x:c>
      <x:c r="G156" s="92" t="n">
        <x:v>0.03311475</x:v>
      </x:c>
      <x:c r="H156" s="65" t="str">
        <x:v>Jakarta historical PM2.5 and PM10 series: provenance and quality</x:v>
      </x:c>
      <x:c r="I156" s="65" t="str">
        <x:v>Open-Meteo / CAMS Global; deposited dataset by Nitiraj Kulkarni and Jagadish Tawade</x:v>
      </x:c>
      <x:c r="J156"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56" s="65" t="str">
        <x:v>https://zenodo.org/records/18673885</x:v>
      </x:c>
      <x:c r="L156" s="65" t="n">
        <x:v>3</x:v>
      </x:c>
      <x:c r="M156" s="65" t="str">
        <x:v>Expected source for this question.</x:v>
      </x:c>
    </x:row>
    <x:row r="157" ht="42" customHeight="1">
      <x:c r="A157" s="65" t="str">
        <x:v>gold30-008</x:v>
      </x:c>
      <x:c r="B157" s="65" t="str">
        <x:v>hybrid</x:v>
      </x:c>
      <x:c r="C157" s="88" t="n">
        <x:v>2</x:v>
      </x:c>
      <x:c r="D157" s="65" t="str">
        <x:v>jakarta-causes</x:v>
      </x:c>
      <x:c r="E157" s="65" t="str">
        <x:v>jakarta-causes:structure:0</x:v>
      </x:c>
      <x:c r="F157" s="65" t="str">
        <x:v>p.1</x:v>
      </x:c>
      <x:c r="G157" s="92" t="n">
        <x:v>0.03232463</x:v>
      </x:c>
      <x:c r="H157" s="65" t="str">
        <x:v>What causes Jakarta air pollution</x:v>
      </x:c>
      <x:c r="I157" s="65" t="str">
        <x:v>Dinas Lingkungan Hidup DKI Jakarta / Vital Strategies / ITB</x:v>
      </x:c>
      <x:c r="J157"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57" s="65" t="str">
        <x:v>https://rendahemisi.jakarta.go.id/learn</x:v>
      </x:c>
      <x:c r="L157" s="65" t="n">
        <x:v>0</x:v>
      </x:c>
      <x:c r="M157" s="65" t="str">
        <x:v>Machine-suggested near-miss; human review required.</x:v>
      </x:c>
    </x:row>
    <x:row r="158" ht="42" customHeight="1">
      <x:c r="A158" s="65" t="str">
        <x:v>gold30-008</x:v>
      </x:c>
      <x:c r="B158" s="65" t="str">
        <x:v>hybrid</x:v>
      </x:c>
      <x:c r="C158" s="88" t="n">
        <x:v>3</x:v>
      </x:c>
      <x:c r="D158" s="65" t="str">
        <x:v>who-guidance</x:v>
      </x:c>
      <x:c r="E158" s="65" t="str">
        <x:v>who-guidance:structure:0</x:v>
      </x:c>
      <x:c r="F158" s="65" t="str">
        <x:v>p.1</x:v>
      </x:c>
      <x:c r="G158" s="92" t="n">
        <x:v>0.03157509</x:v>
      </x:c>
      <x:c r="H158" s="65" t="str">
        <x:v>WHO air-quality guideline context</x:v>
      </x:c>
      <x:c r="I158" s="65" t="str">
        <x:v>World Health Organization</x:v>
      </x:c>
      <x:c r="J158" s="65" t="str">
        <x:v>WHO air-quality guideline levels are health-based recommendations for pollutants including PM2.5, PM10, ozone, nitrogen dioxide, sulfur dioxide, and carbon monoxide. They are not Indonesian legal standards. Answers should state which framework is being used when comparing a meas…</x:v>
      </x:c>
      <x:c r="K158" s="65" t="str">
        <x:v>https://www.who.int/publications/i/item/9789240034228</x:v>
      </x:c>
      <x:c r="L158" s="65" t="n">
        <x:v>0</x:v>
      </x:c>
      <x:c r="M158" s="65" t="str">
        <x:v>Machine-suggested near-miss; human review required.</x:v>
      </x:c>
    </x:row>
    <x:row r="159" ht="42" customHeight="1">
      <x:c r="A159" s="65" t="str">
        <x:v>gold30-008</x:v>
      </x:c>
      <x:c r="B159" s="65" t="str">
        <x:v>hybrid</x:v>
      </x:c>
      <x:c r="C159" s="88" t="n">
        <x:v>4</x:v>
      </x:c>
      <x:c r="D159" s="65" t="str">
        <x:v>who-aqg-2021-extract</x:v>
      </x:c>
      <x:c r="E159" s="65" t="str">
        <x:v>who-aqg-2021-extract:structure:2</x:v>
      </x:c>
      <x:c r="F159" s="65" t="str">
        <x:v>p.3</x:v>
      </x:c>
      <x:c r="G159" s="92" t="n">
        <x:v>0.01612903</x:v>
      </x:c>
      <x:c r="H159" s="65" t="str">
        <x:v>WHO Global Air Quality Guidelines (2021) — particulate matter targets</x:v>
      </x:c>
      <x:c r="I159" s="65" t="str">
        <x:v>World Health Organization</x:v>
      </x:c>
      <x:c r="J159"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59" s="65" t="str">
        <x:v>https://www.who.int/publications/i/item/9789240034228</x:v>
      </x:c>
      <x:c r="L159" s="65" t="n">
        <x:v>0</x:v>
      </x:c>
      <x:c r="M159" s="65" t="str">
        <x:v>Machine-suggested near-miss; human review required.</x:v>
      </x:c>
    </x:row>
    <x:row r="160" ht="42" customHeight="1">
      <x:c r="A160" s="65" t="str">
        <x:v>gold30-008</x:v>
      </x:c>
      <x:c r="B160" s="65" t="str">
        <x:v>hybrid</x:v>
      </x:c>
      <x:c r="C160" s="88" t="n">
        <x:v>5</x:v>
      </x:c>
      <x:c r="D160" s="65" t="str">
        <x:v>jakarta-sppu-official-status-2024</x:v>
      </x:c>
      <x:c r="E160" s="65" t="str">
        <x:v>jakarta-sppu-official-status-2024:structure:0</x:v>
      </x:c>
      <x:c r="F160" s="65" t="str">
        <x:v>p.1</x:v>
      </x:c>
      <x:c r="G160" s="92" t="n">
        <x:v>0.0159375</x:v>
      </x:c>
      <x:c r="H160" s="65" t="str">
        <x:v>Jakarta SPPU and air-quality implementation status (official statement, 2024)</x:v>
      </x:c>
      <x:c r="I160" s="65" t="str">
        <x:v>Pemerintah Provinsi DKI Jakarta / Dinas Lingkungan Hidup DKI Jakarta</x:v>
      </x:c>
      <x:c r="J160" s="65" t="str">
        <x:v>The 19 June 2024 DKI statement is implementation evidence about air-quality management and the SPPU context. It is not an enacted statute or an ambient standard. Its date must remain attached to claims about what the administration reported.</x:v>
      </x:c>
      <x:c r="K160" s="65" t="str">
        <x:v>https://www.jakarta.go.id/siaran-pers/4802-SP-HMS-06-2024</x:v>
      </x:c>
      <x:c r="L160" s="65" t="n">
        <x:v>0</x:v>
      </x:c>
      <x:c r="M160" s="65" t="str">
        <x:v>Machine-suggested near-miss; human review required.</x:v>
      </x:c>
    </x:row>
    <x:row r="161" ht="42" customHeight="1">
      <x:c r="A161" s="65" t="str">
        <x:v>gold30-008</x:v>
      </x:c>
      <x:c r="B161" s="65" t="str">
        <x:v>hybrid_rerank</x:v>
      </x:c>
      <x:c r="C161" s="88" t="n">
        <x:v>1</x:v>
      </x:c>
      <x:c r="D161" s="65" t="str">
        <x:v>jakarta-historical-city-series</x:v>
      </x:c>
      <x:c r="E161" s="65" t="str">
        <x:v>jakarta-historical-city-series:structure:2</x:v>
      </x:c>
      <x:c r="F161" s="65" t="str">
        <x:v>p.3</x:v>
      </x:c>
      <x:c r="G161" s="92" t="n">
        <x:v>0.35993443</x:v>
      </x:c>
      <x:c r="H161" s="65" t="str">
        <x:v>Jakarta historical PM2.5 and PM10 series: provenance and quality</x:v>
      </x:c>
      <x:c r="I161" s="65" t="str">
        <x:v>Open-Meteo / CAMS Global; deposited dataset by Nitiraj Kulkarni and Jagadish Tawade</x:v>
      </x:c>
      <x:c r="J161"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61" s="65" t="str">
        <x:v>https://zenodo.org/records/18673885</x:v>
      </x:c>
      <x:c r="L161" s="65" t="n">
        <x:v>3</x:v>
      </x:c>
      <x:c r="M161" s="65" t="str">
        <x:v>Expected source for this question.</x:v>
      </x:c>
    </x:row>
    <x:row r="162" ht="42" customHeight="1">
      <x:c r="A162" s="65" t="str">
        <x:v>gold30-008</x:v>
      </x:c>
      <x:c r="B162" s="65" t="str">
        <x:v>hybrid_rerank</x:v>
      </x:c>
      <x:c r="C162" s="88" t="n">
        <x:v>2</x:v>
      </x:c>
      <x:c r="D162" s="65" t="str">
        <x:v>who-aqg-2021-extract</x:v>
      </x:c>
      <x:c r="E162" s="65" t="str">
        <x:v>who-aqg-2021-extract:structure:2</x:v>
      </x:c>
      <x:c r="F162" s="65" t="str">
        <x:v>p.3</x:v>
      </x:c>
      <x:c r="G162" s="92" t="n">
        <x:v>0.35483871</x:v>
      </x:c>
      <x:c r="H162" s="65" t="str">
        <x:v>WHO Global Air Quality Guidelines (2021) — particulate matter targets</x:v>
      </x:c>
      <x:c r="I162" s="65" t="str">
        <x:v>World Health Organization</x:v>
      </x:c>
      <x:c r="J162"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62" s="65" t="str">
        <x:v>https://www.who.int/publications/i/item/9789240034228</x:v>
      </x:c>
      <x:c r="L162" s="65" t="n">
        <x:v>0</x:v>
      </x:c>
      <x:c r="M162" s="65" t="str">
        <x:v>Machine-suggested near-miss; human review required.</x:v>
      </x:c>
    </x:row>
    <x:row r="163" ht="42" customHeight="1">
      <x:c r="A163" s="65" t="str">
        <x:v>gold30-008</x:v>
      </x:c>
      <x:c r="B163" s="65" t="str">
        <x:v>hybrid_rerank</x:v>
      </x:c>
      <x:c r="C163" s="88" t="n">
        <x:v>3</x:v>
      </x:c>
      <x:c r="D163" s="65" t="str">
        <x:v>jakarta-causes</x:v>
      </x:c>
      <x:c r="E163" s="65" t="str">
        <x:v>jakarta-causes:structure:0</x:v>
      </x:c>
      <x:c r="F163" s="65" t="str">
        <x:v>p.1</x:v>
      </x:c>
      <x:c r="G163" s="92" t="n">
        <x:v>0.24303072</x:v>
      </x:c>
      <x:c r="H163" s="65" t="str">
        <x:v>What causes Jakarta air pollution</x:v>
      </x:c>
      <x:c r="I163" s="65" t="str">
        <x:v>Dinas Lingkungan Hidup DKI Jakarta / Vital Strategies / ITB</x:v>
      </x:c>
      <x:c r="J163"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63" s="65" t="str">
        <x:v>https://rendahemisi.jakarta.go.id/learn</x:v>
      </x:c>
      <x:c r="L163" s="65" t="n">
        <x:v>0</x:v>
      </x:c>
      <x:c r="M163" s="65" t="str">
        <x:v>Machine-suggested near-miss; human review required.</x:v>
      </x:c>
    </x:row>
    <x:row r="164" ht="42" customHeight="1">
      <x:c r="A164" s="65" t="str">
        <x:v>gold30-008</x:v>
      </x:c>
      <x:c r="B164" s="65" t="str">
        <x:v>hybrid_rerank</x:v>
      </x:c>
      <x:c r="C164" s="88" t="n">
        <x:v>4</x:v>
      </x:c>
      <x:c r="D164" s="65" t="str">
        <x:v>who-guidance</x:v>
      </x:c>
      <x:c r="E164" s="65" t="str">
        <x:v>who-guidance:structure:0</x:v>
      </x:c>
      <x:c r="F164" s="65" t="str">
        <x:v>p.1</x:v>
      </x:c>
      <x:c r="G164" s="92" t="n">
        <x:v>0.24280586</x:v>
      </x:c>
      <x:c r="H164" s="65" t="str">
        <x:v>WHO air-quality guideline context</x:v>
      </x:c>
      <x:c r="I164" s="65" t="str">
        <x:v>World Health Organization</x:v>
      </x:c>
      <x:c r="J164" s="65" t="str">
        <x:v>WHO air-quality guideline levels are health-based recommendations for pollutants including PM2.5, PM10, ozone, nitrogen dioxide, sulfur dioxide, and carbon monoxide. They are not Indonesian legal standards. Answers should state which framework is being used when comparing a meas…</x:v>
      </x:c>
      <x:c r="K164" s="65" t="str">
        <x:v>https://www.who.int/publications/i/item/9789240034228</x:v>
      </x:c>
      <x:c r="L164" s="65" t="n">
        <x:v>0</x:v>
      </x:c>
      <x:c r="M164" s="65" t="str">
        <x:v>Machine-suggested near-miss; human review required.</x:v>
      </x:c>
    </x:row>
    <x:row r="165" ht="42" customHeight="1">
      <x:c r="A165" s="65" t="str">
        <x:v>gold30-008</x:v>
      </x:c>
      <x:c r="B165" s="65" t="str">
        <x:v>hybrid_rerank</x:v>
      </x:c>
      <x:c r="C165" s="88" t="n">
        <x:v>5</x:v>
      </x:c>
      <x:c r="D165" s="65" t="str">
        <x:v>policy-improvements-evidence</x:v>
      </x:c>
      <x:c r="E165" s="65" t="str">
        <x:v>policy-improvements-evidence:structure:2</x:v>
      </x:c>
      <x:c r="F165" s="65" t="str">
        <x:v>p.3</x:v>
      </x:c>
      <x:c r="G165" s="92" t="n">
        <x:v>0.23802083</x:v>
      </x:c>
      <x:c r="H165" s="65" t="str">
        <x:v>Evidence-based policy improvements for Jakarta</x:v>
      </x:c>
      <x:c r="I165" s="65" t="str">
        <x:v>Dinas Lingkungan Hidup DKI Jakarta; World Health Organization</x:v>
      </x:c>
      <x:c r="J165"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165" s="65" t="str">
        <x:v>https://www.jakarta.go.id/siaran-pers/4802-SP-HMS-06-2024</x:v>
      </x:c>
      <x:c r="L165" s="65" t="n">
        <x:v>0</x:v>
      </x:c>
      <x:c r="M165" s="65" t="str">
        <x:v>Machine-suggested near-miss; human review required.</x:v>
      </x:c>
    </x:row>
    <x:row r="166" ht="42" customHeight="1">
      <x:c r="A166" s="65" t="str">
        <x:v>gold30-009</x:v>
      </x:c>
      <x:c r="B166" s="65" t="str">
        <x:v>bm25</x:v>
      </x:c>
      <x:c r="C166" s="88" t="n">
        <x:v>1</x:v>
      </x:c>
      <x:c r="D166" s="65" t="str">
        <x:v>jakarta-policy-implementation</x:v>
      </x:c>
      <x:c r="E166" s="65" t="str">
        <x:v>jakarta-policy-implementation:structure:1</x:v>
      </x:c>
      <x:c r="F166" s="65" t="str">
        <x:v>p.2</x:v>
      </x:c>
      <x:c r="G166" s="92" t="n">
        <x:v>0.33333333</x:v>
      </x:c>
      <x:c r="H166" s="65" t="str">
        <x:v>Why rules can coexist with poor air: implementation evidence</x:v>
      </x:c>
      <x:c r="I166" s="65" t="str">
        <x:v>Pemerintah Provinsi DKI Jakarta; Dinas Lingkungan Hidup DKI Jakarta; Mahkamah Agung</x:v>
      </x:c>
      <x:c r="J166"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166" s="65" t="str">
        <x:v>https://www.jakarta.go.id/siaran-pers/4802-SP-HMS-06-2024</x:v>
      </x:c>
      <x:c r="L166" s="65" t="n">
        <x:v>0</x:v>
      </x:c>
      <x:c r="M166" s="65" t="str">
        <x:v>Machine-suggested near-miss; human review required.</x:v>
      </x:c>
    </x:row>
    <x:row r="167" ht="42" customHeight="1">
      <x:c r="A167" s="65" t="str">
        <x:v>gold30-009</x:v>
      </x:c>
      <x:c r="B167" s="65" t="str">
        <x:v>bm25</x:v>
      </x:c>
      <x:c r="C167" s="88" t="n">
        <x:v>2</x:v>
      </x:c>
      <x:c r="D167" s="65" t="str">
        <x:v>pp-22-2021-air-quality</x:v>
      </x:c>
      <x:c r="E167" s="65" t="str">
        <x:v>pp-22-2021-air-quality:structure:3</x:v>
      </x:c>
      <x:c r="F167" s="65" t="str">
        <x:v>p.4</x:v>
      </x:c>
      <x:c r="G167" s="92" t="n">
        <x:v>0.33333333</x:v>
      </x:c>
      <x:c r="H167" s="65" t="str">
        <x:v>PP No. 22 Tahun 2021 — environmental protection and ambient air quality</x:v>
      </x:c>
      <x:c r="I167" s="65" t="str">
        <x:v>Pemerintah Republik Indonesia / Database Peraturan BPK</x:v>
      </x:c>
      <x:c r="J167" s="65" t="str">
        <x:v>The lampiran is the controlling locator for numeric ambient standards. A response must not substitute an ISPU category for an ambient concentration standard, and must identify the pollutant and averaging time before comparing a measurement.</x:v>
      </x:c>
      <x:c r="K167" s="65" t="str">
        <x:v>https://peraturan.bpk.go.id/Details/161852/pp-no-22tahun-2021</x:v>
      </x:c>
      <x:c r="L167" s="65" t="n">
        <x:v>0</x:v>
      </x:c>
      <x:c r="M167" s="65" t="str">
        <x:v>Machine-suggested near-miss; human review required.</x:v>
      </x:c>
    </x:row>
    <x:row r="168" ht="42" customHeight="1">
      <x:c r="A168" s="65" t="str">
        <x:v>gold30-009</x:v>
      </x:c>
      <x:c r="B168" s="65" t="str">
        <x:v>bm25</x:v>
      </x:c>
      <x:c r="C168" s="88" t="n">
        <x:v>3</x:v>
      </x:c>
      <x:c r="D168" s="65" t="str">
        <x:v>who-aqg-2021-extract</x:v>
      </x:c>
      <x:c r="E168" s="65" t="str">
        <x:v>who-aqg-2021-extract:structure:2</x:v>
      </x:c>
      <x:c r="F168" s="65" t="str">
        <x:v>p.3</x:v>
      </x:c>
      <x:c r="G168" s="92" t="n">
        <x:v>0.33333333</x:v>
      </x:c>
      <x:c r="H168" s="65" t="str">
        <x:v>WHO Global Air Quality Guidelines (2021) — particulate matter targets</x:v>
      </x:c>
      <x:c r="I168" s="65" t="str">
        <x:v>World Health Organization</x:v>
      </x:c>
      <x:c r="J168"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68" s="65" t="str">
        <x:v>https://www.who.int/publications/i/item/9789240034228</x:v>
      </x:c>
      <x:c r="L168" s="65" t="n">
        <x:v>3</x:v>
      </x:c>
      <x:c r="M168" s="65" t="str">
        <x:v>Expected source for this question.</x:v>
      </x:c>
    </x:row>
    <x:row r="169" ht="42" customHeight="1">
      <x:c r="A169" s="65" t="str">
        <x:v>gold30-009</x:v>
      </x:c>
      <x:c r="B169" s="65" t="str">
        <x:v>bm25</x:v>
      </x:c>
      <x:c r="C169" s="88" t="n">
        <x:v>4</x:v>
      </x:c>
      <x:c r="D169" s="65" t="str">
        <x:v>jakarta-regulations</x:v>
      </x:c>
      <x:c r="E169" s="65" t="str">
        <x:v>jakarta-regulations:structure:0</x:v>
      </x:c>
      <x:c r="F169" s="65" t="str">
        <x:v>p.1</x:v>
      </x:c>
      <x:c r="G169" s="92" t="n">
        <x:v>0.22222222</x:v>
      </x:c>
      <x:c r="H169" s="65" t="str">
        <x:v>Jakarta and Indonesian air-quality regulations</x:v>
      </x:c>
      <x:c r="I169" s="65" t="str">
        <x:v>JDIH DKI Jakarta / Government of Indonesia</x:v>
      </x:c>
      <x:c r="J169"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169" s="65" t="str">
        <x:v>https://udara.jakarta.go.id/regulasi</x:v>
      </x:c>
      <x:c r="L169" s="65" t="n">
        <x:v>0</x:v>
      </x:c>
      <x:c r="M169" s="65" t="str">
        <x:v>Machine-suggested near-miss; human review required.</x:v>
      </x:c>
    </x:row>
    <x:row r="170" ht="42" customHeight="1">
      <x:c r="A170" s="65" t="str">
        <x:v>gold30-009</x:v>
      </x:c>
      <x:c r="B170" s="65" t="str">
        <x:v>bm25</x:v>
      </x:c>
      <x:c r="C170" s="88" t="n">
        <x:v>5</x:v>
      </x:c>
      <x:c r="D170" s="65" t="str">
        <x:v>ma-jakarta-air-lawsuit-record</x:v>
      </x:c>
      <x:c r="E170" s="65" t="str">
        <x:v>ma-jakarta-air-lawsuit-record:structure:0</x:v>
      </x:c>
      <x:c r="F170" s="65" t="str">
        <x:v>p.1</x:v>
      </x:c>
      <x:c r="G170" s="92" t="n">
        <x:v>0.22222222</x:v>
      </x:c>
      <x:c r="H170" s="65" t="str">
        <x:v>Mahkamah Agung record — Jakarta air-pollution citizen lawsuit</x:v>
      </x:c>
      <x:c r="I170" s="65" t="str">
        <x:v>Mahkamah Agung Republik Indonesia</x:v>
      </x:c>
      <x:c r="J170"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170" s="65" t="str">
        <x:v>https://putusan3.mahkamahagung.go.id/pengadilan/profil/pengadilan/pn-jakarta-pusat.html</x:v>
      </x:c>
      <x:c r="L170" s="65" t="n">
        <x:v>0</x:v>
      </x:c>
      <x:c r="M170" s="65" t="str">
        <x:v>Machine-suggested near-miss; human review required.</x:v>
      </x:c>
    </x:row>
    <x:row r="171" ht="42" customHeight="1">
      <x:c r="A171" s="65" t="str">
        <x:v>gold30-009</x:v>
      </x:c>
      <x:c r="B171" s="65" t="str">
        <x:v>dense</x:v>
      </x:c>
      <x:c r="C171" s="88" t="n">
        <x:v>1</x:v>
      </x:c>
      <x:c r="D171" s="65" t="str">
        <x:v>who-aqg-2021-extract</x:v>
      </x:c>
      <x:c r="E171" s="65" t="str">
        <x:v>who-aqg-2021-extract:structure:2</x:v>
      </x:c>
      <x:c r="F171" s="65" t="str">
        <x:v>p.3</x:v>
      </x:c>
      <x:c r="G171" s="92" t="n">
        <x:v>0.28563727</x:v>
      </x:c>
      <x:c r="H171" s="65" t="str">
        <x:v>WHO Global Air Quality Guidelines (2021) — particulate matter targets</x:v>
      </x:c>
      <x:c r="I171" s="65" t="str">
        <x:v>World Health Organization</x:v>
      </x:c>
      <x:c r="J171"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71" s="65" t="str">
        <x:v>https://www.who.int/publications/i/item/9789240034228</x:v>
      </x:c>
      <x:c r="L171" s="65" t="n">
        <x:v>3</x:v>
      </x:c>
      <x:c r="M171" s="65" t="str">
        <x:v>Expected source for this question.</x:v>
      </x:c>
    </x:row>
    <x:row r="172" ht="42" customHeight="1">
      <x:c r="A172" s="65" t="str">
        <x:v>gold30-009</x:v>
      </x:c>
      <x:c r="B172" s="65" t="str">
        <x:v>dense</x:v>
      </x:c>
      <x:c r="C172" s="88" t="n">
        <x:v>2</x:v>
      </x:c>
      <x:c r="D172" s="65" t="str">
        <x:v>who-guidance</x:v>
      </x:c>
      <x:c r="E172" s="65" t="str">
        <x:v>who-guidance:structure:0</x:v>
      </x:c>
      <x:c r="F172" s="65" t="str">
        <x:v>p.1</x:v>
      </x:c>
      <x:c r="G172" s="92" t="n">
        <x:v>0.2132645</x:v>
      </x:c>
      <x:c r="H172" s="65" t="str">
        <x:v>WHO air-quality guideline context</x:v>
      </x:c>
      <x:c r="I172" s="65" t="str">
        <x:v>World Health Organization</x:v>
      </x:c>
      <x:c r="J172" s="65" t="str">
        <x:v>WHO air-quality guideline levels are health-based recommendations for pollutants including PM2.5, PM10, ozone, nitrogen dioxide, sulfur dioxide, and carbon monoxide. They are not Indonesian legal standards. Answers should state which framework is being used when comparing a meas…</x:v>
      </x:c>
      <x:c r="K172" s="65" t="str">
        <x:v>https://www.who.int/publications/i/item/9789240034228</x:v>
      </x:c>
      <x:c r="L172" s="65" t="n">
        <x:v>0</x:v>
      </x:c>
      <x:c r="M172" s="65" t="str">
        <x:v>Machine-suggested near-miss; human review required.</x:v>
      </x:c>
    </x:row>
    <x:row r="173" ht="42" customHeight="1">
      <x:c r="A173" s="65" t="str">
        <x:v>gold30-009</x:v>
      </x:c>
      <x:c r="B173" s="65" t="str">
        <x:v>dense</x:v>
      </x:c>
      <x:c r="C173" s="88" t="n">
        <x:v>3</x:v>
      </x:c>
      <x:c r="D173" s="65" t="str">
        <x:v>ispu</x:v>
      </x:c>
      <x:c r="E173" s="65" t="str">
        <x:v>ispu:structure:0</x:v>
      </x:c>
      <x:c r="F173" s="65" t="str">
        <x:v>p.1</x:v>
      </x:c>
      <x:c r="G173" s="92" t="n">
        <x:v>0.18963794</x:v>
      </x:c>
      <x:c r="H173" s="65" t="str">
        <x:v>Indonesian ISPU categories</x:v>
      </x:c>
      <x:c r="I173" s="65" t="str">
        <x:v>Ministry of Environment and Forestry</x:v>
      </x:c>
      <x:c r="J173" s="65" t="str">
        <x:v>The Indonesian ISPU categories used in this demo are Baik (1-50), Sedang (51-100), Tidak Sehat (101-200), Sangat Tidak Sehat (201-300), and Berbahaya (301 or higher). ISPU is an index without a physical concentration unit.</x:v>
      </x:c>
      <x:c r="K173" s="65" t="str">
        <x:v>https://peraturan.bpk.go.id/Details/163466/permen-lhk-no-14-tahun-2020</x:v>
      </x:c>
      <x:c r="L173" s="65" t="n">
        <x:v>3</x:v>
      </x:c>
      <x:c r="M173" s="65" t="str">
        <x:v>Expected source for this question.</x:v>
      </x:c>
    </x:row>
    <x:row r="174" ht="42" customHeight="1">
      <x:c r="A174" s="65" t="str">
        <x:v>gold30-009</x:v>
      </x:c>
      <x:c r="B174" s="65" t="str">
        <x:v>dense</x:v>
      </x:c>
      <x:c r="C174" s="88" t="n">
        <x:v>4</x:v>
      </x:c>
      <x:c r="D174" s="65" t="str">
        <x:v>epa-air-cleaners-home-2026</x:v>
      </x:c>
      <x:c r="E174" s="65" t="str">
        <x:v>epa-air-cleaners-home-2026:structure:2</x:v>
      </x:c>
      <x:c r="F174" s="65" t="str">
        <x:v>p.3</x:v>
      </x:c>
      <x:c r="G174" s="92" t="n">
        <x:v>0.16906503</x:v>
      </x:c>
      <x:c r="H174" s="65" t="str">
        <x:v>US EPA Guide to Air Cleaners in the Home (2nd edition)</x:v>
      </x:c>
      <x:c r="I174" s="65" t="str">
        <x:v>United States Environmental Protection Agency</x:v>
      </x:c>
      <x:c r="J174" s="65" t="str">
        <x:v>The guide discusses higher-efficiency HVAC filters, including MERV 13 where the system can accommodate the pressure drop. Compatibility, fit, operating time and maintenance affect delivered filtration; a filter rating alone does not guarantee a measured indoor concentration.</x:v>
      </x:c>
      <x:c r="K174" s="65" t="str">
        <x:v>https://www.epa.gov/indoor-air-quality-iaq/guide-air-cleaners-home</x:v>
      </x:c>
      <x:c r="L174" s="65" t="n">
        <x:v>0</x:v>
      </x:c>
      <x:c r="M174" s="65" t="str">
        <x:v>Machine-suggested near-miss; human review required.</x:v>
      </x:c>
    </x:row>
    <x:row r="175" ht="42" customHeight="1">
      <x:c r="A175" s="65" t="str">
        <x:v>gold30-009</x:v>
      </x:c>
      <x:c r="B175" s="65" t="str">
        <x:v>dense</x:v>
      </x:c>
      <x:c r="C175" s="88" t="n">
        <x:v>5</x:v>
      </x:c>
      <x:c r="D175" s="65" t="str">
        <x:v>jakarta-historical-city-series</x:v>
      </x:c>
      <x:c r="E175" s="65" t="str">
        <x:v>jakarta-historical-city-series:structure:1</x:v>
      </x:c>
      <x:c r="F175" s="65" t="str">
        <x:v>p.2</x:v>
      </x:c>
      <x:c r="G175" s="92" t="n">
        <x:v>0.15113945</x:v>
      </x:c>
      <x:c r="H175" s="65" t="str">
        <x:v>Jakarta historical PM2.5 and PM10 series: provenance and quality</x:v>
      </x:c>
      <x:c r="I175" s="65" t="str">
        <x:v>Open-Meteo / CAMS Global; deposited dataset by Nitiraj Kulkarni and Jagadish Tawade</x:v>
      </x:c>
      <x:c r="J175"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175" s="65" t="str">
        <x:v>https://zenodo.org/records/18673885</x:v>
      </x:c>
      <x:c r="L175" s="65" t="n">
        <x:v>0</x:v>
      </x:c>
      <x:c r="M175" s="65" t="str">
        <x:v>Machine-suggested near-miss; human review required.</x:v>
      </x:c>
    </x:row>
    <x:row r="176" ht="42" customHeight="1">
      <x:c r="A176" s="65" t="str">
        <x:v>gold30-009</x:v>
      </x:c>
      <x:c r="B176" s="65" t="str">
        <x:v>hybrid</x:v>
      </x:c>
      <x:c r="C176" s="88" t="n">
        <x:v>1</x:v>
      </x:c>
      <x:c r="D176" s="65" t="str">
        <x:v>who-aqg-2021-extract</x:v>
      </x:c>
      <x:c r="E176" s="65" t="str">
        <x:v>who-aqg-2021-extract:structure:2</x:v>
      </x:c>
      <x:c r="F176" s="65" t="str">
        <x:v>p.3</x:v>
      </x:c>
      <x:c r="G176" s="92" t="n">
        <x:v>0.03259433</x:v>
      </x:c>
      <x:c r="H176" s="65" t="str">
        <x:v>WHO Global Air Quality Guidelines (2021) — particulate matter targets</x:v>
      </x:c>
      <x:c r="I176" s="65" t="str">
        <x:v>World Health Organization</x:v>
      </x:c>
      <x:c r="J176"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76" s="65" t="str">
        <x:v>https://www.who.int/publications/i/item/9789240034228</x:v>
      </x:c>
      <x:c r="L176" s="65" t="n">
        <x:v>3</x:v>
      </x:c>
      <x:c r="M176" s="65" t="str">
        <x:v>Expected source for this question.</x:v>
      </x:c>
    </x:row>
    <x:row r="177" ht="42" customHeight="1">
      <x:c r="A177" s="65" t="str">
        <x:v>gold30-009</x:v>
      </x:c>
      <x:c r="B177" s="65" t="str">
        <x:v>hybrid</x:v>
      </x:c>
      <x:c r="C177" s="88" t="n">
        <x:v>2</x:v>
      </x:c>
      <x:c r="D177" s="65" t="str">
        <x:v>jakarta-policy-implementation</x:v>
      </x:c>
      <x:c r="E177" s="65" t="str">
        <x:v>jakarta-policy-implementation:structure:1</x:v>
      </x:c>
      <x:c r="F177" s="65" t="str">
        <x:v>p.2</x:v>
      </x:c>
      <x:c r="G177" s="92" t="n">
        <x:v>0.03139344</x:v>
      </x:c>
      <x:c r="H177" s="65" t="str">
        <x:v>Why rules can coexist with poor air: implementation evidence</x:v>
      </x:c>
      <x:c r="I177" s="65" t="str">
        <x:v>Pemerintah Provinsi DKI Jakarta; Dinas Lingkungan Hidup DKI Jakarta; Mahkamah Agung</x:v>
      </x:c>
      <x:c r="J177"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177" s="65" t="str">
        <x:v>https://www.jakarta.go.id/siaran-pers/4802-SP-HMS-06-2024</x:v>
      </x:c>
      <x:c r="L177" s="65" t="n">
        <x:v>0</x:v>
      </x:c>
      <x:c r="M177" s="65" t="str">
        <x:v>Machine-suggested near-miss; human review required.</x:v>
      </x:c>
    </x:row>
    <x:row r="178" ht="42" customHeight="1">
      <x:c r="A178" s="65" t="str">
        <x:v>gold30-009</x:v>
      </x:c>
      <x:c r="B178" s="65" t="str">
        <x:v>hybrid</x:v>
      </x:c>
      <x:c r="C178" s="88" t="n">
        <x:v>3</x:v>
      </x:c>
      <x:c r="D178" s="65" t="str">
        <x:v>ispu</x:v>
      </x:c>
      <x:c r="E178" s="65" t="str">
        <x:v>ispu:structure:0</x:v>
      </x:c>
      <x:c r="F178" s="65" t="str">
        <x:v>p.1</x:v>
      </x:c>
      <x:c r="G178" s="92" t="n">
        <x:v>0.03089636</x:v>
      </x:c>
      <x:c r="H178" s="65" t="str">
        <x:v>Indonesian ISPU categories</x:v>
      </x:c>
      <x:c r="I178" s="65" t="str">
        <x:v>Ministry of Environment and Forestry</x:v>
      </x:c>
      <x:c r="J178" s="65" t="str">
        <x:v>The Indonesian ISPU categories used in this demo are Baik (1-50), Sedang (51-100), Tidak Sehat (101-200), Sangat Tidak Sehat (201-300), and Berbahaya (301 or higher). ISPU is an index without a physical concentration unit.</x:v>
      </x:c>
      <x:c r="K178" s="65" t="str">
        <x:v>https://peraturan.bpk.go.id/Details/163466/permen-lhk-no-14-tahun-2020</x:v>
      </x:c>
      <x:c r="L178" s="65" t="n">
        <x:v>3</x:v>
      </x:c>
      <x:c r="M178" s="65" t="str">
        <x:v>Expected source for this question.</x:v>
      </x:c>
    </x:row>
    <x:row r="179" ht="42" customHeight="1">
      <x:c r="A179" s="65" t="str">
        <x:v>gold30-009</x:v>
      </x:c>
      <x:c r="B179" s="65" t="str">
        <x:v>hybrid</x:v>
      </x:c>
      <x:c r="C179" s="88" t="n">
        <x:v>4</x:v>
      </x:c>
      <x:c r="D179" s="65" t="str">
        <x:v>epa-air-cleaners-home-2026</x:v>
      </x:c>
      <x:c r="E179" s="65" t="str">
        <x:v>epa-air-cleaners-home-2026:structure:2</x:v>
      </x:c>
      <x:c r="F179" s="65" t="str">
        <x:v>p.3</x:v>
      </x:c>
      <x:c r="G179" s="92" t="n">
        <x:v>0.03086287</x:v>
      </x:c>
      <x:c r="H179" s="65" t="str">
        <x:v>US EPA Guide to Air Cleaners in the Home (2nd edition)</x:v>
      </x:c>
      <x:c r="I179" s="65" t="str">
        <x:v>United States Environmental Protection Agency</x:v>
      </x:c>
      <x:c r="J179" s="65" t="str">
        <x:v>The guide discusses higher-efficiency HVAC filters, including MERV 13 where the system can accommodate the pressure drop. Compatibility, fit, operating time and maintenance affect delivered filtration; a filter rating alone does not guarantee a measured indoor concentration.</x:v>
      </x:c>
      <x:c r="K179" s="65" t="str">
        <x:v>https://www.epa.gov/indoor-air-quality-iaq/guide-air-cleaners-home</x:v>
      </x:c>
      <x:c r="L179" s="65" t="n">
        <x:v>0</x:v>
      </x:c>
      <x:c r="M179" s="65" t="str">
        <x:v>Machine-suggested near-miss; human review required.</x:v>
      </x:c>
    </x:row>
    <x:row r="180" ht="42" customHeight="1">
      <x:c r="A180" s="65" t="str">
        <x:v>gold30-009</x:v>
      </x:c>
      <x:c r="B180" s="65" t="str">
        <x:v>hybrid</x:v>
      </x:c>
      <x:c r="C180" s="88" t="n">
        <x:v>5</x:v>
      </x:c>
      <x:c r="D180" s="65" t="str">
        <x:v>jakarta-regulations</x:v>
      </x:c>
      <x:c r="E180" s="65" t="str">
        <x:v>jakarta-regulations:structure:0</x:v>
      </x:c>
      <x:c r="F180" s="65" t="str">
        <x:v>p.1</x:v>
      </x:c>
      <x:c r="G180" s="92" t="n">
        <x:v>0.03084888</x:v>
      </x:c>
      <x:c r="H180" s="65" t="str">
        <x:v>Jakarta and Indonesian air-quality regulations</x:v>
      </x:c>
      <x:c r="I180" s="65" t="str">
        <x:v>JDIH DKI Jakarta / Government of Indonesia</x:v>
      </x:c>
      <x:c r="J180"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180" s="65" t="str">
        <x:v>https://udara.jakarta.go.id/regulasi</x:v>
      </x:c>
      <x:c r="L180" s="65" t="n">
        <x:v>0</x:v>
      </x:c>
      <x:c r="M180" s="65" t="str">
        <x:v>Machine-suggested near-miss; human review required.</x:v>
      </x:c>
    </x:row>
    <x:row r="181" ht="42" customHeight="1">
      <x:c r="A181" s="65" t="str">
        <x:v>gold30-009</x:v>
      </x:c>
      <x:c r="B181" s="65" t="str">
        <x:v>hybrid_rerank</x:v>
      </x:c>
      <x:c r="C181" s="88" t="n">
        <x:v>1</x:v>
      </x:c>
      <x:c r="D181" s="65" t="str">
        <x:v>who-aqg-2021-extract</x:v>
      </x:c>
      <x:c r="E181" s="65" t="str">
        <x:v>who-aqg-2021-extract:structure:2</x:v>
      </x:c>
      <x:c r="F181" s="65" t="str">
        <x:v>p.3</x:v>
      </x:c>
      <x:c r="G181" s="92" t="n">
        <x:v>0.24311163</x:v>
      </x:c>
      <x:c r="H181" s="65" t="str">
        <x:v>WHO Global Air Quality Guidelines (2021) — particulate matter targets</x:v>
      </x:c>
      <x:c r="I181" s="65" t="str">
        <x:v>World Health Organization</x:v>
      </x:c>
      <x:c r="J181"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181" s="65" t="str">
        <x:v>https://www.who.int/publications/i/item/9789240034228</x:v>
      </x:c>
      <x:c r="L181" s="65" t="n">
        <x:v>3</x:v>
      </x:c>
      <x:c r="M181" s="65" t="str">
        <x:v>Expected source for this question.</x:v>
      </x:c>
    </x:row>
    <x:row r="182" ht="42" customHeight="1">
      <x:c r="A182" s="65" t="str">
        <x:v>gold30-009</x:v>
      </x:c>
      <x:c r="B182" s="65" t="str">
        <x:v>hybrid_rerank</x:v>
      </x:c>
      <x:c r="C182" s="88" t="n">
        <x:v>2</x:v>
      </x:c>
      <x:c r="D182" s="65" t="str">
        <x:v>jakarta-policy-implementation</x:v>
      </x:c>
      <x:c r="E182" s="65" t="str">
        <x:v>jakarta-policy-implementation:structure:1</x:v>
      </x:c>
      <x:c r="F182" s="65" t="str">
        <x:v>p.2</x:v>
      </x:c>
      <x:c r="G182" s="92" t="n">
        <x:v>0.24275137</x:v>
      </x:c>
      <x:c r="H182" s="65" t="str">
        <x:v>Why rules can coexist with poor air: implementation evidence</x:v>
      </x:c>
      <x:c r="I182" s="65" t="str">
        <x:v>Pemerintah Provinsi DKI Jakarta; Dinas Lingkungan Hidup DKI Jakarta; Mahkamah Agung</x:v>
      </x:c>
      <x:c r="J182"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182" s="65" t="str">
        <x:v>https://www.jakarta.go.id/siaran-pers/4802-SP-HMS-06-2024</x:v>
      </x:c>
      <x:c r="L182" s="65" t="n">
        <x:v>0</x:v>
      </x:c>
      <x:c r="M182" s="65" t="str">
        <x:v>Machine-suggested near-miss; human review required.</x:v>
      </x:c>
    </x:row>
    <x:row r="183" ht="42" customHeight="1">
      <x:c r="A183" s="65" t="str">
        <x:v>gold30-009</x:v>
      </x:c>
      <x:c r="B183" s="65" t="str">
        <x:v>hybrid_rerank</x:v>
      </x:c>
      <x:c r="C183" s="88" t="n">
        <x:v>3</x:v>
      </x:c>
      <x:c r="D183" s="65" t="str">
        <x:v>pp-22-2021-air-quality</x:v>
      </x:c>
      <x:c r="E183" s="65" t="str">
        <x:v>pp-22-2021-air-quality:structure:3</x:v>
      </x:c>
      <x:c r="F183" s="65" t="str">
        <x:v>p.4</x:v>
      </x:c>
      <x:c r="G183" s="92" t="n">
        <x:v>0.23817204</x:v>
      </x:c>
      <x:c r="H183" s="65" t="str">
        <x:v>PP No. 22 Tahun 2021 — environmental protection and ambient air quality</x:v>
      </x:c>
      <x:c r="I183" s="65" t="str">
        <x:v>Pemerintah Republik Indonesia / Database Peraturan BPK</x:v>
      </x:c>
      <x:c r="J183" s="65" t="str">
        <x:v>The lampiran is the controlling locator for numeric ambient standards. A response must not substitute an ISPU category for an ambient concentration standard, and must identify the pollutant and averaging time before comparing a measurement.</x:v>
      </x:c>
      <x:c r="K183" s="65" t="str">
        <x:v>https://peraturan.bpk.go.id/Details/161852/pp-no-22tahun-2021</x:v>
      </x:c>
      <x:c r="L183" s="65" t="n">
        <x:v>0</x:v>
      </x:c>
      <x:c r="M183" s="65" t="str">
        <x:v>Machine-suggested near-miss; human review required.</x:v>
      </x:c>
    </x:row>
    <x:row r="184" ht="42" customHeight="1">
      <x:c r="A184" s="65" t="str">
        <x:v>gold30-009</x:v>
      </x:c>
      <x:c r="B184" s="65" t="str">
        <x:v>hybrid_rerank</x:v>
      </x:c>
      <x:c r="C184" s="88" t="n">
        <x:v>4</x:v>
      </x:c>
      <x:c r="D184" s="65" t="str">
        <x:v>jakarta-regulations</x:v>
      </x:c>
      <x:c r="E184" s="65" t="str">
        <x:v>jakarta-regulations:structure:0</x:v>
      </x:c>
      <x:c r="F184" s="65" t="str">
        <x:v>p.1</x:v>
      </x:c>
      <x:c r="G184" s="92" t="n">
        <x:v>0.16481022</x:v>
      </x:c>
      <x:c r="H184" s="65" t="str">
        <x:v>Jakarta and Indonesian air-quality regulations</x:v>
      </x:c>
      <x:c r="I184" s="65" t="str">
        <x:v>JDIH DKI Jakarta / Government of Indonesia</x:v>
      </x:c>
      <x:c r="J184"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184" s="65" t="str">
        <x:v>https://udara.jakarta.go.id/regulasi</x:v>
      </x:c>
      <x:c r="L184" s="65" t="n">
        <x:v>0</x:v>
      </x:c>
      <x:c r="M184" s="65" t="str">
        <x:v>Machine-suggested near-miss; human review required.</x:v>
      </x:c>
    </x:row>
    <x:row r="185" ht="42" customHeight="1">
      <x:c r="A185" s="65" t="str">
        <x:v>gold30-009</x:v>
      </x:c>
      <x:c r="B185" s="65" t="str">
        <x:v>hybrid_rerank</x:v>
      </x:c>
      <x:c r="C185" s="88" t="n">
        <x:v>5</x:v>
      </x:c>
      <x:c r="D185" s="65" t="str">
        <x:v>ispu</x:v>
      </x:c>
      <x:c r="E185" s="65" t="str">
        <x:v>ispu:structure:0</x:v>
      </x:c>
      <x:c r="F185" s="65" t="str">
        <x:v>p.1</x:v>
      </x:c>
      <x:c r="G185" s="92" t="n">
        <x:v>0.08704669</x:v>
      </x:c>
      <x:c r="H185" s="65" t="str">
        <x:v>Indonesian ISPU categories</x:v>
      </x:c>
      <x:c r="I185" s="65" t="str">
        <x:v>Ministry of Environment and Forestry</x:v>
      </x:c>
      <x:c r="J185" s="65" t="str">
        <x:v>The Indonesian ISPU categories used in this demo are Baik (1-50), Sedang (51-100), Tidak Sehat (101-200), Sangat Tidak Sehat (201-300), and Berbahaya (301 or higher). ISPU is an index without a physical concentration unit.</x:v>
      </x:c>
      <x:c r="K185" s="65" t="str">
        <x:v>https://peraturan.bpk.go.id/Details/163466/permen-lhk-no-14-tahun-2020</x:v>
      </x:c>
      <x:c r="L185" s="65" t="n">
        <x:v>3</x:v>
      </x:c>
      <x:c r="M185" s="65" t="str">
        <x:v>Expected source for this question.</x:v>
      </x:c>
    </x:row>
    <x:row r="186" ht="42" customHeight="1">
      <x:c r="A186" s="65" t="str">
        <x:v>gold30-010</x:v>
      </x:c>
      <x:c r="B186" s="65" t="str">
        <x:v>bm25</x:v>
      </x:c>
      <x:c r="C186" s="88" t="n">
        <x:v>1</x:v>
      </x:c>
      <x:c r="D186" s="65" t="str">
        <x:v>bad-air-day-protection</x:v>
      </x:c>
      <x:c r="E186" s="65" t="str">
        <x:v>bad-air-day-protection:structure:1</x:v>
      </x:c>
      <x:c r="F186" s="65" t="str">
        <x:v>p.2</x:v>
      </x:c>
      <x:c r="G186" s="92" t="n">
        <x:v>0.14285714</x:v>
      </x:c>
      <x:c r="H186" s="65" t="str">
        <x:v>Bad-air-day protection playbook</x:v>
      </x:c>
      <x:c r="I186" s="65" t="str">
        <x:v>World Health Organization, Regional Office for Europe</x:v>
      </x:c>
      <x:c r="J186"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186" s="65" t="str">
        <x:v>https://www.who.int/news-room/questions-and-answers/item/air-pollution-personal-interventions-and-risk-communication</x:v>
      </x:c>
      <x:c r="L186" s="65" t="n">
        <x:v>0</x:v>
      </x:c>
      <x:c r="M186" s="65" t="str">
        <x:v>Machine-suggested near-miss; human review required.</x:v>
      </x:c>
    </x:row>
    <x:row r="187" ht="42" customHeight="1">
      <x:c r="A187" s="65" t="str">
        <x:v>gold30-010</x:v>
      </x:c>
      <x:c r="B187" s="65" t="str">
        <x:v>bm25</x:v>
      </x:c>
      <x:c r="C187" s="88" t="n">
        <x:v>2</x:v>
      </x:c>
      <x:c r="D187" s="65" t="str">
        <x:v>jakarta-causes</x:v>
      </x:c>
      <x:c r="E187" s="65" t="str">
        <x:v>jakarta-causes:structure:0</x:v>
      </x:c>
      <x:c r="F187" s="65" t="str">
        <x:v>p.1</x:v>
      </x:c>
      <x:c r="G187" s="92" t="n">
        <x:v>0.14285714</x:v>
      </x:c>
      <x:c r="H187" s="65" t="str">
        <x:v>What causes Jakarta air pollution</x:v>
      </x:c>
      <x:c r="I187" s="65" t="str">
        <x:v>Dinas Lingkungan Hidup DKI Jakarta / Vital Strategies / ITB</x:v>
      </x:c>
      <x:c r="J187"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87" s="65" t="str">
        <x:v>https://rendahemisi.jakarta.go.id/learn</x:v>
      </x:c>
      <x:c r="L187" s="65" t="n">
        <x:v>3</x:v>
      </x:c>
      <x:c r="M187" s="65" t="str">
        <x:v>Expected source for this question.</x:v>
      </x:c>
    </x:row>
    <x:row r="188" ht="42" customHeight="1">
      <x:c r="A188" s="65" t="str">
        <x:v>gold30-010</x:v>
      </x:c>
      <x:c r="B188" s="65" t="str">
        <x:v>bm25</x:v>
      </x:c>
      <x:c r="C188" s="88" t="n">
        <x:v>3</x:v>
      </x:c>
      <x:c r="D188" s="65" t="str">
        <x:v>jakarta-historical-city-series</x:v>
      </x:c>
      <x:c r="E188" s="65" t="str">
        <x:v>jakarta-historical-city-series:structure:2</x:v>
      </x:c>
      <x:c r="F188" s="65" t="str">
        <x:v>p.3</x:v>
      </x:c>
      <x:c r="G188" s="92" t="n">
        <x:v>0.14285714</x:v>
      </x:c>
      <x:c r="H188" s="65" t="str">
        <x:v>Jakarta historical PM2.5 and PM10 series: provenance and quality</x:v>
      </x:c>
      <x:c r="I188" s="65" t="str">
        <x:v>Open-Meteo / CAMS Global; deposited dataset by Nitiraj Kulkarni and Jagadish Tawade</x:v>
      </x:c>
      <x:c r="J188"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188" s="65" t="str">
        <x:v>https://zenodo.org/records/18673885</x:v>
      </x:c>
      <x:c r="L188" s="65" t="n">
        <x:v>0</x:v>
      </x:c>
      <x:c r="M188" s="65" t="str">
        <x:v>Machine-suggested near-miss; human review required.</x:v>
      </x:c>
    </x:row>
    <x:row r="189" ht="42" customHeight="1">
      <x:c r="A189" s="65" t="str">
        <x:v>gold30-010</x:v>
      </x:c>
      <x:c r="B189" s="65" t="str">
        <x:v>bm25</x:v>
      </x:c>
      <x:c r="C189" s="88" t="n">
        <x:v>4</x:v>
      </x:c>
      <x:c r="D189" s="65" t="str">
        <x:v>jakarta-seasonal-exposure</x:v>
      </x:c>
      <x:c r="E189" s="65" t="str">
        <x:v>jakarta-seasonal-exposure:structure:0</x:v>
      </x:c>
      <x:c r="F189" s="65" t="str">
        <x:v>p.1</x:v>
      </x:c>
      <x:c r="G189" s="92" t="n">
        <x:v>0.14285714</x:v>
      </x:c>
      <x:c r="H189" s="65" t="str">
        <x:v>Jakarta timing and local exposure context</x:v>
      </x:c>
      <x:c r="I189" s="65" t="str">
        <x:v>Dinas Lingkungan Hidup DKI Jakarta</x:v>
      </x:c>
      <x:c r="J189" s="65" t="str">
        <x:v>Published: 2024-04-06 Status as of: 2026-09-07 (official seasonal notice; not a current forecast) Document type: official_public_guidance Tags: topic=exposure-protection; audience=Jakarta-resident; action=protect-now; pollutant=PM2.5</x:v>
      </x:c>
      <x:c r="K189" s="65" t="str">
        <x:v>https://lingkunganhidup.jakarta.go.id/detail-artikel/masuki-musim-kemarau-pemprov-dki-minta-masyarakat-waspadai-penurunan-kualitas-udara</x:v>
      </x:c>
      <x:c r="L189" s="65" t="n">
        <x:v>0</x:v>
      </x:c>
      <x:c r="M189" s="65" t="str">
        <x:v>Machine-suggested near-miss; human review required.</x:v>
      </x:c>
    </x:row>
    <x:row r="190" ht="42" customHeight="1">
      <x:c r="A190" s="65" t="str">
        <x:v>gold30-010</x:v>
      </x:c>
      <x:c r="B190" s="65" t="str">
        <x:v>bm25</x:v>
      </x:c>
      <x:c r="C190" s="88" t="n">
        <x:v>5</x:v>
      </x:c>
      <x:c r="D190" s="65" t="str">
        <x:v>policy-improvements-evidence</x:v>
      </x:c>
      <x:c r="E190" s="65" t="str">
        <x:v>policy-improvements-evidence:structure:2</x:v>
      </x:c>
      <x:c r="F190" s="65" t="str">
        <x:v>p.3</x:v>
      </x:c>
      <x:c r="G190" s="92" t="n">
        <x:v>0.14285714</x:v>
      </x:c>
      <x:c r="H190" s="65" t="str">
        <x:v>Evidence-based policy improvements for Jakarta</x:v>
      </x:c>
      <x:c r="I190" s="65" t="str">
        <x:v>Dinas Lingkungan Hidup DKI Jakarta; World Health Organization</x:v>
      </x:c>
      <x:c r="J190"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190" s="65" t="str">
        <x:v>https://www.jakarta.go.id/siaran-pers/4802-SP-HMS-06-2024</x:v>
      </x:c>
      <x:c r="L190" s="65" t="n">
        <x:v>0</x:v>
      </x:c>
      <x:c r="M190" s="65" t="str">
        <x:v>Machine-suggested near-miss; human review required.</x:v>
      </x:c>
    </x:row>
    <x:row r="191" ht="42" customHeight="1">
      <x:c r="A191" s="65" t="str">
        <x:v>gold30-010</x:v>
      </x:c>
      <x:c r="B191" s="65" t="str">
        <x:v>dense</x:v>
      </x:c>
      <x:c r="C191" s="88" t="n">
        <x:v>1</x:v>
      </x:c>
      <x:c r="D191" s="65" t="str">
        <x:v>jakarta-seasonal-exposure</x:v>
      </x:c>
      <x:c r="E191" s="65" t="str">
        <x:v>jakarta-seasonal-exposure:structure:0</x:v>
      </x:c>
      <x:c r="F191" s="65" t="str">
        <x:v>p.1</x:v>
      </x:c>
      <x:c r="G191" s="92" t="n">
        <x:v>0.21043117</x:v>
      </x:c>
      <x:c r="H191" s="65" t="str">
        <x:v>Jakarta timing and local exposure context</x:v>
      </x:c>
      <x:c r="I191" s="65" t="str">
        <x:v>Dinas Lingkungan Hidup DKI Jakarta</x:v>
      </x:c>
      <x:c r="J191" s="65" t="str">
        <x:v>Published: 2024-04-06 Status as of: 2026-09-07 (official seasonal notice; not a current forecast) Document type: official_public_guidance Tags: topic=exposure-protection; audience=Jakarta-resident; action=protect-now; pollutant=PM2.5</x:v>
      </x:c>
      <x:c r="K191" s="65" t="str">
        <x:v>https://lingkunganhidup.jakarta.go.id/detail-artikel/masuki-musim-kemarau-pemprov-dki-minta-masyarakat-waspadai-penurunan-kualitas-udara</x:v>
      </x:c>
      <x:c r="L191" s="65" t="n">
        <x:v>0</x:v>
      </x:c>
      <x:c r="M191" s="65" t="str">
        <x:v>Machine-suggested near-miss; human review required.</x:v>
      </x:c>
    </x:row>
    <x:row r="192" ht="42" customHeight="1">
      <x:c r="A192" s="65" t="str">
        <x:v>gold30-010</x:v>
      </x:c>
      <x:c r="B192" s="65" t="str">
        <x:v>dense</x:v>
      </x:c>
      <x:c r="C192" s="88" t="n">
        <x:v>2</x:v>
      </x:c>
      <x:c r="D192" s="65" t="str">
        <x:v>jakarta-court-air-quality</x:v>
      </x:c>
      <x:c r="E192" s="65" t="str">
        <x:v>jakarta-court-air-quality:structure:1</x:v>
      </x:c>
      <x:c r="F192" s="65" t="str">
        <x:v>p.2</x:v>
      </x:c>
      <x:c r="G192" s="92" t="n">
        <x:v>0.19616271</x:v>
      </x:c>
      <x:c r="H192" s="65" t="str">
        <x:v>Jakarta air-pollution citizen lawsuit: what the court record establishes</x:v>
      </x:c>
      <x:c r="I192" s="65" t="str">
        <x:v>Mahkamah Agung Republik Indonesia</x:v>
      </x:c>
      <x:c r="J192"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192" s="65" t="str">
        <x:v>https://putusan3.mahkamahagung.go.id/pengadilan/profil/pengadilan/pn-jakarta-pusat.html</x:v>
      </x:c>
      <x:c r="L192" s="65" t="n">
        <x:v>0</x:v>
      </x:c>
      <x:c r="M192" s="65" t="str">
        <x:v>Machine-suggested near-miss; human review required.</x:v>
      </x:c>
    </x:row>
    <x:row r="193" ht="42" customHeight="1">
      <x:c r="A193" s="65" t="str">
        <x:v>gold30-010</x:v>
      </x:c>
      <x:c r="B193" s="65" t="str">
        <x:v>dense</x:v>
      </x:c>
      <x:c r="C193" s="88" t="n">
        <x:v>3</x:v>
      </x:c>
      <x:c r="D193" s="65" t="str">
        <x:v>jakarta-policy-status</x:v>
      </x:c>
      <x:c r="E193" s="65" t="str">
        <x:v>jakarta-policy-status:structure:0</x:v>
      </x:c>
      <x:c r="F193" s="65" t="str">
        <x:v>p.1</x:v>
      </x:c>
      <x:c r="G193" s="92" t="n">
        <x:v>0.18949091</x:v>
      </x:c>
      <x:c r="H193" s="65" t="str">
        <x:v>Policy proposals and implementation gaps</x:v>
      </x:c>
      <x:c r="I193" s="65" t="str">
        <x:v>Pemerintah Provinsi DKI Jakarta / JDIH</x:v>
      </x:c>
      <x:c r="J193" s="65" t="str">
        <x:v>Electronic Road Pricing (PL2SE/ERP) is a policy proposal and legislative process, not automatically an enacted operating rule. Jakarta's official explanation records that its draft first entered the legislative programme in 2018 but was not discussed, was revised and resubmitted…</x:v>
      </x:c>
      <x:c r="K193" s="65" t="str">
        <x:v>https://www.jakarta.go.id/siaran-pers/3850-SP-HMS-01-2023</x:v>
      </x:c>
      <x:c r="L193" s="65" t="n">
        <x:v>0</x:v>
      </x:c>
      <x:c r="M193" s="65" t="str">
        <x:v>Machine-suggested near-miss; human review required.</x:v>
      </x:c>
    </x:row>
    <x:row r="194" ht="42" customHeight="1">
      <x:c r="A194" s="65" t="str">
        <x:v>gold30-010</x:v>
      </x:c>
      <x:c r="B194" s="65" t="str">
        <x:v>dense</x:v>
      </x:c>
      <x:c r="C194" s="88" t="n">
        <x:v>4</x:v>
      </x:c>
      <x:c r="D194" s="65" t="str">
        <x:v>jakarta-monitoring</x:v>
      </x:c>
      <x:c r="E194" s="65" t="str">
        <x:v>jakarta-monitoring:structure:0</x:v>
      </x:c>
      <x:c r="F194" s="65" t="str">
        <x:v>p.1</x:v>
      </x:c>
      <x:c r="G194" s="92" t="n">
        <x:v>0.18360845</x:v>
      </x:c>
      <x:c r="H194" s="65" t="str">
        <x:v>Jakarta monitoring stations</x:v>
      </x:c>
      <x:c r="I194" s="65" t="str">
        <x:v>Dinas Lingkungan Hidup Provinsi DKI Jakarta</x:v>
      </x:c>
      <x:c r="J194" s="65" t="str">
        <x:v>Jakarta's official monitoring portal publishes station locations, pollutant parameters, current readings, and timestamps. A station observation describes that station and observation time; it should not automatically be generalized to all of Jakarta.</x:v>
      </x:c>
      <x:c r="K194" s="65" t="str">
        <x:v>https://udara.jakarta.go.id/lokasi-spku</x:v>
      </x:c>
      <x:c r="L194" s="65" t="n">
        <x:v>0</x:v>
      </x:c>
      <x:c r="M194" s="65" t="str">
        <x:v>Machine-suggested near-miss; human review required.</x:v>
      </x:c>
    </x:row>
    <x:row r="195" ht="42" customHeight="1">
      <x:c r="A195" s="65" t="str">
        <x:v>gold30-010</x:v>
      </x:c>
      <x:c r="B195" s="65" t="str">
        <x:v>dense</x:v>
      </x:c>
      <x:c r="C195" s="88" t="n">
        <x:v>5</x:v>
      </x:c>
      <x:c r="D195" s="65" t="str">
        <x:v>jakarta-sppu-official-status-2024</x:v>
      </x:c>
      <x:c r="E195" s="65" t="str">
        <x:v>jakarta-sppu-official-status-2024:structure:1</x:v>
      </x:c>
      <x:c r="F195" s="65" t="str">
        <x:v>p.2</x:v>
      </x:c>
      <x:c r="G195" s="92" t="n">
        <x:v>0.18295433</x:v>
      </x:c>
      <x:c r="H195" s="65" t="str">
        <x:v>Jakarta SPPU and air-quality implementation status (official statement, 2024)</x:v>
      </x:c>
      <x:c r="I195" s="65" t="str">
        <x:v>Pemerintah Provinsi DKI Jakarta / Dinas Lingkungan Hidup DKI Jakarta</x:v>
      </x:c>
      <x:c r="J195" s="65" t="str">
        <x:v>The official statement discusses work involving emissions inventories, stronger oversight of mobile and stationary sources, and cooperation across the Greater Jakarta agglomeration. These are documented workstreams and should not be rewritten as completed outcomes without separa…</x:v>
      </x:c>
      <x:c r="K195" s="65" t="str">
        <x:v>https://www.jakarta.go.id/siaran-pers/4802-SP-HMS-06-2024</x:v>
      </x:c>
      <x:c r="L195" s="65" t="n">
        <x:v>0</x:v>
      </x:c>
      <x:c r="M195" s="65" t="str">
        <x:v>Machine-suggested near-miss; human review required.</x:v>
      </x:c>
    </x:row>
    <x:row r="196" ht="42" customHeight="1">
      <x:c r="A196" s="65" t="str">
        <x:v>gold30-010</x:v>
      </x:c>
      <x:c r="B196" s="65" t="str">
        <x:v>hybrid</x:v>
      </x:c>
      <x:c r="C196" s="88" t="n">
        <x:v>1</x:v>
      </x:c>
      <x:c r="D196" s="65" t="str">
        <x:v>jakarta-seasonal-exposure</x:v>
      </x:c>
      <x:c r="E196" s="65" t="str">
        <x:v>jakarta-seasonal-exposure:structure:0</x:v>
      </x:c>
      <x:c r="F196" s="65" t="str">
        <x:v>p.1</x:v>
      </x:c>
      <x:c r="G196" s="92" t="n">
        <x:v>0.03234631</x:v>
      </x:c>
      <x:c r="H196" s="65" t="str">
        <x:v>Jakarta timing and local exposure context</x:v>
      </x:c>
      <x:c r="I196" s="65" t="str">
        <x:v>Dinas Lingkungan Hidup DKI Jakarta</x:v>
      </x:c>
      <x:c r="J196" s="65" t="str">
        <x:v>Published: 2024-04-06 Status as of: 2026-09-07 (official seasonal notice; not a current forecast) Document type: official_public_guidance Tags: topic=exposure-protection; audience=Jakarta-resident; action=protect-now; pollutant=PM2.5</x:v>
      </x:c>
      <x:c r="K196" s="65" t="str">
        <x:v>https://lingkunganhidup.jakarta.go.id/detail-artikel/masuki-musim-kemarau-pemprov-dki-minta-masyarakat-waspadai-penurunan-kualitas-udara</x:v>
      </x:c>
      <x:c r="L196" s="65" t="n">
        <x:v>0</x:v>
      </x:c>
      <x:c r="M196" s="65" t="str">
        <x:v>Machine-suggested near-miss; human review required.</x:v>
      </x:c>
    </x:row>
    <x:row r="197" ht="42" customHeight="1">
      <x:c r="A197" s="65" t="str">
        <x:v>gold30-010</x:v>
      </x:c>
      <x:c r="B197" s="65" t="str">
        <x:v>hybrid</x:v>
      </x:c>
      <x:c r="C197" s="88" t="n">
        <x:v>2</x:v>
      </x:c>
      <x:c r="D197" s="65" t="str">
        <x:v>jakarta-causes</x:v>
      </x:c>
      <x:c r="E197" s="65" t="str">
        <x:v>jakarta-causes:structure:0</x:v>
      </x:c>
      <x:c r="F197" s="65" t="str">
        <x:v>p.1</x:v>
      </x:c>
      <x:c r="G197" s="92" t="n">
        <x:v>0.03091164</x:v>
      </x:c>
      <x:c r="H197" s="65" t="str">
        <x:v>What causes Jakarta air pollution</x:v>
      </x:c>
      <x:c r="I197" s="65" t="str">
        <x:v>Dinas Lingkungan Hidup DKI Jakarta / Vital Strategies / ITB</x:v>
      </x:c>
      <x:c r="J197"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197" s="65" t="str">
        <x:v>https://rendahemisi.jakarta.go.id/learn</x:v>
      </x:c>
      <x:c r="L197" s="65" t="n">
        <x:v>3</x:v>
      </x:c>
      <x:c r="M197" s="65" t="str">
        <x:v>Expected source for this question.</x:v>
      </x:c>
    </x:row>
    <x:row r="198" ht="42" customHeight="1">
      <x:c r="A198" s="65" t="str">
        <x:v>gold30-010</x:v>
      </x:c>
      <x:c r="B198" s="65" t="str">
        <x:v>hybrid</x:v>
      </x:c>
      <x:c r="C198" s="88" t="n">
        <x:v>3</x:v>
      </x:c>
      <x:c r="D198" s="65" t="str">
        <x:v>jakarta-court-air-quality</x:v>
      </x:c>
      <x:c r="E198" s="65" t="str">
        <x:v>jakarta-court-air-quality:structure:1</x:v>
      </x:c>
      <x:c r="F198" s="65" t="str">
        <x:v>p.2</x:v>
      </x:c>
      <x:c r="G198" s="92" t="n">
        <x:v>0.01645161</x:v>
      </x:c>
      <x:c r="H198" s="65" t="str">
        <x:v>Jakarta air-pollution citizen lawsuit: what the court record establishes</x:v>
      </x:c>
      <x:c r="I198" s="65" t="str">
        <x:v>Mahkamah Agung Republik Indonesia</x:v>
      </x:c>
      <x:c r="J198"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198" s="65" t="str">
        <x:v>https://putusan3.mahkamahagung.go.id/pengadilan/profil/pengadilan/pn-jakarta-pusat.html</x:v>
      </x:c>
      <x:c r="L198" s="65" t="n">
        <x:v>0</x:v>
      </x:c>
      <x:c r="M198" s="65" t="str">
        <x:v>Machine-suggested near-miss; human review required.</x:v>
      </x:c>
    </x:row>
    <x:row r="199" ht="42" customHeight="1">
      <x:c r="A199" s="65" t="str">
        <x:v>gold30-010</x:v>
      </x:c>
      <x:c r="B199" s="65" t="str">
        <x:v>hybrid</x:v>
      </x:c>
      <x:c r="C199" s="88" t="n">
        <x:v>4</x:v>
      </x:c>
      <x:c r="D199" s="65" t="str">
        <x:v>bad-air-day-protection</x:v>
      </x:c>
      <x:c r="E199" s="65" t="str">
        <x:v>bad-air-day-protection:structure:1</x:v>
      </x:c>
      <x:c r="F199" s="65" t="str">
        <x:v>p.2</x:v>
      </x:c>
      <x:c r="G199" s="92" t="n">
        <x:v>0.01639344</x:v>
      </x:c>
      <x:c r="H199" s="65" t="str">
        <x:v>Bad-air-day protection playbook</x:v>
      </x:c>
      <x:c r="I199" s="65" t="str">
        <x:v>World Health Organization, Regional Office for Europe</x:v>
      </x:c>
      <x:c r="J199"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199" s="65" t="str">
        <x:v>https://www.who.int/news-room/questions-and-answers/item/air-pollution-personal-interventions-and-risk-communication</x:v>
      </x:c>
      <x:c r="L199" s="65" t="n">
        <x:v>0</x:v>
      </x:c>
      <x:c r="M199" s="65" t="str">
        <x:v>Machine-suggested near-miss; human review required.</x:v>
      </x:c>
    </x:row>
    <x:row r="200" ht="42" customHeight="1">
      <x:c r="A200" s="65" t="str">
        <x:v>gold30-010</x:v>
      </x:c>
      <x:c r="B200" s="65" t="str">
        <x:v>hybrid</x:v>
      </x:c>
      <x:c r="C200" s="88" t="n">
        <x:v>5</x:v>
      </x:c>
      <x:c r="D200" s="65" t="str">
        <x:v>jakarta-policy-status</x:v>
      </x:c>
      <x:c r="E200" s="65" t="str">
        <x:v>jakarta-policy-status:structure:0</x:v>
      </x:c>
      <x:c r="F200" s="65" t="str">
        <x:v>p.1</x:v>
      </x:c>
      <x:c r="G200" s="92" t="n">
        <x:v>0.01619048</x:v>
      </x:c>
      <x:c r="H200" s="65" t="str">
        <x:v>Policy proposals and implementation gaps</x:v>
      </x:c>
      <x:c r="I200" s="65" t="str">
        <x:v>Pemerintah Provinsi DKI Jakarta / JDIH</x:v>
      </x:c>
      <x:c r="J200" s="65" t="str">
        <x:v>Electronic Road Pricing (PL2SE/ERP) is a policy proposal and legislative process, not automatically an enacted operating rule. Jakarta's official explanation records that its draft first entered the legislative programme in 2018 but was not discussed, was revised and resubmitted…</x:v>
      </x:c>
      <x:c r="K200" s="65" t="str">
        <x:v>https://www.jakarta.go.id/siaran-pers/3850-SP-HMS-01-2023</x:v>
      </x:c>
      <x:c r="L200" s="65" t="n">
        <x:v>0</x:v>
      </x:c>
      <x:c r="M200" s="65" t="str">
        <x:v>Machine-suggested near-miss; human review required.</x:v>
      </x:c>
    </x:row>
    <x:row r="201" ht="42" customHeight="1">
      <x:c r="A201" s="65" t="str">
        <x:v>gold30-010</x:v>
      </x:c>
      <x:c r="B201" s="65" t="str">
        <x:v>hybrid_rerank</x:v>
      </x:c>
      <x:c r="C201" s="88" t="n">
        <x:v>1</x:v>
      </x:c>
      <x:c r="D201" s="65" t="str">
        <x:v>jakarta-seasonal-exposure</x:v>
      </x:c>
      <x:c r="E201" s="65" t="str">
        <x:v>jakarta-seasonal-exposure:structure:0</x:v>
      </x:c>
      <x:c r="F201" s="65" t="str">
        <x:v>p.1</x:v>
      </x:c>
      <x:c r="G201" s="92" t="n">
        <x:v>0.10970389</x:v>
      </x:c>
      <x:c r="H201" s="65" t="str">
        <x:v>Jakarta timing and local exposure context</x:v>
      </x:c>
      <x:c r="I201" s="65" t="str">
        <x:v>Dinas Lingkungan Hidup DKI Jakarta</x:v>
      </x:c>
      <x:c r="J201" s="65" t="str">
        <x:v>Published: 2024-04-06 Status as of: 2026-09-07 (official seasonal notice; not a current forecast) Document type: official_public_guidance Tags: topic=exposure-protection; audience=Jakarta-resident; action=protect-now; pollutant=PM2.5</x:v>
      </x:c>
      <x:c r="K201" s="65" t="str">
        <x:v>https://lingkunganhidup.jakarta.go.id/detail-artikel/masuki-musim-kemarau-pemprov-dki-minta-masyarakat-waspadai-penurunan-kualitas-udara</x:v>
      </x:c>
      <x:c r="L201" s="65" t="n">
        <x:v>0</x:v>
      </x:c>
      <x:c r="M201" s="65" t="str">
        <x:v>Machine-suggested near-miss; human review required.</x:v>
      </x:c>
    </x:row>
    <x:row r="202" ht="42" customHeight="1">
      <x:c r="A202" s="65" t="str">
        <x:v>gold30-010</x:v>
      </x:c>
      <x:c r="B202" s="65" t="str">
        <x:v>hybrid_rerank</x:v>
      </x:c>
      <x:c r="C202" s="88" t="n">
        <x:v>2</x:v>
      </x:c>
      <x:c r="D202" s="65" t="str">
        <x:v>jakarta-causes</x:v>
      </x:c>
      <x:c r="E202" s="65" t="str">
        <x:v>jakarta-causes:structure:0</x:v>
      </x:c>
      <x:c r="F202" s="65" t="str">
        <x:v>p.1</x:v>
      </x:c>
      <x:c r="G202" s="92" t="n">
        <x:v>0.10927349</x:v>
      </x:c>
      <x:c r="H202" s="65" t="str">
        <x:v>What causes Jakarta air pollution</x:v>
      </x:c>
      <x:c r="I202" s="65" t="str">
        <x:v>Dinas Lingkungan Hidup DKI Jakarta / Vital Strategies / ITB</x:v>
      </x:c>
      <x:c r="J202"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202" s="65" t="str">
        <x:v>https://rendahemisi.jakarta.go.id/learn</x:v>
      </x:c>
      <x:c r="L202" s="65" t="n">
        <x:v>3</x:v>
      </x:c>
      <x:c r="M202" s="65" t="str">
        <x:v>Expected source for this question.</x:v>
      </x:c>
    </x:row>
    <x:row r="203" ht="42" customHeight="1">
      <x:c r="A203" s="65" t="str">
        <x:v>gold30-010</x:v>
      </x:c>
      <x:c r="B203" s="65" t="str">
        <x:v>hybrid_rerank</x:v>
      </x:c>
      <x:c r="C203" s="88" t="n">
        <x:v>3</x:v>
      </x:c>
      <x:c r="D203" s="65" t="str">
        <x:v>bad-air-day-protection</x:v>
      </x:c>
      <x:c r="E203" s="65" t="str">
        <x:v>bad-air-day-protection:structure:1</x:v>
      </x:c>
      <x:c r="F203" s="65" t="str">
        <x:v>p.2</x:v>
      </x:c>
      <x:c r="G203" s="92" t="n">
        <x:v>0.10491803</x:v>
      </x:c>
      <x:c r="H203" s="65" t="str">
        <x:v>Bad-air-day protection playbook</x:v>
      </x:c>
      <x:c r="I203" s="65" t="str">
        <x:v>World Health Organization, Regional Office for Europe</x:v>
      </x:c>
      <x:c r="J203"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203" s="65" t="str">
        <x:v>https://www.who.int/news-room/questions-and-answers/item/air-pollution-personal-interventions-and-risk-communication</x:v>
      </x:c>
      <x:c r="L203" s="65" t="n">
        <x:v>0</x:v>
      </x:c>
      <x:c r="M203" s="65" t="str">
        <x:v>Machine-suggested near-miss; human review required.</x:v>
      </x:c>
    </x:row>
    <x:row r="204" ht="42" customHeight="1">
      <x:c r="A204" s="65" t="str">
        <x:v>gold30-010</x:v>
      </x:c>
      <x:c r="B204" s="65" t="str">
        <x:v>hybrid_rerank</x:v>
      </x:c>
      <x:c r="C204" s="88" t="n">
        <x:v>4</x:v>
      </x:c>
      <x:c r="D204" s="65" t="str">
        <x:v>jakarta-historical-city-series</x:v>
      </x:c>
      <x:c r="E204" s="65" t="str">
        <x:v>jakarta-historical-city-series:structure:2</x:v>
      </x:c>
      <x:c r="F204" s="65" t="str">
        <x:v>p.3</x:v>
      </x:c>
      <x:c r="G204" s="92" t="n">
        <x:v>0.1047619</x:v>
      </x:c>
      <x:c r="H204" s="65" t="str">
        <x:v>Jakarta historical PM2.5 and PM10 series: provenance and quality</x:v>
      </x:c>
      <x:c r="I204" s="65" t="str">
        <x:v>Open-Meteo / CAMS Global; deposited dataset by Nitiraj Kulkarni and Jagadish Tawade</x:v>
      </x:c>
      <x:c r="J204"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204" s="65" t="str">
        <x:v>https://zenodo.org/records/18673885</x:v>
      </x:c>
      <x:c r="L204" s="65" t="n">
        <x:v>0</x:v>
      </x:c>
      <x:c r="M204" s="65" t="str">
        <x:v>Machine-suggested near-miss; human review required.</x:v>
      </x:c>
    </x:row>
    <x:row r="205" ht="42" customHeight="1">
      <x:c r="A205" s="65" t="str">
        <x:v>gold30-010</x:v>
      </x:c>
      <x:c r="B205" s="65" t="str">
        <x:v>hybrid_rerank</x:v>
      </x:c>
      <x:c r="C205" s="88" t="n">
        <x:v>5</x:v>
      </x:c>
      <x:c r="D205" s="65" t="str">
        <x:v>policy-improvements-evidence</x:v>
      </x:c>
      <x:c r="E205" s="65" t="str">
        <x:v>policy-improvements-evidence:structure:2</x:v>
      </x:c>
      <x:c r="F205" s="65" t="str">
        <x:v>p.3</x:v>
      </x:c>
      <x:c r="G205" s="92" t="n">
        <x:v>0.10461538</x:v>
      </x:c>
      <x:c r="H205" s="65" t="str">
        <x:v>Evidence-based policy improvements for Jakarta</x:v>
      </x:c>
      <x:c r="I205" s="65" t="str">
        <x:v>Dinas Lingkungan Hidup DKI Jakarta; World Health Organization</x:v>
      </x:c>
      <x:c r="J205"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205" s="65" t="str">
        <x:v>https://www.jakarta.go.id/siaran-pers/4802-SP-HMS-06-2024</x:v>
      </x:c>
      <x:c r="L205" s="65" t="n">
        <x:v>0</x:v>
      </x:c>
      <x:c r="M205" s="65" t="str">
        <x:v>Machine-suggested near-miss; human review required.</x:v>
      </x:c>
    </x:row>
    <x:row r="206" ht="42" customHeight="1">
      <x:c r="A206" s="65" t="str">
        <x:v>gold30-011</x:v>
      </x:c>
      <x:c r="B206" s="65" t="str">
        <x:v>bm25</x:v>
      </x:c>
      <x:c r="C206" s="88" t="n">
        <x:v>1</x:v>
      </x:c>
      <x:c r="D206" s="65" t="str">
        <x:v>jakarta-causes</x:v>
      </x:c>
      <x:c r="E206" s="65" t="str">
        <x:v>jakarta-causes:structure:1</x:v>
      </x:c>
      <x:c r="F206" s="65" t="str">
        <x:v>p.2</x:v>
      </x:c>
      <x:c r="G206" s="92" t="n">
        <x:v>0.66666667</x:v>
      </x:c>
      <x:c r="H206" s="65" t="str">
        <x:v>What causes Jakarta air pollution</x:v>
      </x:c>
      <x:c r="I206" s="65" t="str">
        <x:v>Dinas Lingkungan Hidup DKI Jakarta / Vital Strategies / ITB</x:v>
      </x:c>
      <x:c r="J206" s="65" t="str">
        <x:v>The 2019–2020 Jakarta/ITB/Vital Strategies receptor-based source-apportionment study found that transport contributed substantially to ambient PM2.5, with different estimates by season and sampling site. It also identified coal combustion, construction, open burning, soil, and r…</x:v>
      </x:c>
      <x:c r="K206" s="65" t="str">
        <x:v>https://rendahemisi.jakarta.go.id/learn</x:v>
      </x:c>
      <x:c r="L206" s="65" t="n">
        <x:v>3</x:v>
      </x:c>
      <x:c r="M206" s="65" t="str">
        <x:v>Expected source for this question.</x:v>
      </x:c>
    </x:row>
    <x:row r="207" ht="42" customHeight="1">
      <x:c r="A207" s="65" t="str">
        <x:v>gold30-011</x:v>
      </x:c>
      <x:c r="B207" s="65" t="str">
        <x:v>bm25</x:v>
      </x:c>
      <x:c r="C207" s="88" t="n">
        <x:v>2</x:v>
      </x:c>
      <x:c r="D207" s="65" t="str">
        <x:v>jakarta-sppu-official-status-2024</x:v>
      </x:c>
      <x:c r="E207" s="65" t="str">
        <x:v>jakarta-sppu-official-status-2024:structure:3</x:v>
      </x:c>
      <x:c r="F207" s="65" t="str">
        <x:v>p.4</x:v>
      </x:c>
      <x:c r="G207" s="92" t="n">
        <x:v>0.66666667</x:v>
      </x:c>
      <x:c r="H207" s="65" t="str">
        <x:v>Jakarta SPPU and air-quality implementation status (official statement, 2024)</x:v>
      </x:c>
      <x:c r="I207" s="65" t="str">
        <x:v>Pemerintah Provinsi DKI Jakarta / Dinas Lingkungan Hidup DKI Jakarta</x:v>
      </x:c>
      <x:c r="J207" s="65" t="str">
        <x:v>The statement supports a cautious distinction between a policy activity and a measured air-quality outcome. Transported pollution, multiple authorities and incomplete public denominators are plausible constraints to investigate; they do not prove that one policy or source caused…</x:v>
      </x:c>
      <x:c r="K207" s="65" t="str">
        <x:v>https://www.jakarta.go.id/siaran-pers/4802-SP-HMS-06-2024</x:v>
      </x:c>
      <x:c r="L207" s="65" t="n">
        <x:v>0</x:v>
      </x:c>
      <x:c r="M207" s="65" t="str">
        <x:v>Machine-suggested near-miss; human review required.</x:v>
      </x:c>
    </x:row>
    <x:row r="208" ht="42" customHeight="1">
      <x:c r="A208" s="65" t="str">
        <x:v>gold30-011</x:v>
      </x:c>
      <x:c r="B208" s="65" t="str">
        <x:v>bm25</x:v>
      </x:c>
      <x:c r="C208" s="88" t="n">
        <x:v>3</x:v>
      </x:c>
      <x:c r="D208" s="65" t="str">
        <x:v>policy-improvements-evidence</x:v>
      </x:c>
      <x:c r="E208" s="65" t="str">
        <x:v>policy-improvements-evidence:structure:2</x:v>
      </x:c>
      <x:c r="F208" s="65" t="str">
        <x:v>p.3</x:v>
      </x:c>
      <x:c r="G208" s="92" t="n">
        <x:v>0.66666667</x:v>
      </x:c>
      <x:c r="H208" s="65" t="str">
        <x:v>Evidence-based policy improvements for Jakarta</x:v>
      </x:c>
      <x:c r="I208" s="65" t="str">
        <x:v>Dinas Lingkungan Hidup DKI Jakarta; World Health Organization</x:v>
      </x:c>
      <x:c r="J208"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208" s="65" t="str">
        <x:v>https://www.jakarta.go.id/siaran-pers/4802-SP-HMS-06-2024</x:v>
      </x:c>
      <x:c r="L208" s="65" t="n">
        <x:v>0</x:v>
      </x:c>
      <x:c r="M208" s="65" t="str">
        <x:v>Machine-suggested near-miss; human review required.</x:v>
      </x:c>
    </x:row>
    <x:row r="209" ht="42" customHeight="1">
      <x:c r="A209" s="65" t="str">
        <x:v>gold30-011</x:v>
      </x:c>
      <x:c r="B209" s="65" t="str">
        <x:v>bm25</x:v>
      </x:c>
      <x:c r="C209" s="88" t="n">
        <x:v>4</x:v>
      </x:c>
      <x:c r="D209" s="65" t="str">
        <x:v>jakarta-historical-city-series</x:v>
      </x:c>
      <x:c r="E209" s="65" t="str">
        <x:v>jakarta-historical-city-series:structure:6</x:v>
      </x:c>
      <x:c r="F209" s="65" t="str">
        <x:v>p.7</x:v>
      </x:c>
      <x:c r="G209" s="92" t="n">
        <x:v>0.5</x:v>
      </x:c>
      <x:c r="H209" s="65" t="str">
        <x:v>Jakarta historical PM2.5 and PM10 series: provenance and quality</x:v>
      </x:c>
      <x:c r="I209" s="65" t="str">
        <x:v>Open-Meteo / CAMS Global; deposited dataset by Nitiraj Kulkarni and Jagadish Tawade</x:v>
      </x:c>
      <x:c r="J209" s="65" t="str">
        <x:v>The visual near-overlap is concentrated in the 92-row recent refresh: its Pearson correlation is 0.997, median gap 1.89 µg/m³, and median ratio 1.022. The 1,295 Zenodo rows have correlation 0.895, median gap 19.66 µg/m³, and median ratio 1.436. The repository code does not alias…</x:v>
      </x:c>
      <x:c r="K209" s="65" t="str">
        <x:v>https://zenodo.org/records/18673885</x:v>
      </x:c>
      <x:c r="L209" s="65" t="n">
        <x:v>0</x:v>
      </x:c>
      <x:c r="M209" s="65" t="str">
        <x:v>Machine-suggested near-miss; human review required.</x:v>
      </x:c>
    </x:row>
    <x:row r="210" ht="42" customHeight="1">
      <x:c r="A210" s="65" t="str">
        <x:v>gold30-011</x:v>
      </x:c>
      <x:c r="B210" s="65" t="str">
        <x:v>bm25</x:v>
      </x:c>
      <x:c r="C210" s="88" t="n">
        <x:v>5</x:v>
      </x:c>
      <x:c r="D210" s="65" t="str">
        <x:v>jakarta-policy-implementation</x:v>
      </x:c>
      <x:c r="E210" s="65" t="str">
        <x:v>jakarta-policy-implementation:structure:2</x:v>
      </x:c>
      <x:c r="F210" s="65" t="str">
        <x:v>p.3</x:v>
      </x:c>
      <x:c r="G210" s="92" t="n">
        <x:v>0.5</x:v>
      </x:c>
      <x:c r="H210" s="65" t="str">
        <x:v>Why rules can coexist with poor air: implementation evidence</x:v>
      </x:c>
      <x:c r="I210" s="65" t="str">
        <x:v>Pemerintah Provinsi DKI Jakarta; Dinas Lingkungan Hidup DKI Jakarta; Mahkamah Agung</x:v>
      </x:c>
      <x:c r="J210"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210" s="65" t="str">
        <x:v>https://www.jakarta.go.id/siaran-pers/4802-SP-HMS-06-2024</x:v>
      </x:c>
      <x:c r="L210" s="65" t="n">
        <x:v>0</x:v>
      </x:c>
      <x:c r="M210" s="65" t="str">
        <x:v>Machine-suggested near-miss; human review required.</x:v>
      </x:c>
    </x:row>
    <x:row r="211" ht="42" customHeight="1">
      <x:c r="A211" s="65" t="str">
        <x:v>gold30-011</x:v>
      </x:c>
      <x:c r="B211" s="65" t="str">
        <x:v>dense</x:v>
      </x:c>
      <x:c r="C211" s="88" t="n">
        <x:v>1</x:v>
      </x:c>
      <x:c r="D211" s="65" t="str">
        <x:v>jakarta-causes</x:v>
      </x:c>
      <x:c r="E211" s="65" t="str">
        <x:v>jakarta-causes:structure:1</x:v>
      </x:c>
      <x:c r="F211" s="65" t="str">
        <x:v>p.2</x:v>
      </x:c>
      <x:c r="G211" s="92" t="n">
        <x:v>0.51662266</x:v>
      </x:c>
      <x:c r="H211" s="65" t="str">
        <x:v>What causes Jakarta air pollution</x:v>
      </x:c>
      <x:c r="I211" s="65" t="str">
        <x:v>Dinas Lingkungan Hidup DKI Jakarta / Vital Strategies / ITB</x:v>
      </x:c>
      <x:c r="J211" s="65" t="str">
        <x:v>The 2019–2020 Jakarta/ITB/Vital Strategies receptor-based source-apportionment study found that transport contributed substantially to ambient PM2.5, with different estimates by season and sampling site. It also identified coal combustion, construction, open burning, soil, and r…</x:v>
      </x:c>
      <x:c r="K211" s="65" t="str">
        <x:v>https://rendahemisi.jakarta.go.id/learn</x:v>
      </x:c>
      <x:c r="L211" s="65" t="n">
        <x:v>3</x:v>
      </x:c>
      <x:c r="M211" s="65" t="str">
        <x:v>Expected source for this question.</x:v>
      </x:c>
    </x:row>
    <x:row r="212" ht="42" customHeight="1">
      <x:c r="A212" s="65" t="str">
        <x:v>gold30-011</x:v>
      </x:c>
      <x:c r="B212" s="65" t="str">
        <x:v>dense</x:v>
      </x:c>
      <x:c r="C212" s="88" t="n">
        <x:v>2</x:v>
      </x:c>
      <x:c r="D212" s="65" t="str">
        <x:v>policy-improvements-evidence</x:v>
      </x:c>
      <x:c r="E212" s="65" t="str">
        <x:v>policy-improvements-evidence:structure:2</x:v>
      </x:c>
      <x:c r="F212" s="65" t="str">
        <x:v>p.3</x:v>
      </x:c>
      <x:c r="G212" s="92" t="n">
        <x:v>0.42974387</x:v>
      </x:c>
      <x:c r="H212" s="65" t="str">
        <x:v>Evidence-based policy improvements for Jakarta</x:v>
      </x:c>
      <x:c r="I212" s="65" t="str">
        <x:v>Dinas Lingkungan Hidup DKI Jakarta; World Health Organization</x:v>
      </x:c>
      <x:c r="J212"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212" s="65" t="str">
        <x:v>https://www.jakarta.go.id/siaran-pers/4802-SP-HMS-06-2024</x:v>
      </x:c>
      <x:c r="L212" s="65" t="n">
        <x:v>0</x:v>
      </x:c>
      <x:c r="M212" s="65" t="str">
        <x:v>Machine-suggested near-miss; human review required.</x:v>
      </x:c>
    </x:row>
    <x:row r="213" ht="42" customHeight="1">
      <x:c r="A213" s="65" t="str">
        <x:v>gold30-011</x:v>
      </x:c>
      <x:c r="B213" s="65" t="str">
        <x:v>dense</x:v>
      </x:c>
      <x:c r="C213" s="88" t="n">
        <x:v>3</x:v>
      </x:c>
      <x:c r="D213" s="65" t="str">
        <x:v>individual-emission-actions</x:v>
      </x:c>
      <x:c r="E213" s="65" t="str">
        <x:v>individual-emission-actions:structure:0</x:v>
      </x:c>
      <x:c r="F213" s="65" t="str">
        <x:v>p.1</x:v>
      </x:c>
      <x:c r="G213" s="92" t="n">
        <x:v>0.41490276</x:v>
      </x:c>
      <x:c r="H213" s="65" t="str">
        <x:v>What an individual can do to reduce emissions and improve accountability</x:v>
      </x:c>
      <x:c r="I213" s="65" t="str">
        <x:v>World Health Organization; Pemerintah Provinsi DKI Jakarta</x:v>
      </x:c>
      <x:c r="J213" s="65" t="str">
        <x:v>Published: 2024-11-15 (WHO practical briefs); DKI programme guidance accessed 2026-09-07 Status as of: 2026-09-07 (recommendations and programmes; not a substitute for enforcement) Document type: civic_and_emissions_guidance Tags: topic=individual-contribution; audience=Jakarta-…</x:v>
      </x:c>
      <x:c r="K213" s="65" t="str">
        <x:v>https://www.who.int/europe/publications/m/item/personal-level-actions-to-reduce-air-pollution-exposure</x:v>
      </x:c>
      <x:c r="L213" s="65" t="n">
        <x:v>0</x:v>
      </x:c>
      <x:c r="M213" s="65" t="str">
        <x:v>Machine-suggested near-miss; human review required.</x:v>
      </x:c>
    </x:row>
    <x:row r="214" ht="42" customHeight="1">
      <x:c r="A214" s="65" t="str">
        <x:v>gold30-011</x:v>
      </x:c>
      <x:c r="B214" s="65" t="str">
        <x:v>dense</x:v>
      </x:c>
      <x:c r="C214" s="88" t="n">
        <x:v>4</x:v>
      </x:c>
      <x:c r="D214" s="65" t="str">
        <x:v>jakarta-policy-implementation</x:v>
      </x:c>
      <x:c r="E214" s="65" t="str">
        <x:v>jakarta-policy-implementation:structure:2</x:v>
      </x:c>
      <x:c r="F214" s="65" t="str">
        <x:v>p.3</x:v>
      </x:c>
      <x:c r="G214" s="92" t="n">
        <x:v>0.38068739</x:v>
      </x:c>
      <x:c r="H214" s="65" t="str">
        <x:v>Why rules can coexist with poor air: implementation evidence</x:v>
      </x:c>
      <x:c r="I214" s="65" t="str">
        <x:v>Pemerintah Provinsi DKI Jakarta; Dinas Lingkungan Hidup DKI Jakarta; Mahkamah Agung</x:v>
      </x:c>
      <x:c r="J214"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214" s="65" t="str">
        <x:v>https://www.jakarta.go.id/siaran-pers/4802-SP-HMS-06-2024</x:v>
      </x:c>
      <x:c r="L214" s="65" t="n">
        <x:v>0</x:v>
      </x:c>
      <x:c r="M214" s="65" t="str">
        <x:v>Machine-suggested near-miss; human review required.</x:v>
      </x:c>
    </x:row>
    <x:row r="215" ht="42" customHeight="1">
      <x:c r="A215" s="65" t="str">
        <x:v>gold30-011</x:v>
      </x:c>
      <x:c r="B215" s="65" t="str">
        <x:v>dense</x:v>
      </x:c>
      <x:c r="C215" s="88" t="n">
        <x:v>5</x:v>
      </x:c>
      <x:c r="D215" s="65" t="str">
        <x:v>jakarta-improvements</x:v>
      </x:c>
      <x:c r="E215" s="65" t="str">
        <x:v>jakarta-improvements:structure:0</x:v>
      </x:c>
      <x:c r="F215" s="65" t="str">
        <x:v>p.1</x:v>
      </x:c>
      <x:c r="G215" s="92" t="n">
        <x:v>0.35673776</x:v>
      </x:c>
      <x:c r="H215" s="65" t="str">
        <x:v>Ways to improve Jakarta air quality</x:v>
      </x:c>
      <x:c r="I215" s="65" t="str">
        <x:v>Pemerintah Provinsi DKI Jakarta / Dinas Lingkungan Hidup</x:v>
      </x:c>
      <x:c r="J215"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215" s="65" t="str">
        <x:v>https://www.jakarta.go.id/page/upaya-bersama-jaga-kualitas-udara-jakarta</x:v>
      </x:c>
      <x:c r="L215" s="65" t="n">
        <x:v>0</x:v>
      </x:c>
      <x:c r="M215" s="65" t="str">
        <x:v>Machine-suggested near-miss; human review required.</x:v>
      </x:c>
    </x:row>
    <x:row r="216" ht="42" customHeight="1">
      <x:c r="A216" s="65" t="str">
        <x:v>gold30-011</x:v>
      </x:c>
      <x:c r="B216" s="65" t="str">
        <x:v>hybrid</x:v>
      </x:c>
      <x:c r="C216" s="88" t="n">
        <x:v>1</x:v>
      </x:c>
      <x:c r="D216" s="65" t="str">
        <x:v>jakarta-causes</x:v>
      </x:c>
      <x:c r="E216" s="65" t="str">
        <x:v>jakarta-causes:structure:1</x:v>
      </x:c>
      <x:c r="F216" s="65" t="str">
        <x:v>p.2</x:v>
      </x:c>
      <x:c r="G216" s="92" t="n">
        <x:v>0.03311475</x:v>
      </x:c>
      <x:c r="H216" s="65" t="str">
        <x:v>What causes Jakarta air pollution</x:v>
      </x:c>
      <x:c r="I216" s="65" t="str">
        <x:v>Dinas Lingkungan Hidup DKI Jakarta / Vital Strategies / ITB</x:v>
      </x:c>
      <x:c r="J216" s="65" t="str">
        <x:v>The 2019–2020 Jakarta/ITB/Vital Strategies receptor-based source-apportionment study found that transport contributed substantially to ambient PM2.5, with different estimates by season and sampling site. It also identified coal combustion, construction, open burning, soil, and r…</x:v>
      </x:c>
      <x:c r="K216" s="65" t="str">
        <x:v>https://rendahemisi.jakarta.go.id/learn</x:v>
      </x:c>
      <x:c r="L216" s="65" t="n">
        <x:v>3</x:v>
      </x:c>
      <x:c r="M216" s="65" t="str">
        <x:v>Expected source for this question.</x:v>
      </x:c>
    </x:row>
    <x:row r="217" ht="42" customHeight="1">
      <x:c r="A217" s="65" t="str">
        <x:v>gold30-011</x:v>
      </x:c>
      <x:c r="B217" s="65" t="str">
        <x:v>hybrid</x:v>
      </x:c>
      <x:c r="C217" s="88" t="n">
        <x:v>2</x:v>
      </x:c>
      <x:c r="D217" s="65" t="str">
        <x:v>policy-improvements-evidence</x:v>
      </x:c>
      <x:c r="E217" s="65" t="str">
        <x:v>policy-improvements-evidence:structure:2</x:v>
      </x:c>
      <x:c r="F217" s="65" t="str">
        <x:v>p.3</x:v>
      </x:c>
      <x:c r="G217" s="92" t="n">
        <x:v>0.03232463</x:v>
      </x:c>
      <x:c r="H217" s="65" t="str">
        <x:v>Evidence-based policy improvements for Jakarta</x:v>
      </x:c>
      <x:c r="I217" s="65" t="str">
        <x:v>Dinas Lingkungan Hidup DKI Jakarta; World Health Organization</x:v>
      </x:c>
      <x:c r="J217"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217" s="65" t="str">
        <x:v>https://www.jakarta.go.id/siaran-pers/4802-SP-HMS-06-2024</x:v>
      </x:c>
      <x:c r="L217" s="65" t="n">
        <x:v>0</x:v>
      </x:c>
      <x:c r="M217" s="65" t="str">
        <x:v>Machine-suggested near-miss; human review required.</x:v>
      </x:c>
    </x:row>
    <x:row r="218" ht="42" customHeight="1">
      <x:c r="A218" s="65" t="str">
        <x:v>gold30-011</x:v>
      </x:c>
      <x:c r="B218" s="65" t="str">
        <x:v>hybrid</x:v>
      </x:c>
      <x:c r="C218" s="88" t="n">
        <x:v>3</x:v>
      </x:c>
      <x:c r="D218" s="65" t="str">
        <x:v>jakarta-policy-implementation</x:v>
      </x:c>
      <x:c r="E218" s="65" t="str">
        <x:v>jakarta-policy-implementation:structure:2</x:v>
      </x:c>
      <x:c r="F218" s="65" t="str">
        <x:v>p.3</x:v>
      </x:c>
      <x:c r="G218" s="92" t="n">
        <x:v>0.03132212</x:v>
      </x:c>
      <x:c r="H218" s="65" t="str">
        <x:v>Why rules can coexist with poor air: implementation evidence</x:v>
      </x:c>
      <x:c r="I218" s="65" t="str">
        <x:v>Pemerintah Provinsi DKI Jakarta; Dinas Lingkungan Hidup DKI Jakarta; Mahkamah Agung</x:v>
      </x:c>
      <x:c r="J218"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218" s="65" t="str">
        <x:v>https://www.jakarta.go.id/siaran-pers/4802-SP-HMS-06-2024</x:v>
      </x:c>
      <x:c r="L218" s="65" t="n">
        <x:v>0</x:v>
      </x:c>
      <x:c r="M218" s="65" t="str">
        <x:v>Machine-suggested near-miss; human review required.</x:v>
      </x:c>
    </x:row>
    <x:row r="219" ht="42" customHeight="1">
      <x:c r="A219" s="65" t="str">
        <x:v>gold30-011</x:v>
      </x:c>
      <x:c r="B219" s="65" t="str">
        <x:v>hybrid</x:v>
      </x:c>
      <x:c r="C219" s="88" t="n">
        <x:v>4</x:v>
      </x:c>
      <x:c r="D219" s="65" t="str">
        <x:v>individual-emission-actions</x:v>
      </x:c>
      <x:c r="E219" s="65" t="str">
        <x:v>individual-emission-actions:structure:0</x:v>
      </x:c>
      <x:c r="F219" s="65" t="str">
        <x:v>p.1</x:v>
      </x:c>
      <x:c r="G219" s="92" t="n">
        <x:v>0.03111585</x:v>
      </x:c>
      <x:c r="H219" s="65" t="str">
        <x:v>What an individual can do to reduce emissions and improve accountability</x:v>
      </x:c>
      <x:c r="I219" s="65" t="str">
        <x:v>World Health Organization; Pemerintah Provinsi DKI Jakarta</x:v>
      </x:c>
      <x:c r="J219" s="65" t="str">
        <x:v>Published: 2024-11-15 (WHO practical briefs); DKI programme guidance accessed 2026-09-07 Status as of: 2026-09-07 (recommendations and programmes; not a substitute for enforcement) Document type: civic_and_emissions_guidance Tags: topic=individual-contribution; audience=Jakarta-…</x:v>
      </x:c>
      <x:c r="K219" s="65" t="str">
        <x:v>https://www.who.int/europe/publications/m/item/personal-level-actions-to-reduce-air-pollution-exposure</x:v>
      </x:c>
      <x:c r="L219" s="65" t="n">
        <x:v>0</x:v>
      </x:c>
      <x:c r="M219" s="65" t="str">
        <x:v>Machine-suggested near-miss; human review required.</x:v>
      </x:c>
    </x:row>
    <x:row r="220" ht="42" customHeight="1">
      <x:c r="A220" s="65" t="str">
        <x:v>gold30-011</x:v>
      </x:c>
      <x:c r="B220" s="65" t="str">
        <x:v>hybrid</x:v>
      </x:c>
      <x:c r="C220" s="88" t="n">
        <x:v>5</x:v>
      </x:c>
      <x:c r="D220" s="65" t="str">
        <x:v>jakarta-improvements</x:v>
      </x:c>
      <x:c r="E220" s="65" t="str">
        <x:v>jakarta-improvements:structure:0</x:v>
      </x:c>
      <x:c r="F220" s="65" t="str">
        <x:v>p.1</x:v>
      </x:c>
      <x:c r="G220" s="92" t="n">
        <x:v>0.02997802</x:v>
      </x:c>
      <x:c r="H220" s="65" t="str">
        <x:v>Ways to improve Jakarta air quality</x:v>
      </x:c>
      <x:c r="I220" s="65" t="str">
        <x:v>Pemerintah Provinsi DKI Jakarta / Dinas Lingkungan Hidup</x:v>
      </x:c>
      <x:c r="J220"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220" s="65" t="str">
        <x:v>https://www.jakarta.go.id/page/upaya-bersama-jaga-kualitas-udara-jakarta</x:v>
      </x:c>
      <x:c r="L220" s="65" t="n">
        <x:v>0</x:v>
      </x:c>
      <x:c r="M220" s="65" t="str">
        <x:v>Machine-suggested near-miss; human review required.</x:v>
      </x:c>
    </x:row>
    <x:row r="221" ht="42" customHeight="1">
      <x:c r="A221" s="65" t="str">
        <x:v>gold30-011</x:v>
      </x:c>
      <x:c r="B221" s="65" t="str">
        <x:v>hybrid_rerank</x:v>
      </x:c>
      <x:c r="C221" s="88" t="n">
        <x:v>1</x:v>
      </x:c>
      <x:c r="D221" s="65" t="str">
        <x:v>jakarta-causes</x:v>
      </x:c>
      <x:c r="E221" s="65" t="str">
        <x:v>jakarta-causes:structure:1</x:v>
      </x:c>
      <x:c r="F221" s="65" t="str">
        <x:v>p.2</x:v>
      </x:c>
      <x:c r="G221" s="92" t="n">
        <x:v>0.47660109</x:v>
      </x:c>
      <x:c r="H221" s="65" t="str">
        <x:v>What causes Jakarta air pollution</x:v>
      </x:c>
      <x:c r="I221" s="65" t="str">
        <x:v>Dinas Lingkungan Hidup DKI Jakarta / Vital Strategies / ITB</x:v>
      </x:c>
      <x:c r="J221" s="65" t="str">
        <x:v>The 2019–2020 Jakarta/ITB/Vital Strategies receptor-based source-apportionment study found that transport contributed substantially to ambient PM2.5, with different estimates by season and sampling site. It also identified coal combustion, construction, open burning, soil, and r…</x:v>
      </x:c>
      <x:c r="K221" s="65" t="str">
        <x:v>https://rendahemisi.jakarta.go.id/learn</x:v>
      </x:c>
      <x:c r="L221" s="65" t="n">
        <x:v>3</x:v>
      </x:c>
      <x:c r="M221" s="65" t="str">
        <x:v>Expected source for this question.</x:v>
      </x:c>
    </x:row>
    <x:row r="222" ht="42" customHeight="1">
      <x:c r="A222" s="65" t="str">
        <x:v>gold30-011</x:v>
      </x:c>
      <x:c r="B222" s="65" t="str">
        <x:v>hybrid_rerank</x:v>
      </x:c>
      <x:c r="C222" s="88" t="n">
        <x:v>2</x:v>
      </x:c>
      <x:c r="D222" s="65" t="str">
        <x:v>policy-improvements-evidence</x:v>
      </x:c>
      <x:c r="E222" s="65" t="str">
        <x:v>policy-improvements-evidence:structure:2</x:v>
      </x:c>
      <x:c r="F222" s="65" t="str">
        <x:v>p.3</x:v>
      </x:c>
      <x:c r="G222" s="92" t="n">
        <x:v>0.47636406</x:v>
      </x:c>
      <x:c r="H222" s="65" t="str">
        <x:v>Evidence-based policy improvements for Jakarta</x:v>
      </x:c>
      <x:c r="I222" s="65" t="str">
        <x:v>Dinas Lingkungan Hidup DKI Jakarta; World Health Organization</x:v>
      </x:c>
      <x:c r="J222"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222" s="65" t="str">
        <x:v>https://www.jakarta.go.id/siaran-pers/4802-SP-HMS-06-2024</x:v>
      </x:c>
      <x:c r="L222" s="65" t="n">
        <x:v>0</x:v>
      </x:c>
      <x:c r="M222" s="65" t="str">
        <x:v>Machine-suggested near-miss; human review required.</x:v>
      </x:c>
    </x:row>
    <x:row r="223" ht="42" customHeight="1">
      <x:c r="A223" s="65" t="str">
        <x:v>gold30-011</x:v>
      </x:c>
      <x:c r="B223" s="65" t="str">
        <x:v>hybrid_rerank</x:v>
      </x:c>
      <x:c r="C223" s="88" t="n">
        <x:v>3</x:v>
      </x:c>
      <x:c r="D223" s="65" t="str">
        <x:v>jakarta-sppu-official-status-2024</x:v>
      </x:c>
      <x:c r="E223" s="65" t="str">
        <x:v>jakarta-sppu-official-status-2024:structure:3</x:v>
      </x:c>
      <x:c r="F223" s="65" t="str">
        <x:v>p.4</x:v>
      </x:c>
      <x:c r="G223" s="92" t="n">
        <x:v>0.47150538</x:v>
      </x:c>
      <x:c r="H223" s="65" t="str">
        <x:v>Jakarta SPPU and air-quality implementation status (official statement, 2024)</x:v>
      </x:c>
      <x:c r="I223" s="65" t="str">
        <x:v>Pemerintah Provinsi DKI Jakarta / Dinas Lingkungan Hidup DKI Jakarta</x:v>
      </x:c>
      <x:c r="J223" s="65" t="str">
        <x:v>The statement supports a cautious distinction between a policy activity and a measured air-quality outcome. Transported pollution, multiple authorities and incomplete public denominators are plausible constraints to investigate; they do not prove that one policy or source caused…</x:v>
      </x:c>
      <x:c r="K223" s="65" t="str">
        <x:v>https://www.jakarta.go.id/siaran-pers/4802-SP-HMS-06-2024</x:v>
      </x:c>
      <x:c r="L223" s="65" t="n">
        <x:v>0</x:v>
      </x:c>
      <x:c r="M223" s="65" t="str">
        <x:v>Machine-suggested near-miss; human review required.</x:v>
      </x:c>
    </x:row>
    <x:row r="224" ht="42" customHeight="1">
      <x:c r="A224" s="65" t="str">
        <x:v>gold30-011</x:v>
      </x:c>
      <x:c r="B224" s="65" t="str">
        <x:v>hybrid_rerank</x:v>
      </x:c>
      <x:c r="C224" s="88" t="n">
        <x:v>4</x:v>
      </x:c>
      <x:c r="D224" s="65" t="str">
        <x:v>jakarta-policy-implementation</x:v>
      </x:c>
      <x:c r="E224" s="65" t="str">
        <x:v>jakarta-policy-implementation:structure:2</x:v>
      </x:c>
      <x:c r="F224" s="65" t="str">
        <x:v>p.3</x:v>
      </x:c>
      <x:c r="G224" s="92" t="n">
        <x:v>0.35939663</x:v>
      </x:c>
      <x:c r="H224" s="65" t="str">
        <x:v>Why rules can coexist with poor air: implementation evidence</x:v>
      </x:c>
      <x:c r="I224" s="65" t="str">
        <x:v>Pemerintah Provinsi DKI Jakarta; Dinas Lingkungan Hidup DKI Jakarta; Mahkamah Agung</x:v>
      </x:c>
      <x:c r="J224"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224" s="65" t="str">
        <x:v>https://www.jakarta.go.id/siaran-pers/4802-SP-HMS-06-2024</x:v>
      </x:c>
      <x:c r="L224" s="65" t="n">
        <x:v>0</x:v>
      </x:c>
      <x:c r="M224" s="65" t="str">
        <x:v>Machine-suggested near-miss; human review required.</x:v>
      </x:c>
    </x:row>
    <x:row r="225" ht="42" customHeight="1">
      <x:c r="A225" s="65" t="str">
        <x:v>gold30-011</x:v>
      </x:c>
      <x:c r="B225" s="65" t="str">
        <x:v>hybrid_rerank</x:v>
      </x:c>
      <x:c r="C225" s="88" t="n">
        <x:v>5</x:v>
      </x:c>
      <x:c r="D225" s="65" t="str">
        <x:v>jakarta-historical-city-series</x:v>
      </x:c>
      <x:c r="E225" s="65" t="str">
        <x:v>jakarta-historical-city-series:structure:6</x:v>
      </x:c>
      <x:c r="F225" s="65" t="str">
        <x:v>p.7</x:v>
      </x:c>
      <x:c r="G225" s="92" t="n">
        <x:v>0.3546875</x:v>
      </x:c>
      <x:c r="H225" s="65" t="str">
        <x:v>Jakarta historical PM2.5 and PM10 series: provenance and quality</x:v>
      </x:c>
      <x:c r="I225" s="65" t="str">
        <x:v>Open-Meteo / CAMS Global; deposited dataset by Nitiraj Kulkarni and Jagadish Tawade</x:v>
      </x:c>
      <x:c r="J225" s="65" t="str">
        <x:v>The visual near-overlap is concentrated in the 92-row recent refresh: its Pearson correlation is 0.997, median gap 1.89 µg/m³, and median ratio 1.022. The 1,295 Zenodo rows have correlation 0.895, median gap 19.66 µg/m³, and median ratio 1.436. The repository code does not alias…</x:v>
      </x:c>
      <x:c r="K225" s="65" t="str">
        <x:v>https://zenodo.org/records/18673885</x:v>
      </x:c>
      <x:c r="L225" s="65" t="n">
        <x:v>0</x:v>
      </x:c>
      <x:c r="M225" s="65" t="str">
        <x:v>Machine-suggested near-miss; human review required.</x:v>
      </x:c>
    </x:row>
    <x:row r="226" ht="42" customHeight="1">
      <x:c r="A226" s="65" t="str">
        <x:v>gold30-012</x:v>
      </x:c>
      <x:c r="B226" s="65" t="str">
        <x:v>bm25</x:v>
      </x:c>
      <x:c r="C226" s="88" t="n">
        <x:v>1</x:v>
      </x:c>
      <x:c r="D226" s="65" t="str">
        <x:v>bad-air-day-protection</x:v>
      </x:c>
      <x:c r="E226" s="65" t="str">
        <x:v>bad-air-day-protection:structure:0</x:v>
      </x:c>
      <x:c r="F226" s="65" t="str">
        <x:v>p.1</x:v>
      </x:c>
      <x:c r="G226" s="92" t="n">
        <x:v>0</x:v>
      </x:c>
      <x:c r="H226" s="65" t="str">
        <x:v>Bad-air-day protection playbook</x:v>
      </x:c>
      <x:c r="I226" s="65" t="str">
        <x:v>World Health Organization, Regional Office for Europe</x:v>
      </x:c>
      <x:c r="J226" s="65" t="str">
        <x:v>Published: 2024-10-04 Status as of: 2026-09-07 (health guidance; not Indonesian law) Document type: health_guidance Tags: topic=exposure-protection; audience=Jakarta-resident; action=protect-now; pollutant=ambient-particles</x:v>
      </x:c>
      <x:c r="K226" s="65" t="str">
        <x:v>https://www.who.int/news-room/questions-and-answers/item/air-pollution-personal-interventions-and-risk-communication</x:v>
      </x:c>
      <x:c r="L226" s="65" t="n">
        <x:v>0</x:v>
      </x:c>
      <x:c r="M226" s="65" t="str">
        <x:v>Machine-suggested near-miss; human review required.</x:v>
      </x:c>
    </x:row>
    <x:row r="227" ht="42" customHeight="1">
      <x:c r="A227" s="65" t="str">
        <x:v>gold30-012</x:v>
      </x:c>
      <x:c r="B227" s="65" t="str">
        <x:v>bm25</x:v>
      </x:c>
      <x:c r="C227" s="88" t="n">
        <x:v>2</x:v>
      </x:c>
      <x:c r="D227" s="65" t="str">
        <x:v>clean-air-room</x:v>
      </x:c>
      <x:c r="E227" s="65" t="str">
        <x:v>clean-air-room:structure:0</x:v>
      </x:c>
      <x:c r="F227" s="65" t="str">
        <x:v>p.1</x:v>
      </x:c>
      <x:c r="G227" s="92" t="n">
        <x:v>0</x:v>
      </x:c>
      <x:c r="H227" s="65" t="str">
        <x:v>Indoor filtration and a clean-air room</x:v>
      </x:c>
      <x:c r="I227" s="65" t="str">
        <x:v>United States Environmental Protection Agency</x:v>
      </x:c>
      <x:c r="J227" s="65" t="str">
        <x:v>Published: not stated; page last updated 2026-02-17 (accessed 2026-09-07) Status as of: 2026-09-07 (technical guidance; not Indonesian law) Document type: indoor_air_guidance Tags: topic=indoor-filtration; audience=household; action=protect-now; pollutant=particles</x:v>
      </x:c>
      <x:c r="K227" s="65" t="str">
        <x:v>https://www.epa.gov/indoor-air-quality-iaq/guide-air-cleaners-home</x:v>
      </x:c>
      <x:c r="L227" s="65" t="n">
        <x:v>0</x:v>
      </x:c>
      <x:c r="M227" s="65" t="str">
        <x:v>Machine-suggested near-miss; human review required.</x:v>
      </x:c>
    </x:row>
    <x:row r="228" ht="42" customHeight="1">
      <x:c r="A228" s="65" t="str">
        <x:v>gold30-012</x:v>
      </x:c>
      <x:c r="B228" s="65" t="str">
        <x:v>bm25</x:v>
      </x:c>
      <x:c r="C228" s="88" t="n">
        <x:v>3</x:v>
      </x:c>
      <x:c r="D228" s="65" t="str">
        <x:v>epa-air-cleaners-home-2026</x:v>
      </x:c>
      <x:c r="E228" s="65" t="str">
        <x:v>epa-air-cleaners-home-2026:structure:0</x:v>
      </x:c>
      <x:c r="F228" s="65" t="str">
        <x:v>p.1</x:v>
      </x:c>
      <x:c r="G228" s="92" t="n">
        <x:v>0</x:v>
      </x:c>
      <x:c r="H228" s="65" t="str">
        <x:v>US EPA Guide to Air Cleaners in the Home (2nd edition)</x:v>
      </x:c>
      <x:c r="I228" s="65" t="str">
        <x:v>United States Environmental Protection Agency</x:v>
      </x:c>
      <x:c r="J228" s="65" t="str">
        <x:v>The EPA guide discusses portable air cleaners, heating/ventilation and air-conditioning filters, indoor pollutant sources and practical limits. It is technical household guidance and should not be presented as a Jakarta regulation.</x:v>
      </x:c>
      <x:c r="K228" s="65" t="str">
        <x:v>https://www.epa.gov/indoor-air-quality-iaq/guide-air-cleaners-home</x:v>
      </x:c>
      <x:c r="L228" s="65" t="n">
        <x:v>0</x:v>
      </x:c>
      <x:c r="M228" s="65" t="str">
        <x:v>Machine-suggested near-miss; human review required.</x:v>
      </x:c>
    </x:row>
    <x:row r="229" ht="42" customHeight="1">
      <x:c r="A229" s="65" t="str">
        <x:v>gold30-012</x:v>
      </x:c>
      <x:c r="B229" s="65" t="str">
        <x:v>bm25</x:v>
      </x:c>
      <x:c r="C229" s="88" t="n">
        <x:v>4</x:v>
      </x:c>
      <x:c r="D229" s="65" t="str">
        <x:v>exposure-protection</x:v>
      </x:c>
      <x:c r="E229" s="65" t="str">
        <x:v>exposure-protection:structure:0</x:v>
      </x:c>
      <x:c r="F229" s="65" t="str">
        <x:v>p.1</x:v>
      </x:c>
      <x:c r="G229" s="92" t="n">
        <x:v>0</x:v>
      </x:c>
      <x:c r="H229" s="65" t="str">
        <x:v>Reducing personal exposure to air pollution</x:v>
      </x:c>
      <x:c r="I229" s="65" t="str">
        <x:v>World Health Organization</x:v>
      </x:c>
      <x:c r="J229"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229" s="65" t="str">
        <x:v>https://www.who.int/publications/i/item/9789240000278</x:v>
      </x:c>
      <x:c r="L229" s="65" t="n">
        <x:v>0</x:v>
      </x:c>
      <x:c r="M229" s="65" t="str">
        <x:v>Machine-suggested near-miss; human review required.</x:v>
      </x:c>
    </x:row>
    <x:row r="230" ht="42" customHeight="1">
      <x:c r="A230" s="65" t="str">
        <x:v>gold30-012</x:v>
      </x:c>
      <x:c r="B230" s="65" t="str">
        <x:v>bm25</x:v>
      </x:c>
      <x:c r="C230" s="88" t="n">
        <x:v>5</x:v>
      </x:c>
      <x:c r="D230" s="65" t="str">
        <x:v>health-disclaimer</x:v>
      </x:c>
      <x:c r="E230" s="65" t="str">
        <x:v>health-disclaimer:structure:0</x:v>
      </x:c>
      <x:c r="F230" s="65" t="str">
        <x:v>p.1</x:v>
      </x:c>
      <x:c r="G230" s="92" t="n">
        <x:v>0</x:v>
      </x:c>
      <x:c r="H230" s="65" t="str">
        <x:v>Health communication boundary</x:v>
      </x:c>
      <x:c r="I230" s="65" t="str">
        <x:v>World Health Organization</x:v>
      </x:c>
      <x:c r="J230" s="65" t="str">
        <x:v>Air-quality information can support exposure-reduction decisions, but it does not diagnose an individual. The assistant should provide educational information, state uncertainty, and direct people with severe or persistent symptoms to a qualified healthcare professional.</x:v>
      </x:c>
      <x:c r="K230" s="65" t="str">
        <x:v>https://www.who.int/publications/i/item/9789240000278</x:v>
      </x:c>
      <x:c r="L230" s="65" t="n">
        <x:v>0</x:v>
      </x:c>
      <x:c r="M230" s="65" t="str">
        <x:v>Machine-suggested near-miss; human review required.</x:v>
      </x:c>
    </x:row>
    <x:row r="231" ht="42" customHeight="1">
      <x:c r="A231" s="65" t="str">
        <x:v>gold30-012</x:v>
      </x:c>
      <x:c r="B231" s="65" t="str">
        <x:v>dense</x:v>
      </x:c>
      <x:c r="C231" s="88" t="n">
        <x:v>1</x:v>
      </x:c>
      <x:c r="D231" s="65" t="str">
        <x:v>jakarta-historical-city-series</x:v>
      </x:c>
      <x:c r="E231" s="65" t="str">
        <x:v>jakarta-historical-city-series:structure:0</x:v>
      </x:c>
      <x:c r="F231" s="65" t="str">
        <x:v>p.1</x:v>
      </x:c>
      <x:c r="G231" s="92" t="n">
        <x:v>0.13736962</x:v>
      </x:c>
      <x:c r="H231" s="65" t="str">
        <x:v>Jakarta historical PM2.5 and PM10 series: provenance and quality</x:v>
      </x:c>
      <x:c r="I231" s="65" t="str">
        <x:v>Open-Meteo / CAMS Global; deposited dataset by Nitiraj Kulkarni and Jagadish Tawade</x:v>
      </x:c>
      <x:c r="J231" s="65" t="str">
        <x:v>API source: https://air-quality-api.open-meteo.com/v1/air-quality Retrieved: 2026-09-07</x:v>
      </x:c>
      <x:c r="K231" s="65" t="str">
        <x:v>https://zenodo.org/records/18673885</x:v>
      </x:c>
      <x:c r="L231" s="65" t="n">
        <x:v>0</x:v>
      </x:c>
      <x:c r="M231" s="65" t="str">
        <x:v>Machine-suggested near-miss; human review required.</x:v>
      </x:c>
    </x:row>
    <x:row r="232" ht="42" customHeight="1">
      <x:c r="A232" s="65" t="str">
        <x:v>gold30-012</x:v>
      </x:c>
      <x:c r="B232" s="65" t="str">
        <x:v>dense</x:v>
      </x:c>
      <x:c r="C232" s="88" t="n">
        <x:v>2</x:v>
      </x:c>
      <x:c r="D232" s="65" t="str">
        <x:v>permen-lhk-8-2023-vehicle-emissions</x:v>
      </x:c>
      <x:c r="E232" s="65" t="str">
        <x:v>permen-lhk-8-2023-vehicle-emissions:structure:0</x:v>
      </x:c>
      <x:c r="F232" s="65" t="str">
        <x:v>p.1</x:v>
      </x:c>
      <x:c r="G232" s="92" t="n">
        <x:v>0.10938051</x:v>
      </x:c>
      <x:c r="H232" s="65" t="str">
        <x:v>Permen LHK No. 8 Tahun 2023 — vehicle emission standards and testing</x:v>
      </x:c>
      <x:c r="I232" s="65" t="str">
        <x:v>Kementerian Lingkungan Hidup dan Kehutanan / Database Peraturan BPK</x:v>
      </x:c>
      <x:c r="J232"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232" s="65" t="str">
        <x:v>https://peraturan.bpk.go.id/Details/262504/permen-lhk-no-8-tahun-2023</x:v>
      </x:c>
      <x:c r="L232" s="65" t="n">
        <x:v>0</x:v>
      </x:c>
      <x:c r="M232" s="65" t="str">
        <x:v>Machine-suggested near-miss; human review required.</x:v>
      </x:c>
    </x:row>
    <x:row r="233" ht="42" customHeight="1">
      <x:c r="A233" s="65" t="str">
        <x:v>gold30-012</x:v>
      </x:c>
      <x:c r="B233" s="65" t="str">
        <x:v>dense</x:v>
      </x:c>
      <x:c r="C233" s="88" t="n">
        <x:v>3</x:v>
      </x:c>
      <x:c r="D233" s="65" t="str">
        <x:v>pp-22-2021-air-quality</x:v>
      </x:c>
      <x:c r="E233" s="65" t="str">
        <x:v>pp-22-2021-air-quality:structure:0</x:v>
      </x:c>
      <x:c r="F233" s="65" t="str">
        <x:v>p.1</x:v>
      </x:c>
      <x:c r="G233" s="92" t="n">
        <x:v>0.10490365</x:v>
      </x:c>
      <x:c r="H233" s="65" t="str">
        <x:v>PP No. 22 Tahun 2021 — environmental protection and ambient air quality</x:v>
      </x:c>
      <x:c r="I233" s="65" t="str">
        <x:v>Pemerintah Republik Indonesia / Database Peraturan BPK</x:v>
      </x:c>
      <x:c r="J233"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233" s="65" t="str">
        <x:v>https://peraturan.bpk.go.id/Details/161852/pp-no-22tahun-2021</x:v>
      </x:c>
      <x:c r="L233" s="65" t="n">
        <x:v>0</x:v>
      </x:c>
      <x:c r="M233" s="65" t="str">
        <x:v>Machine-suggested near-miss; human review required.</x:v>
      </x:c>
    </x:row>
    <x:row r="234" ht="42" customHeight="1">
      <x:c r="A234" s="65" t="str">
        <x:v>gold30-012</x:v>
      </x:c>
      <x:c r="B234" s="65" t="str">
        <x:v>dense</x:v>
      </x:c>
      <x:c r="C234" s="88" t="n">
        <x:v>4</x:v>
      </x:c>
      <x:c r="D234" s="65" t="str">
        <x:v>pergub-66-2020-vehicle-testing</x:v>
      </x:c>
      <x:c r="E234" s="65" t="str">
        <x:v>pergub-66-2020-vehicle-testing:structure:0</x:v>
      </x:c>
      <x:c r="F234" s="65" t="str">
        <x:v>p.1</x:v>
      </x:c>
      <x:c r="G234" s="92" t="n">
        <x:v>0.10146969</x:v>
      </x:c>
      <x:c r="H234" s="65" t="str">
        <x:v>Pergub DKI Jakarta No. 66 Tahun 2020 — motor-vehicle emission testing</x:v>
      </x:c>
      <x:c r="I234" s="65" t="str">
        <x:v>Pemerintah Provinsi DKI Jakarta / Database Peraturan BPK</x:v>
      </x:c>
      <x:c r="J234" s="65" t="str">
        <x:v>Peraturan Gubernur Provinsi DKI Jakarta Nomor 66 Tahun 2020 is titled Uji Emisi Gas Buang Kendaraan Bermotor. The BPK record gives the adoption date as 22 July 2020, promulgation date as 24 July 2020, and effective date as 24 December 2020.</x:v>
      </x:c>
      <x:c r="K234" s="65" t="str">
        <x:v>https://peraturan.bpk.go.id/Details/153923/pergub-prov-dki-jakarta-no-66-tahun-2020</x:v>
      </x:c>
      <x:c r="L234" s="65" t="n">
        <x:v>0</x:v>
      </x:c>
      <x:c r="M234" s="65" t="str">
        <x:v>Machine-suggested near-miss; human review required.</x:v>
      </x:c>
    </x:row>
    <x:row r="235" ht="42" customHeight="1">
      <x:c r="A235" s="65" t="str">
        <x:v>gold30-012</x:v>
      </x:c>
      <x:c r="B235" s="65" t="str">
        <x:v>dense</x:v>
      </x:c>
      <x:c r="C235" s="88" t="n">
        <x:v>5</x:v>
      </x:c>
      <x:c r="D235" s="65" t="str">
        <x:v>jakarta-court-air-quality</x:v>
      </x:c>
      <x:c r="E235" s="65" t="str">
        <x:v>jakarta-court-air-quality:structure:0</x:v>
      </x:c>
      <x:c r="F235" s="65" t="str">
        <x:v>p.1</x:v>
      </x:c>
      <x:c r="G235" s="92" t="n">
        <x:v>0.09583171</x:v>
      </x:c>
      <x:c r="H235" s="65" t="str">
        <x:v>Jakarta air-pollution citizen lawsuit: what the court record establishes</x:v>
      </x:c>
      <x:c r="I235" s="65" t="str">
        <x:v>Mahkamah Agung Republik Indonesia</x:v>
      </x:c>
      <x:c r="J235" s="65" t="str">
        <x:v>Published: decision dated 2021-09-16; directory accessed 2026-09-07 Status as of: 2026-09-07 (court-record scope; execution status must be checked separately) Document type: court_record Tags: topic=regulation-implementation; audience=public-accountability; action=participation</x:v>
      </x:c>
      <x:c r="K235" s="65" t="str">
        <x:v>https://putusan3.mahkamahagung.go.id/pengadilan/profil/pengadilan/pn-jakarta-pusat.html</x:v>
      </x:c>
      <x:c r="L235" s="65" t="n">
        <x:v>0</x:v>
      </x:c>
      <x:c r="M235" s="65" t="str">
        <x:v>Machine-suggested near-miss; human review required.</x:v>
      </x:c>
    </x:row>
    <x:row r="236" ht="42" customHeight="1">
      <x:c r="A236" s="65" t="str">
        <x:v>gold30-012</x:v>
      </x:c>
      <x:c r="B236" s="65" t="str">
        <x:v>hybrid</x:v>
      </x:c>
      <x:c r="C236" s="88" t="n">
        <x:v>1</x:v>
      </x:c>
      <x:c r="D236" s="65" t="str">
        <x:v>clean-air-room</x:v>
      </x:c>
      <x:c r="E236" s="65" t="str">
        <x:v>clean-air-room:structure:0</x:v>
      </x:c>
      <x:c r="F236" s="65" t="str">
        <x:v>p.1</x:v>
      </x:c>
      <x:c r="G236" s="92" t="n">
        <x:v>0.03135291</x:v>
      </x:c>
      <x:c r="H236" s="65" t="str">
        <x:v>Indoor filtration and a clean-air room</x:v>
      </x:c>
      <x:c r="I236" s="65" t="str">
        <x:v>United States Environmental Protection Agency</x:v>
      </x:c>
      <x:c r="J236" s="65" t="str">
        <x:v>Published: not stated; page last updated 2026-02-17 (accessed 2026-09-07) Status as of: 2026-09-07 (technical guidance; not Indonesian law) Document type: indoor_air_guidance Tags: topic=indoor-filtration; audience=household; action=protect-now; pollutant=particles</x:v>
      </x:c>
      <x:c r="K236" s="65" t="str">
        <x:v>https://www.epa.gov/indoor-air-quality-iaq/guide-air-cleaners-home</x:v>
      </x:c>
      <x:c r="L236" s="65" t="n">
        <x:v>0</x:v>
      </x:c>
      <x:c r="M236" s="65" t="str">
        <x:v>Machine-suggested near-miss; human review required.</x:v>
      </x:c>
    </x:row>
    <x:row r="237" ht="42" customHeight="1">
      <x:c r="A237" s="65" t="str">
        <x:v>gold30-012</x:v>
      </x:c>
      <x:c r="B237" s="65" t="str">
        <x:v>hybrid</x:v>
      </x:c>
      <x:c r="C237" s="88" t="n">
        <x:v>2</x:v>
      </x:c>
      <x:c r="D237" s="65" t="str">
        <x:v>jakarta-court-air-quality</x:v>
      </x:c>
      <x:c r="E237" s="65" t="str">
        <x:v>jakarta-court-air-quality:structure:0</x:v>
      </x:c>
      <x:c r="F237" s="65" t="str">
        <x:v>p.1</x:v>
      </x:c>
      <x:c r="G237" s="92" t="n">
        <x:v>0.02997802</x:v>
      </x:c>
      <x:c r="H237" s="65" t="str">
        <x:v>Jakarta air-pollution citizen lawsuit: what the court record establishes</x:v>
      </x:c>
      <x:c r="I237" s="65" t="str">
        <x:v>Mahkamah Agung Republik Indonesia</x:v>
      </x:c>
      <x:c r="J237" s="65" t="str">
        <x:v>Published: decision dated 2021-09-16; directory accessed 2026-09-07 Status as of: 2026-09-07 (court-record scope; execution status must be checked separately) Document type: court_record Tags: topic=regulation-implementation; audience=public-accountability; action=participation</x:v>
      </x:c>
      <x:c r="K237" s="65" t="str">
        <x:v>https://putusan3.mahkamahagung.go.id/pengadilan/profil/pengadilan/pn-jakarta-pusat.html</x:v>
      </x:c>
      <x:c r="L237" s="65" t="n">
        <x:v>0</x:v>
      </x:c>
      <x:c r="M237" s="65" t="str">
        <x:v>Machine-suggested near-miss; human review required.</x:v>
      </x:c>
    </x:row>
    <x:row r="238" ht="42" customHeight="1">
      <x:c r="A238" s="65" t="str">
        <x:v>gold30-012</x:v>
      </x:c>
      <x:c r="B238" s="65" t="str">
        <x:v>hybrid</x:v>
      </x:c>
      <x:c r="C238" s="88" t="n">
        <x:v>3</x:v>
      </x:c>
      <x:c r="D238" s="65" t="str">
        <x:v>jakarta-historical-city-series</x:v>
      </x:c>
      <x:c r="E238" s="65" t="str">
        <x:v>jakarta-historical-city-series:structure:0</x:v>
      </x:c>
      <x:c r="F238" s="65" t="str">
        <x:v>p.1</x:v>
      </x:c>
      <x:c r="G238" s="92" t="n">
        <x:v>0.01672131</x:v>
      </x:c>
      <x:c r="H238" s="65" t="str">
        <x:v>Jakarta historical PM2.5 and PM10 series: provenance and quality</x:v>
      </x:c>
      <x:c r="I238" s="65" t="str">
        <x:v>Open-Meteo / CAMS Global; deposited dataset by Nitiraj Kulkarni and Jagadish Tawade</x:v>
      </x:c>
      <x:c r="J238" s="65" t="str">
        <x:v>API source: https://air-quality-api.open-meteo.com/v1/air-quality Retrieved: 2026-09-07</x:v>
      </x:c>
      <x:c r="K238" s="65" t="str">
        <x:v>https://zenodo.org/records/18673885</x:v>
      </x:c>
      <x:c r="L238" s="65" t="n">
        <x:v>0</x:v>
      </x:c>
      <x:c r="M238" s="65" t="str">
        <x:v>Machine-suggested near-miss; human review required.</x:v>
      </x:c>
    </x:row>
    <x:row r="239" ht="42" customHeight="1">
      <x:c r="A239" s="65" t="str">
        <x:v>gold30-012</x:v>
      </x:c>
      <x:c r="B239" s="65" t="str">
        <x:v>hybrid</x:v>
      </x:c>
      <x:c r="C239" s="88" t="n">
        <x:v>4</x:v>
      </x:c>
      <x:c r="D239" s="65" t="str">
        <x:v>permen-lhk-8-2023-vehicle-emissions</x:v>
      </x:c>
      <x:c r="E239" s="65" t="str">
        <x:v>permen-lhk-8-2023-vehicle-emissions:structure:0</x:v>
      </x:c>
      <x:c r="F239" s="65" t="str">
        <x:v>p.1</x:v>
      </x:c>
      <x:c r="G239" s="92" t="n">
        <x:v>0.01645161</x:v>
      </x:c>
      <x:c r="H239" s="65" t="str">
        <x:v>Permen LHK No. 8 Tahun 2023 — vehicle emission standards and testing</x:v>
      </x:c>
      <x:c r="I239" s="65" t="str">
        <x:v>Kementerian Lingkungan Hidup dan Kehutanan / Database Peraturan BPK</x:v>
      </x:c>
      <x:c r="J239"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239" s="65" t="str">
        <x:v>https://peraturan.bpk.go.id/Details/262504/permen-lhk-no-8-tahun-2023</x:v>
      </x:c>
      <x:c r="L239" s="65" t="n">
        <x:v>0</x:v>
      </x:c>
      <x:c r="M239" s="65" t="str">
        <x:v>Machine-suggested near-miss; human review required.</x:v>
      </x:c>
    </x:row>
    <x:row r="240" ht="42" customHeight="1">
      <x:c r="A240" s="65" t="str">
        <x:v>gold30-012</x:v>
      </x:c>
      <x:c r="B240" s="65" t="str">
        <x:v>hybrid</x:v>
      </x:c>
      <x:c r="C240" s="88" t="n">
        <x:v>5</x:v>
      </x:c>
      <x:c r="D240" s="65" t="str">
        <x:v>bad-air-day-protection</x:v>
      </x:c>
      <x:c r="E240" s="65" t="str">
        <x:v>bad-air-day-protection:structure:0</x:v>
      </x:c>
      <x:c r="F240" s="65" t="str">
        <x:v>p.1</x:v>
      </x:c>
      <x:c r="G240" s="92" t="n">
        <x:v>0.01639344</x:v>
      </x:c>
      <x:c r="H240" s="65" t="str">
        <x:v>Bad-air-day protection playbook</x:v>
      </x:c>
      <x:c r="I240" s="65" t="str">
        <x:v>World Health Organization, Regional Office for Europe</x:v>
      </x:c>
      <x:c r="J240" s="65" t="str">
        <x:v>Published: 2024-10-04 Status as of: 2026-09-07 (health guidance; not Indonesian law) Document type: health_guidance Tags: topic=exposure-protection; audience=Jakarta-resident; action=protect-now; pollutant=ambient-particles</x:v>
      </x:c>
      <x:c r="K240" s="65" t="str">
        <x:v>https://www.who.int/news-room/questions-and-answers/item/air-pollution-personal-interventions-and-risk-communication</x:v>
      </x:c>
      <x:c r="L240" s="65" t="n">
        <x:v>0</x:v>
      </x:c>
      <x:c r="M240" s="65" t="str">
        <x:v>Machine-suggested near-miss; human review required.</x:v>
      </x:c>
    </x:row>
    <x:row r="241" ht="42" customHeight="1">
      <x:c r="A241" s="65" t="str">
        <x:v>gold30-012</x:v>
      </x:c>
      <x:c r="B241" s="65" t="str">
        <x:v>hybrid_rerank</x:v>
      </x:c>
      <x:c r="C241" s="88" t="n">
        <x:v>1</x:v>
      </x:c>
      <x:c r="D241" s="65" t="str">
        <x:v>clean-air-room</x:v>
      </x:c>
      <x:c r="E241" s="65" t="str">
        <x:v>clean-air-room:structure:0</x:v>
      </x:c>
      <x:c r="F241" s="65" t="str">
        <x:v>p.1</x:v>
      </x:c>
      <x:c r="G241" s="92" t="n">
        <x:v>0.00940587</x:v>
      </x:c>
      <x:c r="H241" s="65" t="str">
        <x:v>Indoor filtration and a clean-air room</x:v>
      </x:c>
      <x:c r="I241" s="65" t="str">
        <x:v>United States Environmental Protection Agency</x:v>
      </x:c>
      <x:c r="J241" s="65" t="str">
        <x:v>Published: not stated; page last updated 2026-02-17 (accessed 2026-09-07) Status as of: 2026-09-07 (technical guidance; not Indonesian law) Document type: indoor_air_guidance Tags: topic=indoor-filtration; audience=household; action=protect-now; pollutant=particles</x:v>
      </x:c>
      <x:c r="K241" s="65" t="str">
        <x:v>https://www.epa.gov/indoor-air-quality-iaq/guide-air-cleaners-home</x:v>
      </x:c>
      <x:c r="L241" s="65" t="n">
        <x:v>0</x:v>
      </x:c>
      <x:c r="M241" s="65" t="str">
        <x:v>Machine-suggested near-miss; human review required.</x:v>
      </x:c>
    </x:row>
    <x:row r="242" ht="42" customHeight="1">
      <x:c r="A242" s="65" t="str">
        <x:v>gold30-012</x:v>
      </x:c>
      <x:c r="B242" s="65" t="str">
        <x:v>hybrid_rerank</x:v>
      </x:c>
      <x:c r="C242" s="88" t="n">
        <x:v>2</x:v>
      </x:c>
      <x:c r="D242" s="65" t="str">
        <x:v>jakarta-court-air-quality</x:v>
      </x:c>
      <x:c r="E242" s="65" t="str">
        <x:v>jakarta-court-air-quality:structure:0</x:v>
      </x:c>
      <x:c r="F242" s="65" t="str">
        <x:v>p.1</x:v>
      </x:c>
      <x:c r="G242" s="92" t="n">
        <x:v>0.00899341</x:v>
      </x:c>
      <x:c r="H242" s="65" t="str">
        <x:v>Jakarta air-pollution citizen lawsuit: what the court record establishes</x:v>
      </x:c>
      <x:c r="I242" s="65" t="str">
        <x:v>Mahkamah Agung Republik Indonesia</x:v>
      </x:c>
      <x:c r="J242" s="65" t="str">
        <x:v>Published: decision dated 2021-09-16; directory accessed 2026-09-07 Status as of: 2026-09-07 (court-record scope; execution status must be checked separately) Document type: court_record Tags: topic=regulation-implementation; audience=public-accountability; action=participation</x:v>
      </x:c>
      <x:c r="K242" s="65" t="str">
        <x:v>https://putusan3.mahkamahagung.go.id/pengadilan/profil/pengadilan/pn-jakarta-pusat.html</x:v>
      </x:c>
      <x:c r="L242" s="65" t="n">
        <x:v>0</x:v>
      </x:c>
      <x:c r="M242" s="65" t="str">
        <x:v>Machine-suggested near-miss; human review required.</x:v>
      </x:c>
    </x:row>
    <x:row r="243" ht="42" customHeight="1">
      <x:c r="A243" s="65" t="str">
        <x:v>gold30-012</x:v>
      </x:c>
      <x:c r="B243" s="65" t="str">
        <x:v>hybrid_rerank</x:v>
      </x:c>
      <x:c r="C243" s="88" t="n">
        <x:v>3</x:v>
      </x:c>
      <x:c r="D243" s="65" t="str">
        <x:v>jakarta-historical-city-series</x:v>
      </x:c>
      <x:c r="E243" s="65" t="str">
        <x:v>jakarta-historical-city-series:structure:0</x:v>
      </x:c>
      <x:c r="F243" s="65" t="str">
        <x:v>p.1</x:v>
      </x:c>
      <x:c r="G243" s="92" t="n">
        <x:v>0.00501639</x:v>
      </x:c>
      <x:c r="H243" s="65" t="str">
        <x:v>Jakarta historical PM2.5 and PM10 series: provenance and quality</x:v>
      </x:c>
      <x:c r="I243" s="65" t="str">
        <x:v>Open-Meteo / CAMS Global; deposited dataset by Nitiraj Kulkarni and Jagadish Tawade</x:v>
      </x:c>
      <x:c r="J243" s="65" t="str">
        <x:v>API source: https://air-quality-api.open-meteo.com/v1/air-quality Retrieved: 2026-09-07</x:v>
      </x:c>
      <x:c r="K243" s="65" t="str">
        <x:v>https://zenodo.org/records/18673885</x:v>
      </x:c>
      <x:c r="L243" s="65" t="n">
        <x:v>0</x:v>
      </x:c>
      <x:c r="M243" s="65" t="str">
        <x:v>Machine-suggested near-miss; human review required.</x:v>
      </x:c>
    </x:row>
    <x:row r="244" ht="42" customHeight="1">
      <x:c r="A244" s="65" t="str">
        <x:v>gold30-012</x:v>
      </x:c>
      <x:c r="B244" s="65" t="str">
        <x:v>hybrid_rerank</x:v>
      </x:c>
      <x:c r="C244" s="88" t="n">
        <x:v>4</x:v>
      </x:c>
      <x:c r="D244" s="65" t="str">
        <x:v>permen-lhk-8-2023-vehicle-emissions</x:v>
      </x:c>
      <x:c r="E244" s="65" t="str">
        <x:v>permen-lhk-8-2023-vehicle-emissions:structure:0</x:v>
      </x:c>
      <x:c r="F244" s="65" t="str">
        <x:v>p.1</x:v>
      </x:c>
      <x:c r="G244" s="92" t="n">
        <x:v>0.00493548</x:v>
      </x:c>
      <x:c r="H244" s="65" t="str">
        <x:v>Permen LHK No. 8 Tahun 2023 — vehicle emission standards and testing</x:v>
      </x:c>
      <x:c r="I244" s="65" t="str">
        <x:v>Kementerian Lingkungan Hidup dan Kehutanan / Database Peraturan BPK</x:v>
      </x:c>
      <x:c r="J244"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244" s="65" t="str">
        <x:v>https://peraturan.bpk.go.id/Details/262504/permen-lhk-no-8-tahun-2023</x:v>
      </x:c>
      <x:c r="L244" s="65" t="n">
        <x:v>0</x:v>
      </x:c>
      <x:c r="M244" s="65" t="str">
        <x:v>Machine-suggested near-miss; human review required.</x:v>
      </x:c>
    </x:row>
    <x:row r="245" ht="42" customHeight="1">
      <x:c r="A245" s="65" t="str">
        <x:v>gold30-012</x:v>
      </x:c>
      <x:c r="B245" s="65" t="str">
        <x:v>hybrid_rerank</x:v>
      </x:c>
      <x:c r="C245" s="88" t="n">
        <x:v>5</x:v>
      </x:c>
      <x:c r="D245" s="65" t="str">
        <x:v>bad-air-day-protection</x:v>
      </x:c>
      <x:c r="E245" s="65" t="str">
        <x:v>bad-air-day-protection:structure:0</x:v>
      </x:c>
      <x:c r="F245" s="65" t="str">
        <x:v>p.1</x:v>
      </x:c>
      <x:c r="G245" s="92" t="n">
        <x:v>0.00491803</x:v>
      </x:c>
      <x:c r="H245" s="65" t="str">
        <x:v>Bad-air-day protection playbook</x:v>
      </x:c>
      <x:c r="I245" s="65" t="str">
        <x:v>World Health Organization, Regional Office for Europe</x:v>
      </x:c>
      <x:c r="J245" s="65" t="str">
        <x:v>Published: 2024-10-04 Status as of: 2026-09-07 (health guidance; not Indonesian law) Document type: health_guidance Tags: topic=exposure-protection; audience=Jakarta-resident; action=protect-now; pollutant=ambient-particles</x:v>
      </x:c>
      <x:c r="K245" s="65" t="str">
        <x:v>https://www.who.int/news-room/questions-and-answers/item/air-pollution-personal-interventions-and-risk-communication</x:v>
      </x:c>
      <x:c r="L245" s="65" t="n">
        <x:v>0</x:v>
      </x:c>
      <x:c r="M245" s="65" t="str">
        <x:v>Machine-suggested near-miss; human review required.</x:v>
      </x:c>
    </x:row>
    <x:row r="246" ht="42" customHeight="1">
      <x:c r="A246" s="65" t="str">
        <x:v>gold30-013</x:v>
      </x:c>
      <x:c r="B246" s="65" t="str">
        <x:v>bm25</x:v>
      </x:c>
      <x:c r="C246" s="88" t="n">
        <x:v>1</x:v>
      </x:c>
      <x:c r="D246" s="65" t="str">
        <x:v>jakarta-policy-implementation</x:v>
      </x:c>
      <x:c r="E246" s="65" t="str">
        <x:v>jakarta-policy-implementation:structure:2</x:v>
      </x:c>
      <x:c r="F246" s="65" t="str">
        <x:v>p.3</x:v>
      </x:c>
      <x:c r="G246" s="92" t="n">
        <x:v>0.75</x:v>
      </x:c>
      <x:c r="H246" s="65" t="str">
        <x:v>Why rules can coexist with poor air: implementation evidence</x:v>
      </x:c>
      <x:c r="I246" s="65" t="str">
        <x:v>Pemerintah Provinsi DKI Jakarta; Dinas Lingkungan Hidup DKI Jakarta; Mahkamah Agung</x:v>
      </x:c>
      <x:c r="J246"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246" s="65" t="str">
        <x:v>https://www.jakarta.go.id/siaran-pers/4802-SP-HMS-06-2024</x:v>
      </x:c>
      <x:c r="L246" s="65" t="n">
        <x:v>3</x:v>
      </x:c>
      <x:c r="M246" s="65" t="str">
        <x:v>Expected source for this question.</x:v>
      </x:c>
    </x:row>
    <x:row r="247" ht="42" customHeight="1">
      <x:c r="A247" s="65" t="str">
        <x:v>gold30-013</x:v>
      </x:c>
      <x:c r="B247" s="65" t="str">
        <x:v>bm25</x:v>
      </x:c>
      <x:c r="C247" s="88" t="n">
        <x:v>2</x:v>
      </x:c>
      <x:c r="D247" s="65" t="str">
        <x:v>bad-air-day-protection</x:v>
      </x:c>
      <x:c r="E247" s="65" t="str">
        <x:v>bad-air-day-protection:structure:1</x:v>
      </x:c>
      <x:c r="F247" s="65" t="str">
        <x:v>p.2</x:v>
      </x:c>
      <x:c r="G247" s="92" t="n">
        <x:v>0.625</x:v>
      </x:c>
      <x:c r="H247" s="65" t="str">
        <x:v>Bad-air-day protection playbook</x:v>
      </x:c>
      <x:c r="I247" s="65" t="str">
        <x:v>World Health Organization, Regional Office for Europe</x:v>
      </x:c>
      <x:c r="J247"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247" s="65" t="str">
        <x:v>https://www.who.int/news-room/questions-and-answers/item/air-pollution-personal-interventions-and-risk-communication</x:v>
      </x:c>
      <x:c r="L247" s="65" t="n">
        <x:v>0</x:v>
      </x:c>
      <x:c r="M247" s="65" t="str">
        <x:v>Machine-suggested near-miss; human review required.</x:v>
      </x:c>
    </x:row>
    <x:row r="248" ht="42" customHeight="1">
      <x:c r="A248" s="65" t="str">
        <x:v>gold30-013</x:v>
      </x:c>
      <x:c r="B248" s="65" t="str">
        <x:v>bm25</x:v>
      </x:c>
      <x:c r="C248" s="88" t="n">
        <x:v>3</x:v>
      </x:c>
      <x:c r="D248" s="65" t="str">
        <x:v>individual-emission-actions</x:v>
      </x:c>
      <x:c r="E248" s="65" t="str">
        <x:v>individual-emission-actions:structure:1</x:v>
      </x:c>
      <x:c r="F248" s="65" t="str">
        <x:v>p.2</x:v>
      </x:c>
      <x:c r="G248" s="92" t="n">
        <x:v>0.625</x:v>
      </x:c>
      <x:c r="H248" s="65" t="str">
        <x:v>What an individual can do to reduce emissions and improve accountability</x:v>
      </x:c>
      <x:c r="I248" s="65" t="str">
        <x:v>World Health Organization; Pemerintah Provinsi DKI Jakarta</x:v>
      </x:c>
      <x:c r="J248" s="65" t="str">
        <x:v>Use public transport, shared trips, walking, or cycling where current air quality, heat, safety, and mobility needs make that reasonable. Avoid needless idling, maintain the engine and tyres, repair visible smoke, and complete the required emissions test; a passing test is a com…</x:v>
      </x:c>
      <x:c r="K248" s="65" t="str">
        <x:v>https://www.who.int/europe/publications/m/item/personal-level-actions-to-reduce-air-pollution-exposure</x:v>
      </x:c>
      <x:c r="L248" s="65" t="n">
        <x:v>0</x:v>
      </x:c>
      <x:c r="M248" s="65" t="str">
        <x:v>Machine-suggested near-miss; human review required.</x:v>
      </x:c>
    </x:row>
    <x:row r="249" ht="42" customHeight="1">
      <x:c r="A249" s="65" t="str">
        <x:v>gold30-013</x:v>
      </x:c>
      <x:c r="B249" s="65" t="str">
        <x:v>bm25</x:v>
      </x:c>
      <x:c r="C249" s="88" t="n">
        <x:v>4</x:v>
      </x:c>
      <x:c r="D249" s="65" t="str">
        <x:v>jakarta-improvements</x:v>
      </x:c>
      <x:c r="E249" s="65" t="str">
        <x:v>jakarta-improvements:structure:0</x:v>
      </x:c>
      <x:c r="F249" s="65" t="str">
        <x:v>p.1</x:v>
      </x:c>
      <x:c r="G249" s="92" t="n">
        <x:v>0.625</x:v>
      </x:c>
      <x:c r="H249" s="65" t="str">
        <x:v>Ways to improve Jakarta air quality</x:v>
      </x:c>
      <x:c r="I249" s="65" t="str">
        <x:v>Pemerintah Provinsi DKI Jakarta / Dinas Lingkungan Hidup</x:v>
      </x:c>
      <x:c r="J249"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249" s="65" t="str">
        <x:v>https://www.jakarta.go.id/page/upaya-bersama-jaga-kualitas-udara-jakarta</x:v>
      </x:c>
      <x:c r="L249" s="65" t="n">
        <x:v>0</x:v>
      </x:c>
      <x:c r="M249" s="65" t="str">
        <x:v>Machine-suggested near-miss; human review required.</x:v>
      </x:c>
    </x:row>
    <x:row r="250" ht="42" customHeight="1">
      <x:c r="A250" s="65" t="str">
        <x:v>gold30-013</x:v>
      </x:c>
      <x:c r="B250" s="65" t="str">
        <x:v>bm25</x:v>
      </x:c>
      <x:c r="C250" s="88" t="n">
        <x:v>5</x:v>
      </x:c>
      <x:c r="D250" s="65" t="str">
        <x:v>clean-air-room</x:v>
      </x:c>
      <x:c r="E250" s="65" t="str">
        <x:v>clean-air-room:structure:1</x:v>
      </x:c>
      <x:c r="F250" s="65" t="str">
        <x:v>p.2</x:v>
      </x:c>
      <x:c r="G250" s="92" t="n">
        <x:v>0.5</x:v>
      </x:c>
      <x:c r="H250" s="65" t="str">
        <x:v>Indoor filtration and a clean-air room</x:v>
      </x:c>
      <x:c r="I250" s="65" t="str">
        <x:v>United States Environmental Protection Agency</x:v>
      </x:c>
      <x:c r="J250"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250" s="65" t="str">
        <x:v>https://www.epa.gov/indoor-air-quality-iaq/guide-air-cleaners-home</x:v>
      </x:c>
      <x:c r="L250" s="65" t="n">
        <x:v>0</x:v>
      </x:c>
      <x:c r="M250" s="65" t="str">
        <x:v>Machine-suggested near-miss; human review required.</x:v>
      </x:c>
    </x:row>
    <x:row r="251" ht="42" customHeight="1">
      <x:c r="A251" s="65" t="str">
        <x:v>gold30-013</x:v>
      </x:c>
      <x:c r="B251" s="65" t="str">
        <x:v>dense</x:v>
      </x:c>
      <x:c r="C251" s="88" t="n">
        <x:v>1</x:v>
      </x:c>
      <x:c r="D251" s="65" t="str">
        <x:v>jakarta-court-air-quality</x:v>
      </x:c>
      <x:c r="E251" s="65" t="str">
        <x:v>jakarta-court-air-quality:structure:1</x:v>
      </x:c>
      <x:c r="F251" s="65" t="str">
        <x:v>p.2</x:v>
      </x:c>
      <x:c r="G251" s="92" t="n">
        <x:v>0.35179674</x:v>
      </x:c>
      <x:c r="H251" s="65" t="str">
        <x:v>Jakarta air-pollution citizen lawsuit: what the court record establishes</x:v>
      </x:c>
      <x:c r="I251" s="65" t="str">
        <x:v>Mahkamah Agung Republik Indonesia</x:v>
      </x:c>
      <x:c r="J251"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251" s="65" t="str">
        <x:v>https://putusan3.mahkamahagung.go.id/pengadilan/profil/pengadilan/pn-jakarta-pusat.html</x:v>
      </x:c>
      <x:c r="L251" s="65" t="n">
        <x:v>0</x:v>
      </x:c>
      <x:c r="M251" s="65" t="str">
        <x:v>Machine-suggested near-miss; human review required.</x:v>
      </x:c>
    </x:row>
    <x:row r="252" ht="42" customHeight="1">
      <x:c r="A252" s="65" t="str">
        <x:v>gold30-013</x:v>
      </x:c>
      <x:c r="B252" s="65" t="str">
        <x:v>dense</x:v>
      </x:c>
      <x:c r="C252" s="88" t="n">
        <x:v>2</x:v>
      </x:c>
      <x:c r="D252" s="65" t="str">
        <x:v>jakarta-policy-implementation</x:v>
      </x:c>
      <x:c r="E252" s="65" t="str">
        <x:v>jakarta-policy-implementation:structure:2</x:v>
      </x:c>
      <x:c r="F252" s="65" t="str">
        <x:v>p.3</x:v>
      </x:c>
      <x:c r="G252" s="92" t="n">
        <x:v>0.34413549</x:v>
      </x:c>
      <x:c r="H252" s="65" t="str">
        <x:v>Why rules can coexist with poor air: implementation evidence</x:v>
      </x:c>
      <x:c r="I252" s="65" t="str">
        <x:v>Pemerintah Provinsi DKI Jakarta; Dinas Lingkungan Hidup DKI Jakarta; Mahkamah Agung</x:v>
      </x:c>
      <x:c r="J252"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252" s="65" t="str">
        <x:v>https://www.jakarta.go.id/siaran-pers/4802-SP-HMS-06-2024</x:v>
      </x:c>
      <x:c r="L252" s="65" t="n">
        <x:v>3</x:v>
      </x:c>
      <x:c r="M252" s="65" t="str">
        <x:v>Expected source for this question.</x:v>
      </x:c>
    </x:row>
    <x:row r="253" ht="42" customHeight="1">
      <x:c r="A253" s="65" t="str">
        <x:v>gold30-013</x:v>
      </x:c>
      <x:c r="B253" s="65" t="str">
        <x:v>dense</x:v>
      </x:c>
      <x:c r="C253" s="88" t="n">
        <x:v>3</x:v>
      </x:c>
      <x:c r="D253" s="65" t="str">
        <x:v>jakarta-improvements</x:v>
      </x:c>
      <x:c r="E253" s="65" t="str">
        <x:v>jakarta-improvements:structure:0</x:v>
      </x:c>
      <x:c r="F253" s="65" t="str">
        <x:v>p.1</x:v>
      </x:c>
      <x:c r="G253" s="92" t="n">
        <x:v>0.3405766</x:v>
      </x:c>
      <x:c r="H253" s="65" t="str">
        <x:v>Ways to improve Jakarta air quality</x:v>
      </x:c>
      <x:c r="I253" s="65" t="str">
        <x:v>Pemerintah Provinsi DKI Jakarta / Dinas Lingkungan Hidup</x:v>
      </x:c>
      <x:c r="J253"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253" s="65" t="str">
        <x:v>https://www.jakarta.go.id/page/upaya-bersama-jaga-kualitas-udara-jakarta</x:v>
      </x:c>
      <x:c r="L253" s="65" t="n">
        <x:v>0</x:v>
      </x:c>
      <x:c r="M253" s="65" t="str">
        <x:v>Machine-suggested near-miss; human review required.</x:v>
      </x:c>
    </x:row>
    <x:row r="254" ht="42" customHeight="1">
      <x:c r="A254" s="65" t="str">
        <x:v>gold30-013</x:v>
      </x:c>
      <x:c r="B254" s="65" t="str">
        <x:v>dense</x:v>
      </x:c>
      <x:c r="C254" s="88" t="n">
        <x:v>4</x:v>
      </x:c>
      <x:c r="D254" s="65" t="str">
        <x:v>ma-jakarta-air-lawsuit-record</x:v>
      </x:c>
      <x:c r="E254" s="65" t="str">
        <x:v>ma-jakarta-air-lawsuit-record:structure:0</x:v>
      </x:c>
      <x:c r="F254" s="65" t="str">
        <x:v>p.1</x:v>
      </x:c>
      <x:c r="G254" s="92" t="n">
        <x:v>0.33833128</x:v>
      </x:c>
      <x:c r="H254" s="65" t="str">
        <x:v>Mahkamah Agung record — Jakarta air-pollution citizen lawsuit</x:v>
      </x:c>
      <x:c r="I254" s="65" t="str">
        <x:v>Mahkamah Agung Republik Indonesia</x:v>
      </x:c>
      <x:c r="J254"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254" s="65" t="str">
        <x:v>https://putusan3.mahkamahagung.go.id/pengadilan/profil/pengadilan/pn-jakarta-pusat.html</x:v>
      </x:c>
      <x:c r="L254" s="65" t="n">
        <x:v>0</x:v>
      </x:c>
      <x:c r="M254" s="65" t="str">
        <x:v>Machine-suggested near-miss; human review required.</x:v>
      </x:c>
    </x:row>
    <x:row r="255" ht="42" customHeight="1">
      <x:c r="A255" s="65" t="str">
        <x:v>gold30-013</x:v>
      </x:c>
      <x:c r="B255" s="65" t="str">
        <x:v>dense</x:v>
      </x:c>
      <x:c r="C255" s="88" t="n">
        <x:v>5</x:v>
      </x:c>
      <x:c r="D255" s="65" t="str">
        <x:v>jakarta-monitoring</x:v>
      </x:c>
      <x:c r="E255" s="65" t="str">
        <x:v>jakarta-monitoring:structure:0</x:v>
      </x:c>
      <x:c r="F255" s="65" t="str">
        <x:v>p.1</x:v>
      </x:c>
      <x:c r="G255" s="92" t="n">
        <x:v>0.33501821</x:v>
      </x:c>
      <x:c r="H255" s="65" t="str">
        <x:v>Jakarta monitoring stations</x:v>
      </x:c>
      <x:c r="I255" s="65" t="str">
        <x:v>Dinas Lingkungan Hidup Provinsi DKI Jakarta</x:v>
      </x:c>
      <x:c r="J255" s="65" t="str">
        <x:v>Jakarta's official monitoring portal publishes station locations, pollutant parameters, current readings, and timestamps. A station observation describes that station and observation time; it should not automatically be generalized to all of Jakarta.</x:v>
      </x:c>
      <x:c r="K255" s="65" t="str">
        <x:v>https://udara.jakarta.go.id/lokasi-spku</x:v>
      </x:c>
      <x:c r="L255" s="65" t="n">
        <x:v>0</x:v>
      </x:c>
      <x:c r="M255" s="65" t="str">
        <x:v>Machine-suggested near-miss; human review required.</x:v>
      </x:c>
    </x:row>
    <x:row r="256" ht="42" customHeight="1">
      <x:c r="A256" s="65" t="str">
        <x:v>gold30-013</x:v>
      </x:c>
      <x:c r="B256" s="65" t="str">
        <x:v>hybrid</x:v>
      </x:c>
      <x:c r="C256" s="88" t="n">
        <x:v>1</x:v>
      </x:c>
      <x:c r="D256" s="65" t="str">
        <x:v>jakarta-policy-implementation</x:v>
      </x:c>
      <x:c r="E256" s="65" t="str">
        <x:v>jakarta-policy-implementation:structure:2</x:v>
      </x:c>
      <x:c r="F256" s="65" t="str">
        <x:v>p.3</x:v>
      </x:c>
      <x:c r="G256" s="92" t="n">
        <x:v>0.03284506</x:v>
      </x:c>
      <x:c r="H256" s="65" t="str">
        <x:v>Why rules can coexist with poor air: implementation evidence</x:v>
      </x:c>
      <x:c r="I256" s="65" t="str">
        <x:v>Pemerintah Provinsi DKI Jakarta; Dinas Lingkungan Hidup DKI Jakarta; Mahkamah Agung</x:v>
      </x:c>
      <x:c r="J256"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256" s="65" t="str">
        <x:v>https://www.jakarta.go.id/siaran-pers/4802-SP-HMS-06-2024</x:v>
      </x:c>
      <x:c r="L256" s="65" t="n">
        <x:v>3</x:v>
      </x:c>
      <x:c r="M256" s="65" t="str">
        <x:v>Expected source for this question.</x:v>
      </x:c>
    </x:row>
    <x:row r="257" ht="42" customHeight="1">
      <x:c r="A257" s="65" t="str">
        <x:v>gold30-013</x:v>
      </x:c>
      <x:c r="B257" s="65" t="str">
        <x:v>hybrid</x:v>
      </x:c>
      <x:c r="C257" s="88" t="n">
        <x:v>2</x:v>
      </x:c>
      <x:c r="D257" s="65" t="str">
        <x:v>jakarta-improvements</x:v>
      </x:c>
      <x:c r="E257" s="65" t="str">
        <x:v>jakarta-improvements:structure:0</x:v>
      </x:c>
      <x:c r="F257" s="65" t="str">
        <x:v>p.1</x:v>
      </x:c>
      <x:c r="G257" s="92" t="n">
        <x:v>0.03181548</x:v>
      </x:c>
      <x:c r="H257" s="65" t="str">
        <x:v>Ways to improve Jakarta air quality</x:v>
      </x:c>
      <x:c r="I257" s="65" t="str">
        <x:v>Pemerintah Provinsi DKI Jakarta / Dinas Lingkungan Hidup</x:v>
      </x:c>
      <x:c r="J257"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257" s="65" t="str">
        <x:v>https://www.jakarta.go.id/page/upaya-bersama-jaga-kualitas-udara-jakarta</x:v>
      </x:c>
      <x:c r="L257" s="65" t="n">
        <x:v>0</x:v>
      </x:c>
      <x:c r="M257" s="65" t="str">
        <x:v>Machine-suggested near-miss; human review required.</x:v>
      </x:c>
    </x:row>
    <x:row r="258" ht="42" customHeight="1">
      <x:c r="A258" s="65" t="str">
        <x:v>gold30-013</x:v>
      </x:c>
      <x:c r="B258" s="65" t="str">
        <x:v>hybrid</x:v>
      </x:c>
      <x:c r="C258" s="88" t="n">
        <x:v>3</x:v>
      </x:c>
      <x:c r="D258" s="65" t="str">
        <x:v>epa-air-cleaners-home-2026</x:v>
      </x:c>
      <x:c r="E258" s="65" t="str">
        <x:v>epa-air-cleaners-home-2026:structure:1</x:v>
      </x:c>
      <x:c r="F258" s="65" t="str">
        <x:v>p.2</x:v>
      </x:c>
      <x:c r="G258" s="92" t="n">
        <x:v>0.03060606</x:v>
      </x:c>
      <x:c r="H258" s="65" t="str">
        <x:v>US EPA Guide to Air Cleaners in the Home (2nd edition)</x:v>
      </x:c>
      <x:c r="I258" s="65" t="str">
        <x:v>United States Environmental Protection Agency</x:v>
      </x:c>
      <x:c r="J258" s="65" t="str">
        <x:v>The guide explains that a portable cleaner's clean air delivery rate (CADR) and the room size determine how much filtered air is delivered. A product recommendation therefore needs room dimensions and a stated particle CADR, rather than only a marketing label.</x:v>
      </x:c>
      <x:c r="K258" s="65" t="str">
        <x:v>https://www.epa.gov/indoor-air-quality-iaq/guide-air-cleaners-home</x:v>
      </x:c>
      <x:c r="L258" s="65" t="n">
        <x:v>0</x:v>
      </x:c>
      <x:c r="M258" s="65" t="str">
        <x:v>Machine-suggested near-miss; human review required.</x:v>
      </x:c>
    </x:row>
    <x:row r="259" ht="42" customHeight="1">
      <x:c r="A259" s="65" t="str">
        <x:v>gold30-013</x:v>
      </x:c>
      <x:c r="B259" s="65" t="str">
        <x:v>hybrid</x:v>
      </x:c>
      <x:c r="C259" s="88" t="n">
        <x:v>4</x:v>
      </x:c>
      <x:c r="D259" s="65" t="str">
        <x:v>ma-jakarta-air-lawsuit-record</x:v>
      </x:c>
      <x:c r="E259" s="65" t="str">
        <x:v>ma-jakarta-air-lawsuit-record:structure:0</x:v>
      </x:c>
      <x:c r="F259" s="65" t="str">
        <x:v>p.1</x:v>
      </x:c>
      <x:c r="G259" s="92" t="n">
        <x:v>0.03022321</x:v>
      </x:c>
      <x:c r="H259" s="65" t="str">
        <x:v>Mahkamah Agung record — Jakarta air-pollution citizen lawsuit</x:v>
      </x:c>
      <x:c r="I259" s="65" t="str">
        <x:v>Mahkamah Agung Republik Indonesia</x:v>
      </x:c>
      <x:c r="J259"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259" s="65" t="str">
        <x:v>https://putusan3.mahkamahagung.go.id/pengadilan/profil/pengadilan/pn-jakarta-pusat.html</x:v>
      </x:c>
      <x:c r="L259" s="65" t="n">
        <x:v>0</x:v>
      </x:c>
      <x:c r="M259" s="65" t="str">
        <x:v>Machine-suggested near-miss; human review required.</x:v>
      </x:c>
    </x:row>
    <x:row r="260" ht="42" customHeight="1">
      <x:c r="A260" s="65" t="str">
        <x:v>gold30-013</x:v>
      </x:c>
      <x:c r="B260" s="65" t="str">
        <x:v>hybrid</x:v>
      </x:c>
      <x:c r="C260" s="88" t="n">
        <x:v>5</x:v>
      </x:c>
      <x:c r="D260" s="65" t="str">
        <x:v>jakarta-causes</x:v>
      </x:c>
      <x:c r="E260" s="65" t="str">
        <x:v>jakarta-causes:structure:0</x:v>
      </x:c>
      <x:c r="F260" s="65" t="str">
        <x:v>p.1</x:v>
      </x:c>
      <x:c r="G260" s="92" t="n">
        <x:v>0.02970798</x:v>
      </x:c>
      <x:c r="H260" s="65" t="str">
        <x:v>What causes Jakarta air pollution</x:v>
      </x:c>
      <x:c r="I260" s="65" t="str">
        <x:v>Dinas Lingkungan Hidup DKI Jakarta / Vital Strategies / ITB</x:v>
      </x:c>
      <x:c r="J260"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260" s="65" t="str">
        <x:v>https://rendahemisi.jakarta.go.id/learn</x:v>
      </x:c>
      <x:c r="L260" s="65" t="n">
        <x:v>3</x:v>
      </x:c>
      <x:c r="M260" s="65" t="str">
        <x:v>Expected source for this question.</x:v>
      </x:c>
    </x:row>
    <x:row r="261" ht="42" customHeight="1">
      <x:c r="A261" s="65" t="str">
        <x:v>gold30-013</x:v>
      </x:c>
      <x:c r="B261" s="65" t="str">
        <x:v>hybrid_rerank</x:v>
      </x:c>
      <x:c r="C261" s="88" t="n">
        <x:v>1</x:v>
      </x:c>
      <x:c r="D261" s="65" t="str">
        <x:v>jakarta-policy-implementation</x:v>
      </x:c>
      <x:c r="E261" s="65" t="str">
        <x:v>jakarta-policy-implementation:structure:2</x:v>
      </x:c>
      <x:c r="F261" s="65" t="str">
        <x:v>p.3</x:v>
      </x:c>
      <x:c r="G261" s="92" t="n">
        <x:v>0.53485352</x:v>
      </x:c>
      <x:c r="H261" s="65" t="str">
        <x:v>Why rules can coexist with poor air: implementation evidence</x:v>
      </x:c>
      <x:c r="I261" s="65" t="str">
        <x:v>Pemerintah Provinsi DKI Jakarta; Dinas Lingkungan Hidup DKI Jakarta; Mahkamah Agung</x:v>
      </x:c>
      <x:c r="J261"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261" s="65" t="str">
        <x:v>https://www.jakarta.go.id/siaran-pers/4802-SP-HMS-06-2024</x:v>
      </x:c>
      <x:c r="L261" s="65" t="n">
        <x:v>3</x:v>
      </x:c>
      <x:c r="M261" s="65" t="str">
        <x:v>Expected source for this question.</x:v>
      </x:c>
    </x:row>
    <x:row r="262" ht="42" customHeight="1">
      <x:c r="A262" s="65" t="str">
        <x:v>gold30-013</x:v>
      </x:c>
      <x:c r="B262" s="65" t="str">
        <x:v>hybrid_rerank</x:v>
      </x:c>
      <x:c r="C262" s="88" t="n">
        <x:v>2</x:v>
      </x:c>
      <x:c r="D262" s="65" t="str">
        <x:v>jakarta-improvements</x:v>
      </x:c>
      <x:c r="E262" s="65" t="str">
        <x:v>jakarta-improvements:structure:0</x:v>
      </x:c>
      <x:c r="F262" s="65" t="str">
        <x:v>p.1</x:v>
      </x:c>
      <x:c r="G262" s="92" t="n">
        <x:v>0.44704464</x:v>
      </x:c>
      <x:c r="H262" s="65" t="str">
        <x:v>Ways to improve Jakarta air quality</x:v>
      </x:c>
      <x:c r="I262" s="65" t="str">
        <x:v>Pemerintah Provinsi DKI Jakarta / Dinas Lingkungan Hidup</x:v>
      </x:c>
      <x:c r="J262"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262" s="65" t="str">
        <x:v>https://www.jakarta.go.id/page/upaya-bersama-jaga-kualitas-udara-jakarta</x:v>
      </x:c>
      <x:c r="L262" s="65" t="n">
        <x:v>0</x:v>
      </x:c>
      <x:c r="M262" s="65" t="str">
        <x:v>Machine-suggested near-miss; human review required.</x:v>
      </x:c>
    </x:row>
    <x:row r="263" ht="42" customHeight="1">
      <x:c r="A263" s="65" t="str">
        <x:v>gold30-013</x:v>
      </x:c>
      <x:c r="B263" s="65" t="str">
        <x:v>hybrid_rerank</x:v>
      </x:c>
      <x:c r="C263" s="88" t="n">
        <x:v>3</x:v>
      </x:c>
      <x:c r="D263" s="65" t="str">
        <x:v>bad-air-day-protection</x:v>
      </x:c>
      <x:c r="E263" s="65" t="str">
        <x:v>bad-air-day-protection:structure:1</x:v>
      </x:c>
      <x:c r="F263" s="65" t="str">
        <x:v>p.2</x:v>
      </x:c>
      <x:c r="G263" s="92" t="n">
        <x:v>0.44233871</x:v>
      </x:c>
      <x:c r="H263" s="65" t="str">
        <x:v>Bad-air-day protection playbook</x:v>
      </x:c>
      <x:c r="I263" s="65" t="str">
        <x:v>World Health Organization, Regional Office for Europe</x:v>
      </x:c>
      <x:c r="J263"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263" s="65" t="str">
        <x:v>https://www.who.int/news-room/questions-and-answers/item/air-pollution-personal-interventions-and-risk-communication</x:v>
      </x:c>
      <x:c r="L263" s="65" t="n">
        <x:v>0</x:v>
      </x:c>
      <x:c r="M263" s="65" t="str">
        <x:v>Machine-suggested near-miss; human review required.</x:v>
      </x:c>
    </x:row>
    <x:row r="264" ht="42" customHeight="1">
      <x:c r="A264" s="65" t="str">
        <x:v>gold30-013</x:v>
      </x:c>
      <x:c r="B264" s="65" t="str">
        <x:v>hybrid_rerank</x:v>
      </x:c>
      <x:c r="C264" s="88" t="n">
        <x:v>4</x:v>
      </x:c>
      <x:c r="D264" s="65" t="str">
        <x:v>individual-emission-actions</x:v>
      </x:c>
      <x:c r="E264" s="65" t="str">
        <x:v>individual-emission-actions:structure:1</x:v>
      </x:c>
      <x:c r="F264" s="65" t="str">
        <x:v>p.2</x:v>
      </x:c>
      <x:c r="G264" s="92" t="n">
        <x:v>0.4422619</x:v>
      </x:c>
      <x:c r="H264" s="65" t="str">
        <x:v>What an individual can do to reduce emissions and improve accountability</x:v>
      </x:c>
      <x:c r="I264" s="65" t="str">
        <x:v>World Health Organization; Pemerintah Provinsi DKI Jakarta</x:v>
      </x:c>
      <x:c r="J264" s="65" t="str">
        <x:v>Use public transport, shared trips, walking, or cycling where current air quality, heat, safety, and mobility needs make that reasonable. Avoid needless idling, maintain the engine and tyres, repair visible smoke, and complete the required emissions test; a passing test is a com…</x:v>
      </x:c>
      <x:c r="K264" s="65" t="str">
        <x:v>https://www.who.int/europe/publications/m/item/personal-level-actions-to-reduce-air-pollution-exposure</x:v>
      </x:c>
      <x:c r="L264" s="65" t="n">
        <x:v>0</x:v>
      </x:c>
      <x:c r="M264" s="65" t="str">
        <x:v>Machine-suggested near-miss; human review required.</x:v>
      </x:c>
    </x:row>
    <x:row r="265" ht="42" customHeight="1">
      <x:c r="A265" s="65" t="str">
        <x:v>gold30-013</x:v>
      </x:c>
      <x:c r="B265" s="65" t="str">
        <x:v>hybrid_rerank</x:v>
      </x:c>
      <x:c r="C265" s="88" t="n">
        <x:v>5</x:v>
      </x:c>
      <x:c r="D265" s="65" t="str">
        <x:v>epa-air-cleaners-home-2026</x:v>
      </x:c>
      <x:c r="E265" s="65" t="str">
        <x:v>epa-air-cleaners-home-2026:structure:1</x:v>
      </x:c>
      <x:c r="F265" s="65" t="str">
        <x:v>p.2</x:v>
      </x:c>
      <x:c r="G265" s="92" t="n">
        <x:v>0.35918182</x:v>
      </x:c>
      <x:c r="H265" s="65" t="str">
        <x:v>US EPA Guide to Air Cleaners in the Home (2nd edition)</x:v>
      </x:c>
      <x:c r="I265" s="65" t="str">
        <x:v>United States Environmental Protection Agency</x:v>
      </x:c>
      <x:c r="J265" s="65" t="str">
        <x:v>The guide explains that a portable cleaner's clean air delivery rate (CADR) and the room size determine how much filtered air is delivered. A product recommendation therefore needs room dimensions and a stated particle CADR, rather than only a marketing label.</x:v>
      </x:c>
      <x:c r="K265" s="65" t="str">
        <x:v>https://www.epa.gov/indoor-air-quality-iaq/guide-air-cleaners-home</x:v>
      </x:c>
      <x:c r="L265" s="65" t="n">
        <x:v>0</x:v>
      </x:c>
      <x:c r="M265" s="65" t="str">
        <x:v>Machine-suggested near-miss; human review required.</x:v>
      </x:c>
    </x:row>
    <x:row r="266" ht="42" customHeight="1">
      <x:c r="A266" s="65" t="str">
        <x:v>gold30-014</x:v>
      </x:c>
      <x:c r="B266" s="65" t="str">
        <x:v>bm25</x:v>
      </x:c>
      <x:c r="C266" s="88" t="n">
        <x:v>1</x:v>
      </x:c>
      <x:c r="D266" s="65" t="str">
        <x:v>jakarta-emission-testing</x:v>
      </x:c>
      <x:c r="E266" s="65" t="str">
        <x:v>jakarta-emission-testing:structure:0</x:v>
      </x:c>
      <x:c r="F266" s="65" t="str">
        <x:v>p.1</x:v>
      </x:c>
      <x:c r="G266" s="92" t="n">
        <x:v>0.44444444</x:v>
      </x:c>
      <x:c r="H266" s="65" t="str">
        <x:v>Jakarta vehicle-emissions testing obligation</x:v>
      </x:c>
      <x:c r="I266" s="65" t="str">
        <x:v>Dinas Lingkungan Hidup DKI Jakarta</x:v>
      </x:c>
      <x:c r="J266" s="65" t="str">
        <x:v>Published: page accessed 2026-09-07 (FAQ date not stated) Status as of: 2026-09-07; Pergub 66/2020 is listed as berlaku Document type: official_faq Tags: topic=regulation-implementation; audience=vehicle-owner; action=compliance</x:v>
      </x:c>
      <x:c r="K266" s="65" t="str">
        <x:v>https://lingkunganhidup.jakarta.go.id/faq/ujiemisi</x:v>
      </x:c>
      <x:c r="L266" s="65" t="n">
        <x:v>3</x:v>
      </x:c>
      <x:c r="M266" s="65" t="str">
        <x:v>Expected source for this question.</x:v>
      </x:c>
    </x:row>
    <x:row r="267" ht="42" customHeight="1">
      <x:c r="A267" s="65" t="str">
        <x:v>gold30-014</x:v>
      </x:c>
      <x:c r="B267" s="65" t="str">
        <x:v>bm25</x:v>
      </x:c>
      <x:c r="C267" s="88" t="n">
        <x:v>2</x:v>
      </x:c>
      <x:c r="D267" s="65" t="str">
        <x:v>jakarta-policy-implementation</x:v>
      </x:c>
      <x:c r="E267" s="65" t="str">
        <x:v>jakarta-policy-implementation:structure:1</x:v>
      </x:c>
      <x:c r="F267" s="65" t="str">
        <x:v>p.2</x:v>
      </x:c>
      <x:c r="G267" s="92" t="n">
        <x:v>0.44444444</x:v>
      </x:c>
      <x:c r="H267" s="65" t="str">
        <x:v>Why rules can coexist with poor air: implementation evidence</x:v>
      </x:c>
      <x:c r="I267" s="65" t="str">
        <x:v>Pemerintah Provinsi DKI Jakarta; Dinas Lingkungan Hidup DKI Jakarta; Mahkamah Agung</x:v>
      </x:c>
      <x:c r="J267"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267" s="65" t="str">
        <x:v>https://www.jakarta.go.id/siaran-pers/4802-SP-HMS-06-2024</x:v>
      </x:c>
      <x:c r="L267" s="65" t="n">
        <x:v>0</x:v>
      </x:c>
      <x:c r="M267" s="65" t="str">
        <x:v>Machine-suggested near-miss; human review required.</x:v>
      </x:c>
    </x:row>
    <x:row r="268" ht="42" customHeight="1">
      <x:c r="A268" s="65" t="str">
        <x:v>gold30-014</x:v>
      </x:c>
      <x:c r="B268" s="65" t="str">
        <x:v>bm25</x:v>
      </x:c>
      <x:c r="C268" s="88" t="n">
        <x:v>3</x:v>
      </x:c>
      <x:c r="D268" s="65" t="str">
        <x:v>pergub-66-2020-vehicle-testing</x:v>
      </x:c>
      <x:c r="E268" s="65" t="str">
        <x:v>pergub-66-2020-vehicle-testing:structure:0</x:v>
      </x:c>
      <x:c r="F268" s="65" t="str">
        <x:v>p.1</x:v>
      </x:c>
      <x:c r="G268" s="92" t="n">
        <x:v>0.44444444</x:v>
      </x:c>
      <x:c r="H268" s="65" t="str">
        <x:v>Pergub DKI Jakarta No. 66 Tahun 2020 — motor-vehicle emission testing</x:v>
      </x:c>
      <x:c r="I268" s="65" t="str">
        <x:v>Pemerintah Provinsi DKI Jakarta / Database Peraturan BPK</x:v>
      </x:c>
      <x:c r="J268" s="65" t="str">
        <x:v>Peraturan Gubernur Provinsi DKI Jakarta Nomor 66 Tahun 2020 is titled Uji Emisi Gas Buang Kendaraan Bermotor. The BPK record gives the adoption date as 22 July 2020, promulgation date as 24 July 2020, and effective date as 24 December 2020.</x:v>
      </x:c>
      <x:c r="K268" s="65" t="str">
        <x:v>https://peraturan.bpk.go.id/Details/153923/pergub-prov-dki-jakarta-no-66-tahun-2020</x:v>
      </x:c>
      <x:c r="L268" s="65" t="n">
        <x:v>3</x:v>
      </x:c>
      <x:c r="M268" s="65" t="str">
        <x:v>Expected source for this question.</x:v>
      </x:c>
    </x:row>
    <x:row r="269" ht="42" customHeight="1">
      <x:c r="A269" s="65" t="str">
        <x:v>gold30-014</x:v>
      </x:c>
      <x:c r="B269" s="65" t="str">
        <x:v>bm25</x:v>
      </x:c>
      <x:c r="C269" s="88" t="n">
        <x:v>4</x:v>
      </x:c>
      <x:c r="D269" s="65" t="str">
        <x:v>jakarta-regulations</x:v>
      </x:c>
      <x:c r="E269" s="65" t="str">
        <x:v>jakarta-regulations:structure:0</x:v>
      </x:c>
      <x:c r="F269" s="65" t="str">
        <x:v>p.1</x:v>
      </x:c>
      <x:c r="G269" s="92" t="n">
        <x:v>0.33333333</x:v>
      </x:c>
      <x:c r="H269" s="65" t="str">
        <x:v>Jakarta and Indonesian air-quality regulations</x:v>
      </x:c>
      <x:c r="I269" s="65" t="str">
        <x:v>JDIH DKI Jakarta / Government of Indonesia</x:v>
      </x:c>
      <x:c r="J269"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269" s="65" t="str">
        <x:v>https://udara.jakarta.go.id/regulasi</x:v>
      </x:c>
      <x:c r="L269" s="65" t="n">
        <x:v>0</x:v>
      </x:c>
      <x:c r="M269" s="65" t="str">
        <x:v>Machine-suggested near-miss; human review required.</x:v>
      </x:c>
    </x:row>
    <x:row r="270" ht="42" customHeight="1">
      <x:c r="A270" s="65" t="str">
        <x:v>gold30-014</x:v>
      </x:c>
      <x:c r="B270" s="65" t="str">
        <x:v>bm25</x:v>
      </x:c>
      <x:c r="C270" s="88" t="n">
        <x:v>5</x:v>
      </x:c>
      <x:c r="D270" s="65" t="str">
        <x:v>ispu</x:v>
      </x:c>
      <x:c r="E270" s="65" t="str">
        <x:v>ispu:structure:0</x:v>
      </x:c>
      <x:c r="F270" s="65" t="str">
        <x:v>p.1</x:v>
      </x:c>
      <x:c r="G270" s="92" t="n">
        <x:v>0.11111111</x:v>
      </x:c>
      <x:c r="H270" s="65" t="str">
        <x:v>Indonesian ISPU categories</x:v>
      </x:c>
      <x:c r="I270" s="65" t="str">
        <x:v>Ministry of Environment and Forestry</x:v>
      </x:c>
      <x:c r="J270" s="65" t="str">
        <x:v>The Indonesian ISPU categories used in this demo are Baik (1-50), Sedang (51-100), Tidak Sehat (101-200), Sangat Tidak Sehat (201-300), and Berbahaya (301 or higher). ISPU is an index without a physical concentration unit.</x:v>
      </x:c>
      <x:c r="K270" s="65" t="str">
        <x:v>https://peraturan.bpk.go.id/Details/163466/permen-lhk-no-14-tahun-2020</x:v>
      </x:c>
      <x:c r="L270" s="65" t="n">
        <x:v>0</x:v>
      </x:c>
      <x:c r="M270" s="65" t="str">
        <x:v>Machine-suggested near-miss; human review required.</x:v>
      </x:c>
    </x:row>
    <x:row r="271" ht="42" customHeight="1">
      <x:c r="A271" s="65" t="str">
        <x:v>gold30-014</x:v>
      </x:c>
      <x:c r="B271" s="65" t="str">
        <x:v>dense</x:v>
      </x:c>
      <x:c r="C271" s="88" t="n">
        <x:v>1</x:v>
      </x:c>
      <x:c r="D271" s="65" t="str">
        <x:v>pergub-66-2020-vehicle-testing</x:v>
      </x:c>
      <x:c r="E271" s="65" t="str">
        <x:v>pergub-66-2020-vehicle-testing:structure:0</x:v>
      </x:c>
      <x:c r="F271" s="65" t="str">
        <x:v>p.1</x:v>
      </x:c>
      <x:c r="G271" s="92" t="n">
        <x:v>0.21087475</x:v>
      </x:c>
      <x:c r="H271" s="65" t="str">
        <x:v>Pergub DKI Jakarta No. 66 Tahun 2020 — motor-vehicle emission testing</x:v>
      </x:c>
      <x:c r="I271" s="65" t="str">
        <x:v>Pemerintah Provinsi DKI Jakarta / Database Peraturan BPK</x:v>
      </x:c>
      <x:c r="J271" s="65" t="str">
        <x:v>Peraturan Gubernur Provinsi DKI Jakarta Nomor 66 Tahun 2020 is titled Uji Emisi Gas Buang Kendaraan Bermotor. The BPK record gives the adoption date as 22 July 2020, promulgation date as 24 July 2020, and effective date as 24 December 2020.</x:v>
      </x:c>
      <x:c r="K271" s="65" t="str">
        <x:v>https://peraturan.bpk.go.id/Details/153923/pergub-prov-dki-jakarta-no-66-tahun-2020</x:v>
      </x:c>
      <x:c r="L271" s="65" t="n">
        <x:v>3</x:v>
      </x:c>
      <x:c r="M271" s="65" t="str">
        <x:v>Expected source for this question.</x:v>
      </x:c>
    </x:row>
    <x:row r="272" ht="42" customHeight="1">
      <x:c r="A272" s="65" t="str">
        <x:v>gold30-014</x:v>
      </x:c>
      <x:c r="B272" s="65" t="str">
        <x:v>dense</x:v>
      </x:c>
      <x:c r="C272" s="88" t="n">
        <x:v>2</x:v>
      </x:c>
      <x:c r="D272" s="65" t="str">
        <x:v>jakarta-policy-implementation</x:v>
      </x:c>
      <x:c r="E272" s="65" t="str">
        <x:v>jakarta-policy-implementation:structure:1</x:v>
      </x:c>
      <x:c r="F272" s="65" t="str">
        <x:v>p.2</x:v>
      </x:c>
      <x:c r="G272" s="92" t="n">
        <x:v>0.17884579</x:v>
      </x:c>
      <x:c r="H272" s="65" t="str">
        <x:v>Why rules can coexist with poor air: implementation evidence</x:v>
      </x:c>
      <x:c r="I272" s="65" t="str">
        <x:v>Pemerintah Provinsi DKI Jakarta; Dinas Lingkungan Hidup DKI Jakarta; Mahkamah Agung</x:v>
      </x:c>
      <x:c r="J272"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272" s="65" t="str">
        <x:v>https://www.jakarta.go.id/siaran-pers/4802-SP-HMS-06-2024</x:v>
      </x:c>
      <x:c r="L272" s="65" t="n">
        <x:v>0</x:v>
      </x:c>
      <x:c r="M272" s="65" t="str">
        <x:v>Machine-suggested near-miss; human review required.</x:v>
      </x:c>
    </x:row>
    <x:row r="273" ht="42" customHeight="1">
      <x:c r="A273" s="65" t="str">
        <x:v>gold30-014</x:v>
      </x:c>
      <x:c r="B273" s="65" t="str">
        <x:v>dense</x:v>
      </x:c>
      <x:c r="C273" s="88" t="n">
        <x:v>3</x:v>
      </x:c>
      <x:c r="D273" s="65" t="str">
        <x:v>jakarta-emission-testing</x:v>
      </x:c>
      <x:c r="E273" s="65" t="str">
        <x:v>jakarta-emission-testing:structure:0</x:v>
      </x:c>
      <x:c r="F273" s="65" t="str">
        <x:v>p.1</x:v>
      </x:c>
      <x:c r="G273" s="92" t="n">
        <x:v>0.17001521</x:v>
      </x:c>
      <x:c r="H273" s="65" t="str">
        <x:v>Jakarta vehicle-emissions testing obligation</x:v>
      </x:c>
      <x:c r="I273" s="65" t="str">
        <x:v>Dinas Lingkungan Hidup DKI Jakarta</x:v>
      </x:c>
      <x:c r="J273" s="65" t="str">
        <x:v>Published: page accessed 2026-09-07 (FAQ date not stated) Status as of: 2026-09-07; Pergub 66/2020 is listed as berlaku Document type: official_faq Tags: topic=regulation-implementation; audience=vehicle-owner; action=compliance</x:v>
      </x:c>
      <x:c r="K273" s="65" t="str">
        <x:v>https://lingkunganhidup.jakarta.go.id/faq/ujiemisi</x:v>
      </x:c>
      <x:c r="L273" s="65" t="n">
        <x:v>3</x:v>
      </x:c>
      <x:c r="M273" s="65" t="str">
        <x:v>Expected source for this question.</x:v>
      </x:c>
    </x:row>
    <x:row r="274" ht="42" customHeight="1">
      <x:c r="A274" s="65" t="str">
        <x:v>gold30-014</x:v>
      </x:c>
      <x:c r="B274" s="65" t="str">
        <x:v>dense</x:v>
      </x:c>
      <x:c r="C274" s="88" t="n">
        <x:v>4</x:v>
      </x:c>
      <x:c r="D274" s="65" t="str">
        <x:v>pp-22-2021-air-quality</x:v>
      </x:c>
      <x:c r="E274" s="65" t="str">
        <x:v>pp-22-2021-air-quality:structure:0</x:v>
      </x:c>
      <x:c r="F274" s="65" t="str">
        <x:v>p.1</x:v>
      </x:c>
      <x:c r="G274" s="92" t="n">
        <x:v>0.16462072</x:v>
      </x:c>
      <x:c r="H274" s="65" t="str">
        <x:v>PP No. 22 Tahun 2021 — environmental protection and ambient air quality</x:v>
      </x:c>
      <x:c r="I274" s="65" t="str">
        <x:v>Pemerintah Republik Indonesia / Database Peraturan BPK</x:v>
      </x:c>
      <x:c r="J274"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274" s="65" t="str">
        <x:v>https://peraturan.bpk.go.id/Details/161852/pp-no-22tahun-2021</x:v>
      </x:c>
      <x:c r="L274" s="65" t="n">
        <x:v>0</x:v>
      </x:c>
      <x:c r="M274" s="65" t="str">
        <x:v>Machine-suggested near-miss; human review required.</x:v>
      </x:c>
    </x:row>
    <x:row r="275" ht="42" customHeight="1">
      <x:c r="A275" s="65" t="str">
        <x:v>gold30-014</x:v>
      </x:c>
      <x:c r="B275" s="65" t="str">
        <x:v>dense</x:v>
      </x:c>
      <x:c r="C275" s="88" t="n">
        <x:v>5</x:v>
      </x:c>
      <x:c r="D275" s="65" t="str">
        <x:v>jakarta-regulations</x:v>
      </x:c>
      <x:c r="E275" s="65" t="str">
        <x:v>jakarta-regulations:structure:0</x:v>
      </x:c>
      <x:c r="F275" s="65" t="str">
        <x:v>p.1</x:v>
      </x:c>
      <x:c r="G275" s="92" t="n">
        <x:v>0.16412113</x:v>
      </x:c>
      <x:c r="H275" s="65" t="str">
        <x:v>Jakarta and Indonesian air-quality regulations</x:v>
      </x:c>
      <x:c r="I275" s="65" t="str">
        <x:v>JDIH DKI Jakarta / Government of Indonesia</x:v>
      </x:c>
      <x:c r="J275"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275" s="65" t="str">
        <x:v>https://udara.jakarta.go.id/regulasi</x:v>
      </x:c>
      <x:c r="L275" s="65" t="n">
        <x:v>0</x:v>
      </x:c>
      <x:c r="M275" s="65" t="str">
        <x:v>Machine-suggested near-miss; human review required.</x:v>
      </x:c>
    </x:row>
    <x:row r="276" ht="42" customHeight="1">
      <x:c r="A276" s="65" t="str">
        <x:v>gold30-014</x:v>
      </x:c>
      <x:c r="B276" s="65" t="str">
        <x:v>hybrid</x:v>
      </x:c>
      <x:c r="C276" s="88" t="n">
        <x:v>1</x:v>
      </x:c>
      <x:c r="D276" s="65" t="str">
        <x:v>pergub-66-2020-vehicle-testing</x:v>
      </x:c>
      <x:c r="E276" s="65" t="str">
        <x:v>pergub-66-2020-vehicle-testing:structure:0</x:v>
      </x:c>
      <x:c r="F276" s="65" t="str">
        <x:v>p.1</x:v>
      </x:c>
      <x:c r="G276" s="92" t="n">
        <x:v>0.03259433</x:v>
      </x:c>
      <x:c r="H276" s="65" t="str">
        <x:v>Pergub DKI Jakarta No. 66 Tahun 2020 — motor-vehicle emission testing</x:v>
      </x:c>
      <x:c r="I276" s="65" t="str">
        <x:v>Pemerintah Provinsi DKI Jakarta / Database Peraturan BPK</x:v>
      </x:c>
      <x:c r="J276" s="65" t="str">
        <x:v>Peraturan Gubernur Provinsi DKI Jakarta Nomor 66 Tahun 2020 is titled Uji Emisi Gas Buang Kendaraan Bermotor. The BPK record gives the adoption date as 22 July 2020, promulgation date as 24 July 2020, and effective date as 24 December 2020.</x:v>
      </x:c>
      <x:c r="K276" s="65" t="str">
        <x:v>https://peraturan.bpk.go.id/Details/153923/pergub-prov-dki-jakarta-no-66-tahun-2020</x:v>
      </x:c>
      <x:c r="L276" s="65" t="n">
        <x:v>3</x:v>
      </x:c>
      <x:c r="M276" s="65" t="str">
        <x:v>Expected source for this question.</x:v>
      </x:c>
    </x:row>
    <x:row r="277" ht="42" customHeight="1">
      <x:c r="A277" s="65" t="str">
        <x:v>gold30-014</x:v>
      </x:c>
      <x:c r="B277" s="65" t="str">
        <x:v>hybrid</x:v>
      </x:c>
      <x:c r="C277" s="88" t="n">
        <x:v>2</x:v>
      </x:c>
      <x:c r="D277" s="65" t="str">
        <x:v>jakarta-emission-testing</x:v>
      </x:c>
      <x:c r="E277" s="65" t="str">
        <x:v>jakarta-emission-testing:structure:0</x:v>
      </x:c>
      <x:c r="F277" s="65" t="str">
        <x:v>p.1</x:v>
      </x:c>
      <x:c r="G277" s="92" t="n">
        <x:v>0.03258392</x:v>
      </x:c>
      <x:c r="H277" s="65" t="str">
        <x:v>Jakarta vehicle-emissions testing obligation</x:v>
      </x:c>
      <x:c r="I277" s="65" t="str">
        <x:v>Dinas Lingkungan Hidup DKI Jakarta</x:v>
      </x:c>
      <x:c r="J277" s="65" t="str">
        <x:v>Published: page accessed 2026-09-07 (FAQ date not stated) Status as of: 2026-09-07; Pergub 66/2020 is listed as berlaku Document type: official_faq Tags: topic=regulation-implementation; audience=vehicle-owner; action=compliance</x:v>
      </x:c>
      <x:c r="K277" s="65" t="str">
        <x:v>https://lingkunganhidup.jakarta.go.id/faq/ujiemisi</x:v>
      </x:c>
      <x:c r="L277" s="65" t="n">
        <x:v>3</x:v>
      </x:c>
      <x:c r="M277" s="65" t="str">
        <x:v>Expected source for this question.</x:v>
      </x:c>
    </x:row>
    <x:row r="278" ht="42" customHeight="1">
      <x:c r="A278" s="65" t="str">
        <x:v>gold30-014</x:v>
      </x:c>
      <x:c r="B278" s="65" t="str">
        <x:v>hybrid</x:v>
      </x:c>
      <x:c r="C278" s="88" t="n">
        <x:v>3</x:v>
      </x:c>
      <x:c r="D278" s="65" t="str">
        <x:v>jakarta-policy-implementation</x:v>
      </x:c>
      <x:c r="E278" s="65" t="str">
        <x:v>jakarta-policy-implementation:structure:1</x:v>
      </x:c>
      <x:c r="F278" s="65" t="str">
        <x:v>p.2</x:v>
      </x:c>
      <x:c r="G278" s="92" t="n">
        <x:v>0.03258065</x:v>
      </x:c>
      <x:c r="H278" s="65" t="str">
        <x:v>Why rules can coexist with poor air: implementation evidence</x:v>
      </x:c>
      <x:c r="I278" s="65" t="str">
        <x:v>Pemerintah Provinsi DKI Jakarta; Dinas Lingkungan Hidup DKI Jakarta; Mahkamah Agung</x:v>
      </x:c>
      <x:c r="J278"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278" s="65" t="str">
        <x:v>https://www.jakarta.go.id/siaran-pers/4802-SP-HMS-06-2024</x:v>
      </x:c>
      <x:c r="L278" s="65" t="n">
        <x:v>0</x:v>
      </x:c>
      <x:c r="M278" s="65" t="str">
        <x:v>Machine-suggested near-miss; human review required.</x:v>
      </x:c>
    </x:row>
    <x:row r="279" ht="42" customHeight="1">
      <x:c r="A279" s="65" t="str">
        <x:v>gold30-014</x:v>
      </x:c>
      <x:c r="B279" s="65" t="str">
        <x:v>hybrid</x:v>
      </x:c>
      <x:c r="C279" s="88" t="n">
        <x:v>4</x:v>
      </x:c>
      <x:c r="D279" s="65" t="str">
        <x:v>jakarta-regulations</x:v>
      </x:c>
      <x:c r="E279" s="65" t="str">
        <x:v>jakarta-regulations:structure:0</x:v>
      </x:c>
      <x:c r="F279" s="65" t="str">
        <x:v>p.1</x:v>
      </x:c>
      <x:c r="G279" s="92" t="n">
        <x:v>0.03131731</x:v>
      </x:c>
      <x:c r="H279" s="65" t="str">
        <x:v>Jakarta and Indonesian air-quality regulations</x:v>
      </x:c>
      <x:c r="I279" s="65" t="str">
        <x:v>JDIH DKI Jakarta / Government of Indonesia</x:v>
      </x:c>
      <x:c r="J279"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279" s="65" t="str">
        <x:v>https://udara.jakarta.go.id/regulasi</x:v>
      </x:c>
      <x:c r="L279" s="65" t="n">
        <x:v>0</x:v>
      </x:c>
      <x:c r="M279" s="65" t="str">
        <x:v>Machine-suggested near-miss; human review required.</x:v>
      </x:c>
    </x:row>
    <x:row r="280" ht="42" customHeight="1">
      <x:c r="A280" s="65" t="str">
        <x:v>gold30-014</x:v>
      </x:c>
      <x:c r="B280" s="65" t="str">
        <x:v>hybrid</x:v>
      </x:c>
      <x:c r="C280" s="88" t="n">
        <x:v>5</x:v>
      </x:c>
      <x:c r="D280" s="65" t="str">
        <x:v>pp-22-2021-air-quality</x:v>
      </x:c>
      <x:c r="E280" s="65" t="str">
        <x:v>pp-22-2021-air-quality:structure:0</x:v>
      </x:c>
      <x:c r="F280" s="65" t="str">
        <x:v>p.1</x:v>
      </x:c>
      <x:c r="G280" s="92" t="n">
        <x:v>0.03043025</x:v>
      </x:c>
      <x:c r="H280" s="65" t="str">
        <x:v>PP No. 22 Tahun 2021 — environmental protection and ambient air quality</x:v>
      </x:c>
      <x:c r="I280" s="65" t="str">
        <x:v>Pemerintah Republik Indonesia / Database Peraturan BPK</x:v>
      </x:c>
      <x:c r="J280"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280" s="65" t="str">
        <x:v>https://peraturan.bpk.go.id/Details/161852/pp-no-22tahun-2021</x:v>
      </x:c>
      <x:c r="L280" s="65" t="n">
        <x:v>0</x:v>
      </x:c>
      <x:c r="M280" s="65" t="str">
        <x:v>Machine-suggested near-miss; human review required.</x:v>
      </x:c>
    </x:row>
    <x:row r="281" ht="42" customHeight="1">
      <x:c r="A281" s="65" t="str">
        <x:v>gold30-014</x:v>
      </x:c>
      <x:c r="B281" s="65" t="str">
        <x:v>hybrid_rerank</x:v>
      </x:c>
      <x:c r="C281" s="88" t="n">
        <x:v>1</x:v>
      </x:c>
      <x:c r="D281" s="65" t="str">
        <x:v>pergub-66-2020-vehicle-testing</x:v>
      </x:c>
      <x:c r="E281" s="65" t="str">
        <x:v>pergub-66-2020-vehicle-testing:structure:0</x:v>
      </x:c>
      <x:c r="F281" s="65" t="str">
        <x:v>p.1</x:v>
      </x:c>
      <x:c r="G281" s="92" t="n">
        <x:v>0.32088941</x:v>
      </x:c>
      <x:c r="H281" s="65" t="str">
        <x:v>Pergub DKI Jakarta No. 66 Tahun 2020 — motor-vehicle emission testing</x:v>
      </x:c>
      <x:c r="I281" s="65" t="str">
        <x:v>Pemerintah Provinsi DKI Jakarta / Database Peraturan BPK</x:v>
      </x:c>
      <x:c r="J281" s="65" t="str">
        <x:v>Peraturan Gubernur Provinsi DKI Jakarta Nomor 66 Tahun 2020 is titled Uji Emisi Gas Buang Kendaraan Bermotor. The BPK record gives the adoption date as 22 July 2020, promulgation date as 24 July 2020, and effective date as 24 December 2020.</x:v>
      </x:c>
      <x:c r="K281" s="65" t="str">
        <x:v>https://peraturan.bpk.go.id/Details/153923/pergub-prov-dki-jakarta-no-66-tahun-2020</x:v>
      </x:c>
      <x:c r="L281" s="65" t="n">
        <x:v>3</x:v>
      </x:c>
      <x:c r="M281" s="65" t="str">
        <x:v>Expected source for this question.</x:v>
      </x:c>
    </x:row>
    <x:row r="282" ht="42" customHeight="1">
      <x:c r="A282" s="65" t="str">
        <x:v>gold30-014</x:v>
      </x:c>
      <x:c r="B282" s="65" t="str">
        <x:v>hybrid_rerank</x:v>
      </x:c>
      <x:c r="C282" s="88" t="n">
        <x:v>2</x:v>
      </x:c>
      <x:c r="D282" s="65" t="str">
        <x:v>jakarta-emission-testing</x:v>
      </x:c>
      <x:c r="E282" s="65" t="str">
        <x:v>jakarta-emission-testing:structure:0</x:v>
      </x:c>
      <x:c r="F282" s="65" t="str">
        <x:v>p.1</x:v>
      </x:c>
      <x:c r="G282" s="92" t="n">
        <x:v>0.32088629</x:v>
      </x:c>
      <x:c r="H282" s="65" t="str">
        <x:v>Jakarta vehicle-emissions testing obligation</x:v>
      </x:c>
      <x:c r="I282" s="65" t="str">
        <x:v>Dinas Lingkungan Hidup DKI Jakarta</x:v>
      </x:c>
      <x:c r="J282" s="65" t="str">
        <x:v>Published: page accessed 2026-09-07 (FAQ date not stated) Status as of: 2026-09-07; Pergub 66/2020 is listed as berlaku Document type: official_faq Tags: topic=regulation-implementation; audience=vehicle-owner; action=compliance</x:v>
      </x:c>
      <x:c r="K282" s="65" t="str">
        <x:v>https://lingkunganhidup.jakarta.go.id/faq/ujiemisi</x:v>
      </x:c>
      <x:c r="L282" s="65" t="n">
        <x:v>3</x:v>
      </x:c>
      <x:c r="M282" s="65" t="str">
        <x:v>Expected source for this question.</x:v>
      </x:c>
    </x:row>
    <x:row r="283" ht="42" customHeight="1">
      <x:c r="A283" s="65" t="str">
        <x:v>gold30-014</x:v>
      </x:c>
      <x:c r="B283" s="65" t="str">
        <x:v>hybrid_rerank</x:v>
      </x:c>
      <x:c r="C283" s="88" t="n">
        <x:v>3</x:v>
      </x:c>
      <x:c r="D283" s="65" t="str">
        <x:v>jakarta-policy-implementation</x:v>
      </x:c>
      <x:c r="E283" s="65" t="str">
        <x:v>jakarta-policy-implementation:structure:1</x:v>
      </x:c>
      <x:c r="F283" s="65" t="str">
        <x:v>p.2</x:v>
      </x:c>
      <x:c r="G283" s="92" t="n">
        <x:v>0.3208853</x:v>
      </x:c>
      <x:c r="H283" s="65" t="str">
        <x:v>Why rules can coexist with poor air: implementation evidence</x:v>
      </x:c>
      <x:c r="I283" s="65" t="str">
        <x:v>Pemerintah Provinsi DKI Jakarta; Dinas Lingkungan Hidup DKI Jakarta; Mahkamah Agung</x:v>
      </x:c>
      <x:c r="J283"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283" s="65" t="str">
        <x:v>https://www.jakarta.go.id/siaran-pers/4802-SP-HMS-06-2024</x:v>
      </x:c>
      <x:c r="L283" s="65" t="n">
        <x:v>0</x:v>
      </x:c>
      <x:c r="M283" s="65" t="str">
        <x:v>Machine-suggested near-miss; human review required.</x:v>
      </x:c>
    </x:row>
    <x:row r="284" ht="42" customHeight="1">
      <x:c r="A284" s="65" t="str">
        <x:v>gold30-014</x:v>
      </x:c>
      <x:c r="B284" s="65" t="str">
        <x:v>hybrid_rerank</x:v>
      </x:c>
      <x:c r="C284" s="88" t="n">
        <x:v>4</x:v>
      </x:c>
      <x:c r="D284" s="65" t="str">
        <x:v>jakarta-regulations</x:v>
      </x:c>
      <x:c r="E284" s="65" t="str">
        <x:v>jakarta-regulations:structure:0</x:v>
      </x:c>
      <x:c r="F284" s="65" t="str">
        <x:v>p.1</x:v>
      </x:c>
      <x:c r="G284" s="92" t="n">
        <x:v>0.24272853</x:v>
      </x:c>
      <x:c r="H284" s="65" t="str">
        <x:v>Jakarta and Indonesian air-quality regulations</x:v>
      </x:c>
      <x:c r="I284" s="65" t="str">
        <x:v>JDIH DKI Jakarta / Government of Indonesia</x:v>
      </x:c>
      <x:c r="J284"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284" s="65" t="str">
        <x:v>https://udara.jakarta.go.id/regulasi</x:v>
      </x:c>
      <x:c r="L284" s="65" t="n">
        <x:v>0</x:v>
      </x:c>
      <x:c r="M284" s="65" t="str">
        <x:v>Machine-suggested near-miss; human review required.</x:v>
      </x:c>
    </x:row>
    <x:row r="285" ht="42" customHeight="1">
      <x:c r="A285" s="65" t="str">
        <x:v>gold30-014</x:v>
      </x:c>
      <x:c r="B285" s="65" t="str">
        <x:v>hybrid_rerank</x:v>
      </x:c>
      <x:c r="C285" s="88" t="n">
        <x:v>5</x:v>
      </x:c>
      <x:c r="D285" s="65" t="str">
        <x:v>pp-22-2021-air-quality</x:v>
      </x:c>
      <x:c r="E285" s="65" t="str">
        <x:v>pp-22-2021-air-quality:structure:0</x:v>
      </x:c>
      <x:c r="F285" s="65" t="str">
        <x:v>p.1</x:v>
      </x:c>
      <x:c r="G285" s="92" t="n">
        <x:v>0.08690685</x:v>
      </x:c>
      <x:c r="H285" s="65" t="str">
        <x:v>PP No. 22 Tahun 2021 — environmental protection and ambient air quality</x:v>
      </x:c>
      <x:c r="I285" s="65" t="str">
        <x:v>Pemerintah Republik Indonesia / Database Peraturan BPK</x:v>
      </x:c>
      <x:c r="J285"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285" s="65" t="str">
        <x:v>https://peraturan.bpk.go.id/Details/161852/pp-no-22tahun-2021</x:v>
      </x:c>
      <x:c r="L285" s="65" t="n">
        <x:v>0</x:v>
      </x:c>
      <x:c r="M285" s="65" t="str">
        <x:v>Machine-suggested near-miss; human review required.</x:v>
      </x:c>
    </x:row>
    <x:row r="286" ht="42" customHeight="1">
      <x:c r="A286" s="65" t="str">
        <x:v>gold30-015</x:v>
      </x:c>
      <x:c r="B286" s="65" t="str">
        <x:v>bm25</x:v>
      </x:c>
      <x:c r="C286" s="88" t="n">
        <x:v>1</x:v>
      </x:c>
      <x:c r="D286" s="65" t="str">
        <x:v>permen-lhk-8-2023-vehicle-emissions</x:v>
      </x:c>
      <x:c r="E286" s="65" t="str">
        <x:v>permen-lhk-8-2023-vehicle-emissions:structure:0</x:v>
      </x:c>
      <x:c r="F286" s="65" t="str">
        <x:v>p.1</x:v>
      </x:c>
      <x:c r="G286" s="92" t="n">
        <x:v>0.875</x:v>
      </x:c>
      <x:c r="H286" s="65" t="str">
        <x:v>Permen LHK No. 8 Tahun 2023 — vehicle emission standards and testing</x:v>
      </x:c>
      <x:c r="I286" s="65" t="str">
        <x:v>Kementerian Lingkungan Hidup dan Kehutanan / Database Peraturan BPK</x:v>
      </x:c>
      <x:c r="J286"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286" s="65" t="str">
        <x:v>https://peraturan.bpk.go.id/Details/262504/permen-lhk-no-8-tahun-2023</x:v>
      </x:c>
      <x:c r="L286" s="65" t="n">
        <x:v>3</x:v>
      </x:c>
      <x:c r="M286" s="65" t="str">
        <x:v>Expected source for this question.</x:v>
      </x:c>
    </x:row>
    <x:row r="287" ht="42" customHeight="1">
      <x:c r="A287" s="65" t="str">
        <x:v>gold30-015</x:v>
      </x:c>
      <x:c r="B287" s="65" t="str">
        <x:v>bm25</x:v>
      </x:c>
      <x:c r="C287" s="88" t="n">
        <x:v>2</x:v>
      </x:c>
      <x:c r="D287" s="65" t="str">
        <x:v>jakarta-regulations</x:v>
      </x:c>
      <x:c r="E287" s="65" t="str">
        <x:v>jakarta-regulations:structure:0</x:v>
      </x:c>
      <x:c r="F287" s="65" t="str">
        <x:v>p.1</x:v>
      </x:c>
      <x:c r="G287" s="92" t="n">
        <x:v>0.5</x:v>
      </x:c>
      <x:c r="H287" s="65" t="str">
        <x:v>Jakarta and Indonesian air-quality regulations</x:v>
      </x:c>
      <x:c r="I287" s="65" t="str">
        <x:v>JDIH DKI Jakarta / Government of Indonesia</x:v>
      </x:c>
      <x:c r="J287"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287" s="65" t="str">
        <x:v>https://udara.jakarta.go.id/regulasi</x:v>
      </x:c>
      <x:c r="L287" s="65" t="n">
        <x:v>0</x:v>
      </x:c>
      <x:c r="M287" s="65" t="str">
        <x:v>Machine-suggested near-miss; human review required.</x:v>
      </x:c>
    </x:row>
    <x:row r="288" ht="42" customHeight="1">
      <x:c r="A288" s="65" t="str">
        <x:v>gold30-015</x:v>
      </x:c>
      <x:c r="B288" s="65" t="str">
        <x:v>bm25</x:v>
      </x:c>
      <x:c r="C288" s="88" t="n">
        <x:v>3</x:v>
      </x:c>
      <x:c r="D288" s="65" t="str">
        <x:v>ispu</x:v>
      </x:c>
      <x:c r="E288" s="65" t="str">
        <x:v>ispu:structure:0</x:v>
      </x:c>
      <x:c r="F288" s="65" t="str">
        <x:v>p.1</x:v>
      </x:c>
      <x:c r="G288" s="92" t="n">
        <x:v>0.375</x:v>
      </x:c>
      <x:c r="H288" s="65" t="str">
        <x:v>Indonesian ISPU categories</x:v>
      </x:c>
      <x:c r="I288" s="65" t="str">
        <x:v>Ministry of Environment and Forestry</x:v>
      </x:c>
      <x:c r="J288" s="65" t="str">
        <x:v>The Indonesian ISPU categories used in this demo are Baik (1-50), Sedang (51-100), Tidak Sehat (101-200), Sangat Tidak Sehat (201-300), and Berbahaya (301 or higher). ISPU is an index without a physical concentration unit.</x:v>
      </x:c>
      <x:c r="K288" s="65" t="str">
        <x:v>https://peraturan.bpk.go.id/Details/163466/permen-lhk-no-14-tahun-2020</x:v>
      </x:c>
      <x:c r="L288" s="65" t="n">
        <x:v>0</x:v>
      </x:c>
      <x:c r="M288" s="65" t="str">
        <x:v>Machine-suggested near-miss; human review required.</x:v>
      </x:c>
    </x:row>
    <x:row r="289" ht="42" customHeight="1">
      <x:c r="A289" s="65" t="str">
        <x:v>gold30-015</x:v>
      </x:c>
      <x:c r="B289" s="65" t="str">
        <x:v>bm25</x:v>
      </x:c>
      <x:c r="C289" s="88" t="n">
        <x:v>4</x:v>
      </x:c>
      <x:c r="D289" s="65" t="str">
        <x:v>jakarta-policy-implementation</x:v>
      </x:c>
      <x:c r="E289" s="65" t="str">
        <x:v>jakarta-policy-implementation:structure:1</x:v>
      </x:c>
      <x:c r="F289" s="65" t="str">
        <x:v>p.2</x:v>
      </x:c>
      <x:c r="G289" s="92" t="n">
        <x:v>0.375</x:v>
      </x:c>
      <x:c r="H289" s="65" t="str">
        <x:v>Why rules can coexist with poor air: implementation evidence</x:v>
      </x:c>
      <x:c r="I289" s="65" t="str">
        <x:v>Pemerintah Provinsi DKI Jakarta; Dinas Lingkungan Hidup DKI Jakarta; Mahkamah Agung</x:v>
      </x:c>
      <x:c r="J289"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289" s="65" t="str">
        <x:v>https://www.jakarta.go.id/siaran-pers/4802-SP-HMS-06-2024</x:v>
      </x:c>
      <x:c r="L289" s="65" t="n">
        <x:v>0</x:v>
      </x:c>
      <x:c r="M289" s="65" t="str">
        <x:v>Machine-suggested near-miss; human review required.</x:v>
      </x:c>
    </x:row>
    <x:row r="290" ht="42" customHeight="1">
      <x:c r="A290" s="65" t="str">
        <x:v>gold30-015</x:v>
      </x:c>
      <x:c r="B290" s="65" t="str">
        <x:v>bm25</x:v>
      </x:c>
      <x:c r="C290" s="88" t="n">
        <x:v>5</x:v>
      </x:c>
      <x:c r="D290" s="65" t="str">
        <x:v>jakarta-cems-monitoring</x:v>
      </x:c>
      <x:c r="E290" s="65" t="str">
        <x:v>jakarta-cems-monitoring:structure:1</x:v>
      </x:c>
      <x:c r="F290" s="65" t="str">
        <x:v>p.2</x:v>
      </x:c>
      <x:c r="G290" s="92" t="n">
        <x:v>0.25</x:v>
      </x:c>
      <x:c r="H290" s="65" t="str">
        <x:v>Stationary-source emissions monitoring (CEMS)</x:v>
      </x:c>
      <x:c r="I290" s="65" t="str">
        <x:v>Dinas Lingkungan Hidup DKI Jakarta</x:v>
      </x:c>
      <x:c r="J290" s="65" t="str">
        <x:v>DLH describes continuous emissions monitoring systems (CEMS) as a way to measure and calculate emissions released from stacks in near real time. Its public monitoring page lists operational-control and evaluation reports for stationary sources for 2020, 2021, 2022, 2023, and 202…</x:v>
      </x:c>
      <x:c r="K290" s="65" t="str">
        <x:v>https://lingkunganhidup.jakarta.go.id/publikasi/monitoring_emisi</x:v>
      </x:c>
      <x:c r="L290" s="65" t="n">
        <x:v>0</x:v>
      </x:c>
      <x:c r="M290" s="65" t="str">
        <x:v>Machine-suggested near-miss; human review required.</x:v>
      </x:c>
    </x:row>
    <x:row r="291" ht="42" customHeight="1">
      <x:c r="A291" s="65" t="str">
        <x:v>gold30-015</x:v>
      </x:c>
      <x:c r="B291" s="65" t="str">
        <x:v>dense</x:v>
      </x:c>
      <x:c r="C291" s="88" t="n">
        <x:v>1</x:v>
      </x:c>
      <x:c r="D291" s="65" t="str">
        <x:v>permen-lhk-8-2023-vehicle-emissions</x:v>
      </x:c>
      <x:c r="E291" s="65" t="str">
        <x:v>permen-lhk-8-2023-vehicle-emissions:structure:0</x:v>
      </x:c>
      <x:c r="F291" s="65" t="str">
        <x:v>p.1</x:v>
      </x:c>
      <x:c r="G291" s="92" t="n">
        <x:v>0.3586878</x:v>
      </x:c>
      <x:c r="H291" s="65" t="str">
        <x:v>Permen LHK No. 8 Tahun 2023 — vehicle emission standards and testing</x:v>
      </x:c>
      <x:c r="I291" s="65" t="str">
        <x:v>Kementerian Lingkungan Hidup dan Kehutanan / Database Peraturan BPK</x:v>
      </x:c>
      <x:c r="J291"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291" s="65" t="str">
        <x:v>https://peraturan.bpk.go.id/Details/262504/permen-lhk-no-8-tahun-2023</x:v>
      </x:c>
      <x:c r="L291" s="65" t="n">
        <x:v>3</x:v>
      </x:c>
      <x:c r="M291" s="65" t="str">
        <x:v>Expected source for this question.</x:v>
      </x:c>
    </x:row>
    <x:row r="292" ht="42" customHeight="1">
      <x:c r="A292" s="65" t="str">
        <x:v>gold30-015</x:v>
      </x:c>
      <x:c r="B292" s="65" t="str">
        <x:v>dense</x:v>
      </x:c>
      <x:c r="C292" s="88" t="n">
        <x:v>2</x:v>
      </x:c>
      <x:c r="D292" s="65" t="str">
        <x:v>permen-lhk-13-2021-cems</x:v>
      </x:c>
      <x:c r="E292" s="65" t="str">
        <x:v>permen-lhk-13-2021-cems:structure:0</x:v>
      </x:c>
      <x:c r="F292" s="65" t="str">
        <x:v>p.1</x:v>
      </x:c>
      <x:c r="G292" s="92" t="n">
        <x:v>0.2713339</x:v>
      </x:c>
      <x:c r="H292" s="65" t="str">
        <x:v>Permen LHK No. 13 Tahun 2021 — CEMS connectivity and emission monitoring</x:v>
      </x:c>
      <x:c r="I292" s="65" t="str">
        <x:v>Kementerian Lingkungan Hidup dan Kehutanan / Database Peraturan BPK</x:v>
      </x:c>
      <x:c r="J292" s="65" t="str">
        <x:v>The official BPK download URL identifies a 2021 Ministerial Environment and Forestry regulation. The PDF search extract exposes a CEMS connectivity test table with fields for stack code, emission source, CEMS brand, parameters and pass/fail connectivity result.</x:v>
      </x:c>
      <x:c r="K292" s="65" t="str">
        <x:v>https://peraturan.bpk.go.id/Download/288590/Permen%20LHK%20Nomor%2013%20Tahun%202021.pdf</x:v>
      </x:c>
      <x:c r="L292" s="65" t="n">
        <x:v>0</x:v>
      </x:c>
      <x:c r="M292" s="65" t="str">
        <x:v>Machine-suggested near-miss; human review required.</x:v>
      </x:c>
    </x:row>
    <x:row r="293" ht="42" customHeight="1">
      <x:c r="A293" s="65" t="str">
        <x:v>gold30-015</x:v>
      </x:c>
      <x:c r="B293" s="65" t="str">
        <x:v>dense</x:v>
      </x:c>
      <x:c r="C293" s="88" t="n">
        <x:v>3</x:v>
      </x:c>
      <x:c r="D293" s="65" t="str">
        <x:v>pergub-66-2020-vehicle-testing</x:v>
      </x:c>
      <x:c r="E293" s="65" t="str">
        <x:v>pergub-66-2020-vehicle-testing:structure:2</x:v>
      </x:c>
      <x:c r="F293" s="65" t="str">
        <x:v>p.3</x:v>
      </x:c>
      <x:c r="G293" s="92" t="n">
        <x:v>0.24244731</x:v>
      </x:c>
      <x:c r="H293" s="65" t="str">
        <x:v>Pergub DKI Jakarta No. 66 Tahun 2020 — motor-vehicle emission testing</x:v>
      </x:c>
      <x:c r="I293" s="65" t="str">
        <x:v>Pemerintah Provinsi DKI Jakarta / Database Peraturan BPK</x:v>
      </x:c>
      <x:c r="J293" s="65" t="str">
        <x:v>The abstract says the regulation governs emission testing and exhaust gas by every motor-vehicle owner, together with inspection, supervision and control by the emission-test team. Its delayed effective date is six months after promulgation, rather than the promulgation date its…</x:v>
      </x:c>
      <x:c r="K293" s="65" t="str">
        <x:v>https://peraturan.bpk.go.id/Details/153923/pergub-prov-dki-jakarta-no-66-tahun-2020</x:v>
      </x:c>
      <x:c r="L293" s="65" t="n">
        <x:v>0</x:v>
      </x:c>
      <x:c r="M293" s="65" t="str">
        <x:v>Machine-suggested near-miss; human review required.</x:v>
      </x:c>
    </x:row>
    <x:row r="294" ht="42" customHeight="1">
      <x:c r="A294" s="65" t="str">
        <x:v>gold30-015</x:v>
      </x:c>
      <x:c r="B294" s="65" t="str">
        <x:v>dense</x:v>
      </x:c>
      <x:c r="C294" s="88" t="n">
        <x:v>4</x:v>
      </x:c>
      <x:c r="D294" s="65" t="str">
        <x:v>ispu</x:v>
      </x:c>
      <x:c r="E294" s="65" t="str">
        <x:v>ispu:structure:0</x:v>
      </x:c>
      <x:c r="F294" s="65" t="str">
        <x:v>p.1</x:v>
      </x:c>
      <x:c r="G294" s="92" t="n">
        <x:v>0.24124473</x:v>
      </x:c>
      <x:c r="H294" s="65" t="str">
        <x:v>Indonesian ISPU categories</x:v>
      </x:c>
      <x:c r="I294" s="65" t="str">
        <x:v>Ministry of Environment and Forestry</x:v>
      </x:c>
      <x:c r="J294" s="65" t="str">
        <x:v>The Indonesian ISPU categories used in this demo are Baik (1-50), Sedang (51-100), Tidak Sehat (101-200), Sangat Tidak Sehat (201-300), and Berbahaya (301 or higher). ISPU is an index without a physical concentration unit.</x:v>
      </x:c>
      <x:c r="K294" s="65" t="str">
        <x:v>https://peraturan.bpk.go.id/Details/163466/permen-lhk-no-14-tahun-2020</x:v>
      </x:c>
      <x:c r="L294" s="65" t="n">
        <x:v>0</x:v>
      </x:c>
      <x:c r="M294" s="65" t="str">
        <x:v>Machine-suggested near-miss; human review required.</x:v>
      </x:c>
    </x:row>
    <x:row r="295" ht="42" customHeight="1">
      <x:c r="A295" s="65" t="str">
        <x:v>gold30-015</x:v>
      </x:c>
      <x:c r="B295" s="65" t="str">
        <x:v>dense</x:v>
      </x:c>
      <x:c r="C295" s="88" t="n">
        <x:v>5</x:v>
      </x:c>
      <x:c r="D295" s="65" t="str">
        <x:v>jakarta-policy-implementation</x:v>
      </x:c>
      <x:c r="E295" s="65" t="str">
        <x:v>jakarta-policy-implementation:structure:1</x:v>
      </x:c>
      <x:c r="F295" s="65" t="str">
        <x:v>p.2</x:v>
      </x:c>
      <x:c r="G295" s="92" t="n">
        <x:v>0.23932482</x:v>
      </x:c>
      <x:c r="H295" s="65" t="str">
        <x:v>Why rules can coexist with poor air: implementation evidence</x:v>
      </x:c>
      <x:c r="I295" s="65" t="str">
        <x:v>Pemerintah Provinsi DKI Jakarta; Dinas Lingkungan Hidup DKI Jakarta; Mahkamah Agung</x:v>
      </x:c>
      <x:c r="J295"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295" s="65" t="str">
        <x:v>https://www.jakarta.go.id/siaran-pers/4802-SP-HMS-06-2024</x:v>
      </x:c>
      <x:c r="L295" s="65" t="n">
        <x:v>0</x:v>
      </x:c>
      <x:c r="M295" s="65" t="str">
        <x:v>Machine-suggested near-miss; human review required.</x:v>
      </x:c>
    </x:row>
    <x:row r="296" ht="42" customHeight="1">
      <x:c r="A296" s="65" t="str">
        <x:v>gold30-015</x:v>
      </x:c>
      <x:c r="B296" s="65" t="str">
        <x:v>hybrid</x:v>
      </x:c>
      <x:c r="C296" s="88" t="n">
        <x:v>1</x:v>
      </x:c>
      <x:c r="D296" s="65" t="str">
        <x:v>permen-lhk-8-2023-vehicle-emissions</x:v>
      </x:c>
      <x:c r="E296" s="65" t="str">
        <x:v>permen-lhk-8-2023-vehicle-emissions:structure:0</x:v>
      </x:c>
      <x:c r="F296" s="65" t="str">
        <x:v>p.1</x:v>
      </x:c>
      <x:c r="G296" s="92" t="n">
        <x:v>0.03311475</x:v>
      </x:c>
      <x:c r="H296" s="65" t="str">
        <x:v>Permen LHK No. 8 Tahun 2023 — vehicle emission standards and testing</x:v>
      </x:c>
      <x:c r="I296" s="65" t="str">
        <x:v>Kementerian Lingkungan Hidup dan Kehutanan / Database Peraturan BPK</x:v>
      </x:c>
      <x:c r="J296"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296" s="65" t="str">
        <x:v>https://peraturan.bpk.go.id/Details/262504/permen-lhk-no-8-tahun-2023</x:v>
      </x:c>
      <x:c r="L296" s="65" t="n">
        <x:v>3</x:v>
      </x:c>
      <x:c r="M296" s="65" t="str">
        <x:v>Expected source for this question.</x:v>
      </x:c>
    </x:row>
    <x:row r="297" ht="42" customHeight="1">
      <x:c r="A297" s="65" t="str">
        <x:v>gold30-015</x:v>
      </x:c>
      <x:c r="B297" s="65" t="str">
        <x:v>hybrid</x:v>
      </x:c>
      <x:c r="C297" s="88" t="n">
        <x:v>2</x:v>
      </x:c>
      <x:c r="D297" s="65" t="str">
        <x:v>ispu</x:v>
      </x:c>
      <x:c r="E297" s="65" t="str">
        <x:v>ispu:structure:0</x:v>
      </x:c>
      <x:c r="F297" s="65" t="str">
        <x:v>p.1</x:v>
      </x:c>
      <x:c r="G297" s="92" t="n">
        <x:v>0.03181052</x:v>
      </x:c>
      <x:c r="H297" s="65" t="str">
        <x:v>Indonesian ISPU categories</x:v>
      </x:c>
      <x:c r="I297" s="65" t="str">
        <x:v>Ministry of Environment and Forestry</x:v>
      </x:c>
      <x:c r="J297" s="65" t="str">
        <x:v>The Indonesian ISPU categories used in this demo are Baik (1-50), Sedang (51-100), Tidak Sehat (101-200), Sangat Tidak Sehat (201-300), and Berbahaya (301 or higher). ISPU is an index without a physical concentration unit.</x:v>
      </x:c>
      <x:c r="K297" s="65" t="str">
        <x:v>https://peraturan.bpk.go.id/Details/163466/permen-lhk-no-14-tahun-2020</x:v>
      </x:c>
      <x:c r="L297" s="65" t="n">
        <x:v>0</x:v>
      </x:c>
      <x:c r="M297" s="65" t="str">
        <x:v>Machine-suggested near-miss; human review required.</x:v>
      </x:c>
    </x:row>
    <x:row r="298" ht="42" customHeight="1">
      <x:c r="A298" s="65" t="str">
        <x:v>gold30-015</x:v>
      </x:c>
      <x:c r="B298" s="65" t="str">
        <x:v>hybrid</x:v>
      </x:c>
      <x:c r="C298" s="88" t="n">
        <x:v>3</x:v>
      </x:c>
      <x:c r="D298" s="65" t="str">
        <x:v>permen-lhk-13-2021-cems</x:v>
      </x:c>
      <x:c r="E298" s="65" t="str">
        <x:v>permen-lhk-13-2021-cems:structure:0</x:v>
      </x:c>
      <x:c r="F298" s="65" t="str">
        <x:v>p.1</x:v>
      </x:c>
      <x:c r="G298" s="92" t="n">
        <x:v>0.03160313</x:v>
      </x:c>
      <x:c r="H298" s="65" t="str">
        <x:v>Permen LHK No. 13 Tahun 2021 — CEMS connectivity and emission monitoring</x:v>
      </x:c>
      <x:c r="I298" s="65" t="str">
        <x:v>Kementerian Lingkungan Hidup dan Kehutanan / Database Peraturan BPK</x:v>
      </x:c>
      <x:c r="J298" s="65" t="str">
        <x:v>The official BPK download URL identifies a 2021 Ministerial Environment and Forestry regulation. The PDF search extract exposes a CEMS connectivity test table with fields for stack code, emission source, CEMS brand, parameters and pass/fail connectivity result.</x:v>
      </x:c>
      <x:c r="K298" s="65" t="str">
        <x:v>https://peraturan.bpk.go.id/Download/288590/Permen%20LHK%20Nomor%2013%20Tahun%202021.pdf</x:v>
      </x:c>
      <x:c r="L298" s="65" t="n">
        <x:v>0</x:v>
      </x:c>
      <x:c r="M298" s="65" t="str">
        <x:v>Machine-suggested near-miss; human review required.</x:v>
      </x:c>
    </x:row>
    <x:row r="299" ht="42" customHeight="1">
      <x:c r="A299" s="65" t="str">
        <x:v>gold30-015</x:v>
      </x:c>
      <x:c r="B299" s="65" t="str">
        <x:v>hybrid</x:v>
      </x:c>
      <x:c r="C299" s="88" t="n">
        <x:v>4</x:v>
      </x:c>
      <x:c r="D299" s="65" t="str">
        <x:v>jakarta-policy-implementation</x:v>
      </x:c>
      <x:c r="E299" s="65" t="str">
        <x:v>jakarta-policy-implementation:structure:1</x:v>
      </x:c>
      <x:c r="F299" s="65" t="str">
        <x:v>p.2</x:v>
      </x:c>
      <x:c r="G299" s="92" t="n">
        <x:v>0.03131731</x:v>
      </x:c>
      <x:c r="H299" s="65" t="str">
        <x:v>Why rules can coexist with poor air: implementation evidence</x:v>
      </x:c>
      <x:c r="I299" s="65" t="str">
        <x:v>Pemerintah Provinsi DKI Jakarta; Dinas Lingkungan Hidup DKI Jakarta; Mahkamah Agung</x:v>
      </x:c>
      <x:c r="J299"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299" s="65" t="str">
        <x:v>https://www.jakarta.go.id/siaran-pers/4802-SP-HMS-06-2024</x:v>
      </x:c>
      <x:c r="L299" s="65" t="n">
        <x:v>0</x:v>
      </x:c>
      <x:c r="M299" s="65" t="str">
        <x:v>Machine-suggested near-miss; human review required.</x:v>
      </x:c>
    </x:row>
    <x:row r="300" ht="42" customHeight="1">
      <x:c r="A300" s="65" t="str">
        <x:v>gold30-015</x:v>
      </x:c>
      <x:c r="B300" s="65" t="str">
        <x:v>hybrid</x:v>
      </x:c>
      <x:c r="C300" s="88" t="n">
        <x:v>5</x:v>
      </x:c>
      <x:c r="D300" s="65" t="str">
        <x:v>jakarta-regulations</x:v>
      </x:c>
      <x:c r="E300" s="65" t="str">
        <x:v>jakarta-regulations:structure:0</x:v>
      </x:c>
      <x:c r="F300" s="65" t="str">
        <x:v>p.1</x:v>
      </x:c>
      <x:c r="G300" s="92" t="n">
        <x:v>0.03112903</x:v>
      </x:c>
      <x:c r="H300" s="65" t="str">
        <x:v>Jakarta and Indonesian air-quality regulations</x:v>
      </x:c>
      <x:c r="I300" s="65" t="str">
        <x:v>JDIH DKI Jakarta / Government of Indonesia</x:v>
      </x:c>
      <x:c r="J300"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300" s="65" t="str">
        <x:v>https://udara.jakarta.go.id/regulasi</x:v>
      </x:c>
      <x:c r="L300" s="65" t="n">
        <x:v>0</x:v>
      </x:c>
      <x:c r="M300" s="65" t="str">
        <x:v>Machine-suggested near-miss; human review required.</x:v>
      </x:c>
    </x:row>
    <x:row r="301" ht="42" customHeight="1">
      <x:c r="A301" s="65" t="str">
        <x:v>gold30-015</x:v>
      </x:c>
      <x:c r="B301" s="65" t="str">
        <x:v>hybrid_rerank</x:v>
      </x:c>
      <x:c r="C301" s="88" t="n">
        <x:v>1</x:v>
      </x:c>
      <x:c r="D301" s="65" t="str">
        <x:v>permen-lhk-8-2023-vehicle-emissions</x:v>
      </x:c>
      <x:c r="E301" s="65" t="str">
        <x:v>permen-lhk-8-2023-vehicle-emissions:structure:0</x:v>
      </x:c>
      <x:c r="F301" s="65" t="str">
        <x:v>p.1</x:v>
      </x:c>
      <x:c r="G301" s="92" t="n">
        <x:v>0.62243443</x:v>
      </x:c>
      <x:c r="H301" s="65" t="str">
        <x:v>Permen LHK No. 8 Tahun 2023 — vehicle emission standards and testing</x:v>
      </x:c>
      <x:c r="I301" s="65" t="str">
        <x:v>Kementerian Lingkungan Hidup dan Kehutanan / Database Peraturan BPK</x:v>
      </x:c>
      <x:c r="J301"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301" s="65" t="str">
        <x:v>https://peraturan.bpk.go.id/Details/262504/permen-lhk-no-8-tahun-2023</x:v>
      </x:c>
      <x:c r="L301" s="65" t="n">
        <x:v>3</x:v>
      </x:c>
      <x:c r="M301" s="65" t="str">
        <x:v>Expected source for this question.</x:v>
      </x:c>
    </x:row>
    <x:row r="302" ht="42" customHeight="1">
      <x:c r="A302" s="65" t="str">
        <x:v>gold30-015</x:v>
      </x:c>
      <x:c r="B302" s="65" t="str">
        <x:v>hybrid_rerank</x:v>
      </x:c>
      <x:c r="C302" s="88" t="n">
        <x:v>2</x:v>
      </x:c>
      <x:c r="D302" s="65" t="str">
        <x:v>jakarta-regulations</x:v>
      </x:c>
      <x:c r="E302" s="65" t="str">
        <x:v>jakarta-regulations:structure:0</x:v>
      </x:c>
      <x:c r="F302" s="65" t="str">
        <x:v>p.1</x:v>
      </x:c>
      <x:c r="G302" s="92" t="n">
        <x:v>0.35933871</x:v>
      </x:c>
      <x:c r="H302" s="65" t="str">
        <x:v>Jakarta and Indonesian air-quality regulations</x:v>
      </x:c>
      <x:c r="I302" s="65" t="str">
        <x:v>JDIH DKI Jakarta / Government of Indonesia</x:v>
      </x:c>
      <x:c r="J302"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302" s="65" t="str">
        <x:v>https://udara.jakarta.go.id/regulasi</x:v>
      </x:c>
      <x:c r="L302" s="65" t="n">
        <x:v>0</x:v>
      </x:c>
      <x:c r="M302" s="65" t="str">
        <x:v>Machine-suggested near-miss; human review required.</x:v>
      </x:c>
    </x:row>
    <x:row r="303" ht="42" customHeight="1">
      <x:c r="A303" s="65" t="str">
        <x:v>gold30-015</x:v>
      </x:c>
      <x:c r="B303" s="65" t="str">
        <x:v>hybrid_rerank</x:v>
      </x:c>
      <x:c r="C303" s="88" t="n">
        <x:v>3</x:v>
      </x:c>
      <x:c r="D303" s="65" t="str">
        <x:v>ispu</x:v>
      </x:c>
      <x:c r="E303" s="65" t="str">
        <x:v>ispu:structure:0</x:v>
      </x:c>
      <x:c r="F303" s="65" t="str">
        <x:v>p.1</x:v>
      </x:c>
      <x:c r="G303" s="92" t="n">
        <x:v>0.27204315</x:v>
      </x:c>
      <x:c r="H303" s="65" t="str">
        <x:v>Indonesian ISPU categories</x:v>
      </x:c>
      <x:c r="I303" s="65" t="str">
        <x:v>Ministry of Environment and Forestry</x:v>
      </x:c>
      <x:c r="J303" s="65" t="str">
        <x:v>The Indonesian ISPU categories used in this demo are Baik (1-50), Sedang (51-100), Tidak Sehat (101-200), Sangat Tidak Sehat (201-300), and Berbahaya (301 or higher). ISPU is an index without a physical concentration unit.</x:v>
      </x:c>
      <x:c r="K303" s="65" t="str">
        <x:v>https://peraturan.bpk.go.id/Details/163466/permen-lhk-no-14-tahun-2020</x:v>
      </x:c>
      <x:c r="L303" s="65" t="n">
        <x:v>0</x:v>
      </x:c>
      <x:c r="M303" s="65" t="str">
        <x:v>Machine-suggested near-miss; human review required.</x:v>
      </x:c>
    </x:row>
    <x:row r="304" ht="42" customHeight="1">
      <x:c r="A304" s="65" t="str">
        <x:v>gold30-015</x:v>
      </x:c>
      <x:c r="B304" s="65" t="str">
        <x:v>hybrid_rerank</x:v>
      </x:c>
      <x:c r="C304" s="88" t="n">
        <x:v>4</x:v>
      </x:c>
      <x:c r="D304" s="65" t="str">
        <x:v>jakarta-policy-implementation</x:v>
      </x:c>
      <x:c r="E304" s="65" t="str">
        <x:v>jakarta-policy-implementation:structure:1</x:v>
      </x:c>
      <x:c r="F304" s="65" t="str">
        <x:v>p.2</x:v>
      </x:c>
      <x:c r="G304" s="92" t="n">
        <x:v>0.27189519</x:v>
      </x:c>
      <x:c r="H304" s="65" t="str">
        <x:v>Why rules can coexist with poor air: implementation evidence</x:v>
      </x:c>
      <x:c r="I304" s="65" t="str">
        <x:v>Pemerintah Provinsi DKI Jakarta; Dinas Lingkungan Hidup DKI Jakarta; Mahkamah Agung</x:v>
      </x:c>
      <x:c r="J304" s="65" t="str">
        <x:v>Pergub DKI No. 66/2020 is listed as berlaku by both BPK and DKI JDIH and became effective 2020-12-24. It requires emission testing arrangements for motor vehicles and sets inspection/control responsibilities. PP No. 22/2021 and Permen LHK No. 14/2020 are national instruments for…</x:v>
      </x:c>
      <x:c r="K304" s="65" t="str">
        <x:v>https://www.jakarta.go.id/siaran-pers/4802-SP-HMS-06-2024</x:v>
      </x:c>
      <x:c r="L304" s="65" t="n">
        <x:v>0</x:v>
      </x:c>
      <x:c r="M304" s="65" t="str">
        <x:v>Machine-suggested near-miss; human review required.</x:v>
      </x:c>
    </x:row>
    <x:row r="305" ht="42" customHeight="1">
      <x:c r="A305" s="65" t="str">
        <x:v>gold30-015</x:v>
      </x:c>
      <x:c r="B305" s="65" t="str">
        <x:v>hybrid_rerank</x:v>
      </x:c>
      <x:c r="C305" s="88" t="n">
        <x:v>5</x:v>
      </x:c>
      <x:c r="D305" s="65" t="str">
        <x:v>permen-lhk-13-2021-cems</x:v>
      </x:c>
      <x:c r="E305" s="65" t="str">
        <x:v>permen-lhk-13-2021-cems:structure:0</x:v>
      </x:c>
      <x:c r="F305" s="65" t="str">
        <x:v>p.1</x:v>
      </x:c>
      <x:c r="G305" s="92" t="n">
        <x:v>0.18448094</x:v>
      </x:c>
      <x:c r="H305" s="65" t="str">
        <x:v>Permen LHK No. 13 Tahun 2021 — CEMS connectivity and emission monitoring</x:v>
      </x:c>
      <x:c r="I305" s="65" t="str">
        <x:v>Kementerian Lingkungan Hidup dan Kehutanan / Database Peraturan BPK</x:v>
      </x:c>
      <x:c r="J305" s="65" t="str">
        <x:v>The official BPK download URL identifies a 2021 Ministerial Environment and Forestry regulation. The PDF search extract exposes a CEMS connectivity test table with fields for stack code, emission source, CEMS brand, parameters and pass/fail connectivity result.</x:v>
      </x:c>
      <x:c r="K305" s="65" t="str">
        <x:v>https://peraturan.bpk.go.id/Download/288590/Permen%20LHK%20Nomor%2013%20Tahun%202021.pdf</x:v>
      </x:c>
      <x:c r="L305" s="65" t="n">
        <x:v>0</x:v>
      </x:c>
      <x:c r="M305" s="65" t="str">
        <x:v>Machine-suggested near-miss; human review required.</x:v>
      </x:c>
    </x:row>
    <x:row r="306" ht="42" customHeight="1">
      <x:c r="A306" s="65" t="str">
        <x:v>gold30-016</x:v>
      </x:c>
      <x:c r="B306" s="65" t="str">
        <x:v>bm25</x:v>
      </x:c>
      <x:c r="C306" s="88" t="n">
        <x:v>1</x:v>
      </x:c>
      <x:c r="D306" s="65" t="str">
        <x:v>individual-emission-actions</x:v>
      </x:c>
      <x:c r="E306" s="65" t="str">
        <x:v>individual-emission-actions:structure:2</x:v>
      </x:c>
      <x:c r="F306" s="65" t="str">
        <x:v>p.3</x:v>
      </x:c>
      <x:c r="G306" s="92" t="n">
        <x:v>0.1</x:v>
      </x:c>
      <x:c r="H306" s="65" t="str">
        <x:v>What an individual can do to reduce emissions and improve accountability</x:v>
      </x:c>
      <x:c r="I306" s="65" t="str">
        <x:v>World Health Organization; Pemerintah Provinsi DKI Jakarta</x:v>
      </x:c>
      <x:c r="J306" s="65" t="str">
        <x:v>Report suspected open burning, smoky vehicles, or industrial violations through the responsible DKI/KLHK reporting channel and keep the date, location, photo or video, wind/odour description, and the relevant station reading. Join a community-monitoring project only if sensors h…</x:v>
      </x:c>
      <x:c r="K306" s="65" t="str">
        <x:v>https://www.who.int/europe/publications/m/item/personal-level-actions-to-reduce-air-pollution-exposure</x:v>
      </x:c>
      <x:c r="L306" s="65" t="n">
        <x:v>0</x:v>
      </x:c>
      <x:c r="M306" s="65" t="str">
        <x:v>Machine-suggested near-miss; human review required.</x:v>
      </x:c>
    </x:row>
    <x:row r="307" ht="42" customHeight="1">
      <x:c r="A307" s="65" t="str">
        <x:v>gold30-016</x:v>
      </x:c>
      <x:c r="B307" s="65" t="str">
        <x:v>bm25</x:v>
      </x:c>
      <x:c r="C307" s="88" t="n">
        <x:v>2</x:v>
      </x:c>
      <x:c r="D307" s="65" t="str">
        <x:v>jakarta-cems-monitoring</x:v>
      </x:c>
      <x:c r="E307" s="65" t="str">
        <x:v>jakarta-cems-monitoring:structure:1</x:v>
      </x:c>
      <x:c r="F307" s="65" t="str">
        <x:v>p.2</x:v>
      </x:c>
      <x:c r="G307" s="92" t="n">
        <x:v>0.1</x:v>
      </x:c>
      <x:c r="H307" s="65" t="str">
        <x:v>Stationary-source emissions monitoring (CEMS)</x:v>
      </x:c>
      <x:c r="I307" s="65" t="str">
        <x:v>Dinas Lingkungan Hidup DKI Jakarta</x:v>
      </x:c>
      <x:c r="J307" s="65" t="str">
        <x:v>DLH describes continuous emissions monitoring systems (CEMS) as a way to measure and calculate emissions released from stacks in near real time. Its public monitoring page lists operational-control and evaluation reports for stationary sources for 2020, 2021, 2022, 2023, and 202…</x:v>
      </x:c>
      <x:c r="K307" s="65" t="str">
        <x:v>https://lingkunganhidup.jakarta.go.id/publikasi/monitoring_emisi</x:v>
      </x:c>
      <x:c r="L307" s="65" t="n">
        <x:v>3</x:v>
      </x:c>
      <x:c r="M307" s="65" t="str">
        <x:v>Expected source for this question.</x:v>
      </x:c>
    </x:row>
    <x:row r="308" ht="42" customHeight="1">
      <x:c r="A308" s="65" t="str">
        <x:v>gold30-016</x:v>
      </x:c>
      <x:c r="B308" s="65" t="str">
        <x:v>bm25</x:v>
      </x:c>
      <x:c r="C308" s="88" t="n">
        <x:v>3</x:v>
      </x:c>
      <x:c r="D308" s="65" t="str">
        <x:v>jakarta-policy-implementation</x:v>
      </x:c>
      <x:c r="E308" s="65" t="str">
        <x:v>jakarta-policy-implementation:structure:2</x:v>
      </x:c>
      <x:c r="F308" s="65" t="str">
        <x:v>p.3</x:v>
      </x:c>
      <x:c r="G308" s="92" t="n">
        <x:v>0.1</x:v>
      </x:c>
      <x:c r="H308" s="65" t="str">
        <x:v>Why rules can coexist with poor air: implementation evidence</x:v>
      </x:c>
      <x:c r="I308" s="65" t="str">
        <x:v>Pemerintah Provinsi DKI Jakarta; Dinas Lingkungan Hidup DKI Jakarta; Mahkamah Agung</x:v>
      </x:c>
      <x:c r="J308"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308" s="65" t="str">
        <x:v>https://www.jakarta.go.id/siaran-pers/4802-SP-HMS-06-2024</x:v>
      </x:c>
      <x:c r="L308" s="65" t="n">
        <x:v>0</x:v>
      </x:c>
      <x:c r="M308" s="65" t="str">
        <x:v>Machine-suggested near-miss; human review required.</x:v>
      </x:c>
    </x:row>
    <x:row r="309" ht="42" customHeight="1">
      <x:c r="A309" s="65" t="str">
        <x:v>gold30-016</x:v>
      </x:c>
      <x:c r="B309" s="65" t="str">
        <x:v>bm25</x:v>
      </x:c>
      <x:c r="C309" s="88" t="n">
        <x:v>4</x:v>
      </x:c>
      <x:c r="D309" s="65" t="str">
        <x:v>jakarta-sppu-official-status-2024</x:v>
      </x:c>
      <x:c r="E309" s="65" t="str">
        <x:v>jakarta-sppu-official-status-2024:structure:2</x:v>
      </x:c>
      <x:c r="F309" s="65" t="str">
        <x:v>p.3</x:v>
      </x:c>
      <x:c r="G309" s="92" t="n">
        <x:v>0.1</x:v>
      </x:c>
      <x:c r="H309" s="65" t="str">
        <x:v>Jakarta SPPU and air-quality implementation status (official statement, 2024)</x:v>
      </x:c>
      <x:c r="I309" s="65" t="str">
        <x:v>Pemerintah Provinsi DKI Jakarta / Dinas Lingkungan Hidup DKI Jakarta</x:v>
      </x:c>
      <x:c r="J309" s="65" t="str">
        <x:v>A statement describing an inventory or oversight program does not provide a complete denominator for all eligible vehicles, regulated stacks, inspections, sanctions, or CEMS follow-up. A reviewer should request the underlying dated datasets, methodology, coverage and quality con…</x:v>
      </x:c>
      <x:c r="K309" s="65" t="str">
        <x:v>https://www.jakarta.go.id/siaran-pers/4802-SP-HMS-06-2024</x:v>
      </x:c>
      <x:c r="L309" s="65" t="n">
        <x:v>0</x:v>
      </x:c>
      <x:c r="M309" s="65" t="str">
        <x:v>Machine-suggested near-miss; human review required.</x:v>
      </x:c>
    </x:row>
    <x:row r="310" ht="42" customHeight="1">
      <x:c r="A310" s="65" t="str">
        <x:v>gold30-016</x:v>
      </x:c>
      <x:c r="B310" s="65" t="str">
        <x:v>bm25</x:v>
      </x:c>
      <x:c r="C310" s="88" t="n">
        <x:v>5</x:v>
      </x:c>
      <x:c r="D310" s="65" t="str">
        <x:v>pergub-66-2020-vehicle-testing</x:v>
      </x:c>
      <x:c r="E310" s="65" t="str">
        <x:v>pergub-66-2020-vehicle-testing:structure:0</x:v>
      </x:c>
      <x:c r="F310" s="65" t="str">
        <x:v>p.1</x:v>
      </x:c>
      <x:c r="G310" s="92" t="n">
        <x:v>0.1</x:v>
      </x:c>
      <x:c r="H310" s="65" t="str">
        <x:v>Pergub DKI Jakarta No. 66 Tahun 2020 — motor-vehicle emission testing</x:v>
      </x:c>
      <x:c r="I310" s="65" t="str">
        <x:v>Pemerintah Provinsi DKI Jakarta / Database Peraturan BPK</x:v>
      </x:c>
      <x:c r="J310" s="65" t="str">
        <x:v>Peraturan Gubernur Provinsi DKI Jakarta Nomor 66 Tahun 2020 is titled Uji Emisi Gas Buang Kendaraan Bermotor. The BPK record gives the adoption date as 22 July 2020, promulgation date as 24 July 2020, and effective date as 24 December 2020.</x:v>
      </x:c>
      <x:c r="K310" s="65" t="str">
        <x:v>https://peraturan.bpk.go.id/Details/153923/pergub-prov-dki-jakarta-no-66-tahun-2020</x:v>
      </x:c>
      <x:c r="L310" s="65" t="n">
        <x:v>0</x:v>
      </x:c>
      <x:c r="M310" s="65" t="str">
        <x:v>Machine-suggested near-miss; human review required.</x:v>
      </x:c>
    </x:row>
    <x:row r="311" ht="42" customHeight="1">
      <x:c r="A311" s="65" t="str">
        <x:v>gold30-016</x:v>
      </x:c>
      <x:c r="B311" s="65" t="str">
        <x:v>dense</x:v>
      </x:c>
      <x:c r="C311" s="88" t="n">
        <x:v>1</x:v>
      </x:c>
      <x:c r="D311" s="65" t="str">
        <x:v>permen-lhk-13-2021-cems</x:v>
      </x:c>
      <x:c r="E311" s="65" t="str">
        <x:v>permen-lhk-13-2021-cems:structure:0</x:v>
      </x:c>
      <x:c r="F311" s="65" t="str">
        <x:v>p.1</x:v>
      </x:c>
      <x:c r="G311" s="92" t="n">
        <x:v>0.16313222</x:v>
      </x:c>
      <x:c r="H311" s="65" t="str">
        <x:v>Permen LHK No. 13 Tahun 2021 — CEMS connectivity and emission monitoring</x:v>
      </x:c>
      <x:c r="I311" s="65" t="str">
        <x:v>Kementerian Lingkungan Hidup dan Kehutanan / Database Peraturan BPK</x:v>
      </x:c>
      <x:c r="J311" s="65" t="str">
        <x:v>The official BPK download URL identifies a 2021 Ministerial Environment and Forestry regulation. The PDF search extract exposes a CEMS connectivity test table with fields for stack code, emission source, CEMS brand, parameters and pass/fail connectivity result.</x:v>
      </x:c>
      <x:c r="K311" s="65" t="str">
        <x:v>https://peraturan.bpk.go.id/Download/288590/Permen%20LHK%20Nomor%2013%20Tahun%202021.pdf</x:v>
      </x:c>
      <x:c r="L311" s="65" t="n">
        <x:v>3</x:v>
      </x:c>
      <x:c r="M311" s="65" t="str">
        <x:v>Expected source for this question.</x:v>
      </x:c>
    </x:row>
    <x:row r="312" ht="42" customHeight="1">
      <x:c r="A312" s="65" t="str">
        <x:v>gold30-016</x:v>
      </x:c>
      <x:c r="B312" s="65" t="str">
        <x:v>dense</x:v>
      </x:c>
      <x:c r="C312" s="88" t="n">
        <x:v>2</x:v>
      </x:c>
      <x:c r="D312" s="65" t="str">
        <x:v>permen-lhk-8-2023-vehicle-emissions</x:v>
      </x:c>
      <x:c r="E312" s="65" t="str">
        <x:v>permen-lhk-8-2023-vehicle-emissions:structure:0</x:v>
      </x:c>
      <x:c r="F312" s="65" t="str">
        <x:v>p.1</x:v>
      </x:c>
      <x:c r="G312" s="92" t="n">
        <x:v>0.12460792</x:v>
      </x:c>
      <x:c r="H312" s="65" t="str">
        <x:v>Permen LHK No. 8 Tahun 2023 — vehicle emission standards and testing</x:v>
      </x:c>
      <x:c r="I312" s="65" t="str">
        <x:v>Kementerian Lingkungan Hidup dan Kehutanan / Database Peraturan BPK</x:v>
      </x:c>
      <x:c r="J312"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312" s="65" t="str">
        <x:v>https://peraturan.bpk.go.id/Details/262504/permen-lhk-no-8-tahun-2023</x:v>
      </x:c>
      <x:c r="L312" s="65" t="n">
        <x:v>0</x:v>
      </x:c>
      <x:c r="M312" s="65" t="str">
        <x:v>Machine-suggested near-miss; human review required.</x:v>
      </x:c>
    </x:row>
    <x:row r="313" ht="42" customHeight="1">
      <x:c r="A313" s="65" t="str">
        <x:v>gold30-016</x:v>
      </x:c>
      <x:c r="B313" s="65" t="str">
        <x:v>dense</x:v>
      </x:c>
      <x:c r="C313" s="88" t="n">
        <x:v>3</x:v>
      </x:c>
      <x:c r="D313" s="65" t="str">
        <x:v>jakarta-sppu-official-status-2024</x:v>
      </x:c>
      <x:c r="E313" s="65" t="str">
        <x:v>jakarta-sppu-official-status-2024:structure:2</x:v>
      </x:c>
      <x:c r="F313" s="65" t="str">
        <x:v>p.3</x:v>
      </x:c>
      <x:c r="G313" s="92" t="n">
        <x:v>0.12269732</x:v>
      </x:c>
      <x:c r="H313" s="65" t="str">
        <x:v>Jakarta SPPU and air-quality implementation status (official statement, 2024)</x:v>
      </x:c>
      <x:c r="I313" s="65" t="str">
        <x:v>Pemerintah Provinsi DKI Jakarta / Dinas Lingkungan Hidup DKI Jakarta</x:v>
      </x:c>
      <x:c r="J313" s="65" t="str">
        <x:v>A statement describing an inventory or oversight program does not provide a complete denominator for all eligible vehicles, regulated stacks, inspections, sanctions, or CEMS follow-up. A reviewer should request the underlying dated datasets, methodology, coverage and quality con…</x:v>
      </x:c>
      <x:c r="K313" s="65" t="str">
        <x:v>https://www.jakarta.go.id/siaran-pers/4802-SP-HMS-06-2024</x:v>
      </x:c>
      <x:c r="L313" s="65" t="n">
        <x:v>0</x:v>
      </x:c>
      <x:c r="M313" s="65" t="str">
        <x:v>Machine-suggested near-miss; human review required.</x:v>
      </x:c>
    </x:row>
    <x:row r="314" ht="42" customHeight="1">
      <x:c r="A314" s="65" t="str">
        <x:v>gold30-016</x:v>
      </x:c>
      <x:c r="B314" s="65" t="str">
        <x:v>dense</x:v>
      </x:c>
      <x:c r="C314" s="88" t="n">
        <x:v>4</x:v>
      </x:c>
      <x:c r="D314" s="65" t="str">
        <x:v>jakarta-cems-monitoring</x:v>
      </x:c>
      <x:c r="E314" s="65" t="str">
        <x:v>jakarta-cems-monitoring:structure:1</x:v>
      </x:c>
      <x:c r="F314" s="65" t="str">
        <x:v>p.2</x:v>
      </x:c>
      <x:c r="G314" s="92" t="n">
        <x:v>0.12181424</x:v>
      </x:c>
      <x:c r="H314" s="65" t="str">
        <x:v>Stationary-source emissions monitoring (CEMS)</x:v>
      </x:c>
      <x:c r="I314" s="65" t="str">
        <x:v>Dinas Lingkungan Hidup DKI Jakarta</x:v>
      </x:c>
      <x:c r="J314" s="65" t="str">
        <x:v>DLH describes continuous emissions monitoring systems (CEMS) as a way to measure and calculate emissions released from stacks in near real time. Its public monitoring page lists operational-control and evaluation reports for stationary sources for 2020, 2021, 2022, 2023, and 202…</x:v>
      </x:c>
      <x:c r="K314" s="65" t="str">
        <x:v>https://lingkunganhidup.jakarta.go.id/publikasi/monitoring_emisi</x:v>
      </x:c>
      <x:c r="L314" s="65" t="n">
        <x:v>3</x:v>
      </x:c>
      <x:c r="M314" s="65" t="str">
        <x:v>Expected source for this question.</x:v>
      </x:c>
    </x:row>
    <x:row r="315" ht="42" customHeight="1">
      <x:c r="A315" s="65" t="str">
        <x:v>gold30-016</x:v>
      </x:c>
      <x:c r="B315" s="65" t="str">
        <x:v>dense</x:v>
      </x:c>
      <x:c r="C315" s="88" t="n">
        <x:v>5</x:v>
      </x:c>
      <x:c r="D315" s="65" t="str">
        <x:v>jakarta-policy-implementation</x:v>
      </x:c>
      <x:c r="E315" s="65" t="str">
        <x:v>jakarta-policy-implementation:structure:2</x:v>
      </x:c>
      <x:c r="F315" s="65" t="str">
        <x:v>p.3</x:v>
      </x:c>
      <x:c r="G315" s="92" t="n">
        <x:v>0.12014527</x:v>
      </x:c>
      <x:c r="H315" s="65" t="str">
        <x:v>Why rules can coexist with poor air: implementation evidence</x:v>
      </x:c>
      <x:c r="I315" s="65" t="str">
        <x:v>Pemerintah Provinsi DKI Jakarta; Dinas Lingkungan Hidup DKI Jakarta; Mahkamah Agung</x:v>
      </x:c>
      <x:c r="J315"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315" s="65" t="str">
        <x:v>https://www.jakarta.go.id/siaran-pers/4802-SP-HMS-06-2024</x:v>
      </x:c>
      <x:c r="L315" s="65" t="n">
        <x:v>0</x:v>
      </x:c>
      <x:c r="M315" s="65" t="str">
        <x:v>Machine-suggested near-miss; human review required.</x:v>
      </x:c>
    </x:row>
    <x:row r="316" ht="42" customHeight="1">
      <x:c r="A316" s="65" t="str">
        <x:v>gold30-016</x:v>
      </x:c>
      <x:c r="B316" s="65" t="str">
        <x:v>hybrid</x:v>
      </x:c>
      <x:c r="C316" s="88" t="n">
        <x:v>1</x:v>
      </x:c>
      <x:c r="D316" s="65" t="str">
        <x:v>jakarta-cems-monitoring</x:v>
      </x:c>
      <x:c r="E316" s="65" t="str">
        <x:v>jakarta-cems-monitoring:structure:1</x:v>
      </x:c>
      <x:c r="F316" s="65" t="str">
        <x:v>p.2</x:v>
      </x:c>
      <x:c r="G316" s="92" t="n">
        <x:v>0.03206653</x:v>
      </x:c>
      <x:c r="H316" s="65" t="str">
        <x:v>Stationary-source emissions monitoring (CEMS)</x:v>
      </x:c>
      <x:c r="I316" s="65" t="str">
        <x:v>Dinas Lingkungan Hidup DKI Jakarta</x:v>
      </x:c>
      <x:c r="J316" s="65" t="str">
        <x:v>DLH describes continuous emissions monitoring systems (CEMS) as a way to measure and calculate emissions released from stacks in near real time. Its public monitoring page lists operational-control and evaluation reports for stationary sources for 2020, 2021, 2022, 2023, and 202…</x:v>
      </x:c>
      <x:c r="K316" s="65" t="str">
        <x:v>https://lingkunganhidup.jakarta.go.id/publikasi/monitoring_emisi</x:v>
      </x:c>
      <x:c r="L316" s="65" t="n">
        <x:v>3</x:v>
      </x:c>
      <x:c r="M316" s="65" t="str">
        <x:v>Expected source for this question.</x:v>
      </x:c>
    </x:row>
    <x:row r="317" ht="42" customHeight="1">
      <x:c r="A317" s="65" t="str">
        <x:v>gold30-016</x:v>
      </x:c>
      <x:c r="B317" s="65" t="str">
        <x:v>hybrid</x:v>
      </x:c>
      <x:c r="C317" s="88" t="n">
        <x:v>2</x:v>
      </x:c>
      <x:c r="D317" s="65" t="str">
        <x:v>permen-lhk-13-2021-cems</x:v>
      </x:c>
      <x:c r="E317" s="65" t="str">
        <x:v>permen-lhk-13-2021-cems:structure:0</x:v>
      </x:c>
      <x:c r="F317" s="65" t="str">
        <x:v>p.1</x:v>
      </x:c>
      <x:c r="G317" s="92" t="n">
        <x:v>0.03187283</x:v>
      </x:c>
      <x:c r="H317" s="65" t="str">
        <x:v>Permen LHK No. 13 Tahun 2021 — CEMS connectivity and emission monitoring</x:v>
      </x:c>
      <x:c r="I317" s="65" t="str">
        <x:v>Kementerian Lingkungan Hidup dan Kehutanan / Database Peraturan BPK</x:v>
      </x:c>
      <x:c r="J317" s="65" t="str">
        <x:v>The official BPK download URL identifies a 2021 Ministerial Environment and Forestry regulation. The PDF search extract exposes a CEMS connectivity test table with fields for stack code, emission source, CEMS brand, parameters and pass/fail connectivity result.</x:v>
      </x:c>
      <x:c r="K317" s="65" t="str">
        <x:v>https://peraturan.bpk.go.id/Download/288590/Permen%20LHK%20Nomor%2013%20Tahun%202021.pdf</x:v>
      </x:c>
      <x:c r="L317" s="65" t="n">
        <x:v>3</x:v>
      </x:c>
      <x:c r="M317" s="65" t="str">
        <x:v>Expected source for this question.</x:v>
      </x:c>
    </x:row>
    <x:row r="318" ht="42" customHeight="1">
      <x:c r="A318" s="65" t="str">
        <x:v>gold30-016</x:v>
      </x:c>
      <x:c r="B318" s="65" t="str">
        <x:v>hybrid</x:v>
      </x:c>
      <x:c r="C318" s="88" t="n">
        <x:v>3</x:v>
      </x:c>
      <x:c r="D318" s="65" t="str">
        <x:v>jakarta-sppu-official-status-2024</x:v>
      </x:c>
      <x:c r="E318" s="65" t="str">
        <x:v>jakarta-sppu-official-status-2024:structure:2</x:v>
      </x:c>
      <x:c r="F318" s="65" t="str">
        <x:v>p.3</x:v>
      </x:c>
      <x:c r="G318" s="92" t="n">
        <x:v>0.03181548</x:v>
      </x:c>
      <x:c r="H318" s="65" t="str">
        <x:v>Jakarta SPPU and air-quality implementation status (official statement, 2024)</x:v>
      </x:c>
      <x:c r="I318" s="65" t="str">
        <x:v>Pemerintah Provinsi DKI Jakarta / Dinas Lingkungan Hidup DKI Jakarta</x:v>
      </x:c>
      <x:c r="J318" s="65" t="str">
        <x:v>A statement describing an inventory or oversight program does not provide a complete denominator for all eligible vehicles, regulated stacks, inspections, sanctions, or CEMS follow-up. A reviewer should request the underlying dated datasets, methodology, coverage and quality con…</x:v>
      </x:c>
      <x:c r="K318" s="65" t="str">
        <x:v>https://www.jakarta.go.id/siaran-pers/4802-SP-HMS-06-2024</x:v>
      </x:c>
      <x:c r="L318" s="65" t="n">
        <x:v>0</x:v>
      </x:c>
      <x:c r="M318" s="65" t="str">
        <x:v>Machine-suggested near-miss; human review required.</x:v>
      </x:c>
    </x:row>
    <x:row r="319" ht="42" customHeight="1">
      <x:c r="A319" s="65" t="str">
        <x:v>gold30-016</x:v>
      </x:c>
      <x:c r="B319" s="65" t="str">
        <x:v>hybrid</x:v>
      </x:c>
      <x:c r="C319" s="88" t="n">
        <x:v>4</x:v>
      </x:c>
      <x:c r="D319" s="65" t="str">
        <x:v>jakarta-policy-implementation</x:v>
      </x:c>
      <x:c r="E319" s="65" t="str">
        <x:v>jakarta-policy-implementation:structure:2</x:v>
      </x:c>
      <x:c r="F319" s="65" t="str">
        <x:v>p.3</x:v>
      </x:c>
      <x:c r="G319" s="92" t="n">
        <x:v>0.03156532</x:v>
      </x:c>
      <x:c r="H319" s="65" t="str">
        <x:v>Why rules can coexist with poor air: implementation evidence</x:v>
      </x:c>
      <x:c r="I319" s="65" t="str">
        <x:v>Pemerintah Provinsi DKI Jakarta; Dinas Lingkungan Hidup DKI Jakarta; Mahkamah Agung</x:v>
      </x:c>
      <x:c r="J319"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319" s="65" t="str">
        <x:v>https://www.jakarta.go.id/siaran-pers/4802-SP-HMS-06-2024</x:v>
      </x:c>
      <x:c r="L319" s="65" t="n">
        <x:v>0</x:v>
      </x:c>
      <x:c r="M319" s="65" t="str">
        <x:v>Machine-suggested near-miss; human review required.</x:v>
      </x:c>
    </x:row>
    <x:row r="320" ht="42" customHeight="1">
      <x:c r="A320" s="65" t="str">
        <x:v>gold30-016</x:v>
      </x:c>
      <x:c r="B320" s="65" t="str">
        <x:v>hybrid</x:v>
      </x:c>
      <x:c r="C320" s="88" t="n">
        <x:v>5</x:v>
      </x:c>
      <x:c r="D320" s="65" t="str">
        <x:v>policy-improvements-evidence</x:v>
      </x:c>
      <x:c r="E320" s="65" t="str">
        <x:v>policy-improvements-evidence:structure:2</x:v>
      </x:c>
      <x:c r="F320" s="65" t="str">
        <x:v>p.3</x:v>
      </x:c>
      <x:c r="G320" s="92" t="n">
        <x:v>0.03014925</x:v>
      </x:c>
      <x:c r="H320" s="65" t="str">
        <x:v>Evidence-based policy improvements for Jakarta</x:v>
      </x:c>
      <x:c r="I320" s="65" t="str">
        <x:v>Dinas Lingkungan Hidup DKI Jakarta; World Health Organization</x:v>
      </x:c>
      <x:c r="J320"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320" s="65" t="str">
        <x:v>https://www.jakarta.go.id/siaran-pers/4802-SP-HMS-06-2024</x:v>
      </x:c>
      <x:c r="L320" s="65" t="n">
        <x:v>0</x:v>
      </x:c>
      <x:c r="M320" s="65" t="str">
        <x:v>Machine-suggested near-miss; human review required.</x:v>
      </x:c>
    </x:row>
    <x:row r="321" ht="42" customHeight="1">
      <x:c r="A321" s="65" t="str">
        <x:v>gold30-016</x:v>
      </x:c>
      <x:c r="B321" s="65" t="str">
        <x:v>hybrid_rerank</x:v>
      </x:c>
      <x:c r="C321" s="88" t="n">
        <x:v>1</x:v>
      </x:c>
      <x:c r="D321" s="65" t="str">
        <x:v>jakarta-cems-monitoring</x:v>
      </x:c>
      <x:c r="E321" s="65" t="str">
        <x:v>jakarta-cems-monitoring:structure:1</x:v>
      </x:c>
      <x:c r="F321" s="65" t="str">
        <x:v>p.2</x:v>
      </x:c>
      <x:c r="G321" s="92" t="n">
        <x:v>0.07961996</x:v>
      </x:c>
      <x:c r="H321" s="65" t="str">
        <x:v>Stationary-source emissions monitoring (CEMS)</x:v>
      </x:c>
      <x:c r="I321" s="65" t="str">
        <x:v>Dinas Lingkungan Hidup DKI Jakarta</x:v>
      </x:c>
      <x:c r="J321" s="65" t="str">
        <x:v>DLH describes continuous emissions monitoring systems (CEMS) as a way to measure and calculate emissions released from stacks in near real time. Its public monitoring page lists operational-control and evaluation reports for stationary sources for 2020, 2021, 2022, 2023, and 202…</x:v>
      </x:c>
      <x:c r="K321" s="65" t="str">
        <x:v>https://lingkunganhidup.jakarta.go.id/publikasi/monitoring_emisi</x:v>
      </x:c>
      <x:c r="L321" s="65" t="n">
        <x:v>3</x:v>
      </x:c>
      <x:c r="M321" s="65" t="str">
        <x:v>Expected source for this question.</x:v>
      </x:c>
    </x:row>
    <x:row r="322" ht="42" customHeight="1">
      <x:c r="A322" s="65" t="str">
        <x:v>gold30-016</x:v>
      </x:c>
      <x:c r="B322" s="65" t="str">
        <x:v>hybrid_rerank</x:v>
      </x:c>
      <x:c r="C322" s="88" t="n">
        <x:v>2</x:v>
      </x:c>
      <x:c r="D322" s="65" t="str">
        <x:v>permen-lhk-13-2021-cems</x:v>
      </x:c>
      <x:c r="E322" s="65" t="str">
        <x:v>permen-lhk-13-2021-cems:structure:0</x:v>
      </x:c>
      <x:c r="F322" s="65" t="str">
        <x:v>p.1</x:v>
      </x:c>
      <x:c r="G322" s="92" t="n">
        <x:v>0.07956185</x:v>
      </x:c>
      <x:c r="H322" s="65" t="str">
        <x:v>Permen LHK No. 13 Tahun 2021 — CEMS connectivity and emission monitoring</x:v>
      </x:c>
      <x:c r="I322" s="65" t="str">
        <x:v>Kementerian Lingkungan Hidup dan Kehutanan / Database Peraturan BPK</x:v>
      </x:c>
      <x:c r="J322" s="65" t="str">
        <x:v>The official BPK download URL identifies a 2021 Ministerial Environment and Forestry regulation. The PDF search extract exposes a CEMS connectivity test table with fields for stack code, emission source, CEMS brand, parameters and pass/fail connectivity result.</x:v>
      </x:c>
      <x:c r="K322" s="65" t="str">
        <x:v>https://peraturan.bpk.go.id/Download/288590/Permen%20LHK%20Nomor%2013%20Tahun%202021.pdf</x:v>
      </x:c>
      <x:c r="L322" s="65" t="n">
        <x:v>3</x:v>
      </x:c>
      <x:c r="M322" s="65" t="str">
        <x:v>Expected source for this question.</x:v>
      </x:c>
    </x:row>
    <x:row r="323" ht="42" customHeight="1">
      <x:c r="A323" s="65" t="str">
        <x:v>gold30-016</x:v>
      </x:c>
      <x:c r="B323" s="65" t="str">
        <x:v>hybrid_rerank</x:v>
      </x:c>
      <x:c r="C323" s="88" t="n">
        <x:v>3</x:v>
      </x:c>
      <x:c r="D323" s="65" t="str">
        <x:v>jakarta-sppu-official-status-2024</x:v>
      </x:c>
      <x:c r="E323" s="65" t="str">
        <x:v>jakarta-sppu-official-status-2024:structure:2</x:v>
      </x:c>
      <x:c r="F323" s="65" t="str">
        <x:v>p.3</x:v>
      </x:c>
      <x:c r="G323" s="92" t="n">
        <x:v>0.07954464</x:v>
      </x:c>
      <x:c r="H323" s="65" t="str">
        <x:v>Jakarta SPPU and air-quality implementation status (official statement, 2024)</x:v>
      </x:c>
      <x:c r="I323" s="65" t="str">
        <x:v>Pemerintah Provinsi DKI Jakarta / Dinas Lingkungan Hidup DKI Jakarta</x:v>
      </x:c>
      <x:c r="J323" s="65" t="str">
        <x:v>A statement describing an inventory or oversight program does not provide a complete denominator for all eligible vehicles, regulated stacks, inspections, sanctions, or CEMS follow-up. A reviewer should request the underlying dated datasets, methodology, coverage and quality con…</x:v>
      </x:c>
      <x:c r="K323" s="65" t="str">
        <x:v>https://www.jakarta.go.id/siaran-pers/4802-SP-HMS-06-2024</x:v>
      </x:c>
      <x:c r="L323" s="65" t="n">
        <x:v>0</x:v>
      </x:c>
      <x:c r="M323" s="65" t="str">
        <x:v>Machine-suggested near-miss; human review required.</x:v>
      </x:c>
    </x:row>
    <x:row r="324" ht="42" customHeight="1">
      <x:c r="A324" s="65" t="str">
        <x:v>gold30-016</x:v>
      </x:c>
      <x:c r="B324" s="65" t="str">
        <x:v>hybrid_rerank</x:v>
      </x:c>
      <x:c r="C324" s="88" t="n">
        <x:v>4</x:v>
      </x:c>
      <x:c r="D324" s="65" t="str">
        <x:v>jakarta-policy-implementation</x:v>
      </x:c>
      <x:c r="E324" s="65" t="str">
        <x:v>jakarta-policy-implementation:structure:2</x:v>
      </x:c>
      <x:c r="F324" s="65" t="str">
        <x:v>p.3</x:v>
      </x:c>
      <x:c r="G324" s="92" t="n">
        <x:v>0.0794696</x:v>
      </x:c>
      <x:c r="H324" s="65" t="str">
        <x:v>Why rules can coexist with poor air: implementation evidence</x:v>
      </x:c>
      <x:c r="I324" s="65" t="str">
        <x:v>Pemerintah Provinsi DKI Jakarta; Dinas Lingkungan Hidup DKI Jakarta; Mahkamah Agung</x:v>
      </x:c>
      <x:c r="J324"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324" s="65" t="str">
        <x:v>https://www.jakarta.go.id/siaran-pers/4802-SP-HMS-06-2024</x:v>
      </x:c>
      <x:c r="L324" s="65" t="n">
        <x:v>0</x:v>
      </x:c>
      <x:c r="M324" s="65" t="str">
        <x:v>Machine-suggested near-miss; human review required.</x:v>
      </x:c>
    </x:row>
    <x:row r="325" ht="42" customHeight="1">
      <x:c r="A325" s="65" t="str">
        <x:v>gold30-016</x:v>
      </x:c>
      <x:c r="B325" s="65" t="str">
        <x:v>hybrid_rerank</x:v>
      </x:c>
      <x:c r="C325" s="88" t="n">
        <x:v>5</x:v>
      </x:c>
      <x:c r="D325" s="65" t="str">
        <x:v>policy-improvements-evidence</x:v>
      </x:c>
      <x:c r="E325" s="65" t="str">
        <x:v>policy-improvements-evidence:structure:2</x:v>
      </x:c>
      <x:c r="F325" s="65" t="str">
        <x:v>p.3</x:v>
      </x:c>
      <x:c r="G325" s="92" t="n">
        <x:v>0.07904478</x:v>
      </x:c>
      <x:c r="H325" s="65" t="str">
        <x:v>Evidence-based policy improvements for Jakarta</x:v>
      </x:c>
      <x:c r="I325" s="65" t="str">
        <x:v>Dinas Lingkungan Hidup DKI Jakarta; World Health Organization</x:v>
      </x:c>
      <x:c r="J325"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325" s="65" t="str">
        <x:v>https://www.jakarta.go.id/siaran-pers/4802-SP-HMS-06-2024</x:v>
      </x:c>
      <x:c r="L325" s="65" t="n">
        <x:v>0</x:v>
      </x:c>
      <x:c r="M325" s="65" t="str">
        <x:v>Machine-suggested near-miss; human review required.</x:v>
      </x:c>
    </x:row>
    <x:row r="326" ht="42" customHeight="1">
      <x:c r="A326" s="65" t="str">
        <x:v>gold30-017</x:v>
      </x:c>
      <x:c r="B326" s="65" t="str">
        <x:v>bm25</x:v>
      </x:c>
      <x:c r="C326" s="88" t="n">
        <x:v>1</x:v>
      </x:c>
      <x:c r="D326" s="65" t="str">
        <x:v>ma-jakarta-air-lawsuit-record</x:v>
      </x:c>
      <x:c r="E326" s="65" t="str">
        <x:v>ma-jakarta-air-lawsuit-record:structure:1</x:v>
      </x:c>
      <x:c r="F326" s="65" t="str">
        <x:v>p.2</x:v>
      </x:c>
      <x:c r="G326" s="92" t="n">
        <x:v>0.90909091</x:v>
      </x:c>
      <x:c r="H326" s="65" t="str">
        <x:v>Mahkamah Agung record — Jakarta air-pollution citizen lawsuit</x:v>
      </x:c>
      <x:c r="I326" s="65" t="str">
        <x:v>Mahkamah Agung Republik Indonesia</x:v>
      </x:c>
      <x:c r="J326" s="65" t="str">
        <x:v>A judgment or order can establish what a court directed or declared. It does not by itself establish that every direction was implemented, funded, monitored or completed. Those claims require subsequent official execution, government-response or monitoring records with dates.</x:v>
      </x:c>
      <x:c r="K326" s="65" t="str">
        <x:v>https://putusan3.mahkamahagung.go.id/pengadilan/profil/pengadilan/pn-jakarta-pusat.html</x:v>
      </x:c>
      <x:c r="L326" s="65" t="n">
        <x:v>3</x:v>
      </x:c>
      <x:c r="M326" s="65" t="str">
        <x:v>Expected source for this question.</x:v>
      </x:c>
    </x:row>
    <x:row r="327" ht="42" customHeight="1">
      <x:c r="A327" s="65" t="str">
        <x:v>gold30-017</x:v>
      </x:c>
      <x:c r="B327" s="65" t="str">
        <x:v>bm25</x:v>
      </x:c>
      <x:c r="C327" s="88" t="n">
        <x:v>2</x:v>
      </x:c>
      <x:c r="D327" s="65" t="str">
        <x:v>jakarta-court-air-quality</x:v>
      </x:c>
      <x:c r="E327" s="65" t="str">
        <x:v>jakarta-court-air-quality:structure:1</x:v>
      </x:c>
      <x:c r="F327" s="65" t="str">
        <x:v>p.2</x:v>
      </x:c>
      <x:c r="G327" s="92" t="n">
        <x:v>0.63636364</x:v>
      </x:c>
      <x:c r="H327" s="65" t="str">
        <x:v>Jakarta air-pollution citizen lawsuit: what the court record establishes</x:v>
      </x:c>
      <x:c r="I327" s="65" t="str">
        <x:v>Mahkamah Agung Republik Indonesia</x:v>
      </x:c>
      <x:c r="J327"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327" s="65" t="str">
        <x:v>https://putusan3.mahkamahagung.go.id/pengadilan/profil/pengadilan/pn-jakarta-pusat.html</x:v>
      </x:c>
      <x:c r="L327" s="65" t="n">
        <x:v>3</x:v>
      </x:c>
      <x:c r="M327" s="65" t="str">
        <x:v>Expected source for this question.</x:v>
      </x:c>
    </x:row>
    <x:row r="328" ht="42" customHeight="1">
      <x:c r="A328" s="65" t="str">
        <x:v>gold30-017</x:v>
      </x:c>
      <x:c r="B328" s="65" t="str">
        <x:v>bm25</x:v>
      </x:c>
      <x:c r="C328" s="88" t="n">
        <x:v>3</x:v>
      </x:c>
      <x:c r="D328" s="65" t="str">
        <x:v>jakarta-policy-implementation</x:v>
      </x:c>
      <x:c r="E328" s="65" t="str">
        <x:v>jakarta-policy-implementation:structure:4</x:v>
      </x:c>
      <x:c r="F328" s="65" t="str">
        <x:v>p.5</x:v>
      </x:c>
      <x:c r="G328" s="92" t="n">
        <x:v>0.63636364</x:v>
      </x:c>
      <x:c r="H328" s="65" t="str">
        <x:v>Why rules can coexist with poor air: implementation evidence</x:v>
      </x:c>
      <x:c r="I328" s="65" t="str">
        <x:v>Pemerintah Provinsi DKI Jakarta; Dinas Lingkungan Hidup DKI Jakarta; Mahkamah Agung</x:v>
      </x:c>
      <x:c r="J328" s="65" t="str">
        <x:v>The official Supreme Court case directory records citizen lawsuit 374/Pdt.G/LH/2019/PN Jkt.Pst (decision 2021-09-16). [jakarta-court-air-quality] It is evidence of a court finding about public duties and regional coordination; it is not evidence that every ordered action was com…</x:v>
      </x:c>
      <x:c r="K328" s="65" t="str">
        <x:v>https://www.jakarta.go.id/siaran-pers/4802-SP-HMS-06-2024</x:v>
      </x:c>
      <x:c r="L328" s="65" t="n">
        <x:v>0</x:v>
      </x:c>
      <x:c r="M328" s="65" t="str">
        <x:v>Machine-suggested near-miss; human review required.</x:v>
      </x:c>
    </x:row>
    <x:row r="329" ht="42" customHeight="1">
      <x:c r="A329" s="65" t="str">
        <x:v>gold30-017</x:v>
      </x:c>
      <x:c r="B329" s="65" t="str">
        <x:v>bm25</x:v>
      </x:c>
      <x:c r="C329" s="88" t="n">
        <x:v>4</x:v>
      </x:c>
      <x:c r="D329" s="65" t="str">
        <x:v>pp-22-2021-air-quality</x:v>
      </x:c>
      <x:c r="E329" s="65" t="str">
        <x:v>pp-22-2021-air-quality:structure:5</x:v>
      </x:c>
      <x:c r="F329" s="65" t="str">
        <x:v>p.6</x:v>
      </x:c>
      <x:c r="G329" s="92" t="n">
        <x:v>0.54545455</x:v>
      </x:c>
      <x:c r="H329" s="65" t="str">
        <x:v>PP No. 22 Tahun 2021 — environmental protection and ambient air quality</x:v>
      </x:c>
      <x:c r="I329" s="65" t="str">
        <x:v>Pemerintah Republik Indonesia / Database Peraturan BPK</x:v>
      </x:c>
      <x:c r="J329" s="65" t="str">
        <x:v>This is a rule-on-paper source. It does not establish that Jakarta inspected every regulated source, that a sanction was imposed in a particular case, or that implementation changed a measured concentration. Those claims require dated implementation records.</x:v>
      </x:c>
      <x:c r="K329" s="65" t="str">
        <x:v>https://peraturan.bpk.go.id/Details/161852/pp-no-22tahun-2021</x:v>
      </x:c>
      <x:c r="L329" s="65" t="n">
        <x:v>0</x:v>
      </x:c>
      <x:c r="M329" s="65" t="str">
        <x:v>Machine-suggested near-miss; human review required.</x:v>
      </x:c>
    </x:row>
    <x:row r="330" ht="42" customHeight="1">
      <x:c r="A330" s="65" t="str">
        <x:v>gold30-017</x:v>
      </x:c>
      <x:c r="B330" s="65" t="str">
        <x:v>bm25</x:v>
      </x:c>
      <x:c r="C330" s="88" t="n">
        <x:v>5</x:v>
      </x:c>
      <x:c r="D330" s="65" t="str">
        <x:v>jakarta-policy-status</x:v>
      </x:c>
      <x:c r="E330" s="65" t="str">
        <x:v>jakarta-policy-status:structure:2</x:v>
      </x:c>
      <x:c r="F330" s="65" t="str">
        <x:v>p.3</x:v>
      </x:c>
      <x:c r="G330" s="92" t="n">
        <x:v>0.45454545</x:v>
      </x:c>
      <x:c r="H330" s="65" t="str">
        <x:v>Policy proposals and implementation gaps</x:v>
      </x:c>
      <x:c r="I330" s="65" t="str">
        <x:v>Pemerintah Provinsi DKI Jakarta / JDIH</x:v>
      </x:c>
      <x:c r="J330" s="65" t="str">
        <x:v>The Jakarta citizen lawsuit and later court decisions are evidence about public duties and legal findings, not proof that every recommended intervention has been implemented.</x:v>
      </x:c>
      <x:c r="K330" s="65" t="str">
        <x:v>https://www.jakarta.go.id/siaran-pers/3850-SP-HMS-01-2023</x:v>
      </x:c>
      <x:c r="L330" s="65" t="n">
        <x:v>0</x:v>
      </x:c>
      <x:c r="M330" s="65" t="str">
        <x:v>Machine-suggested near-miss; human review required.</x:v>
      </x:c>
    </x:row>
    <x:row r="331" ht="42" customHeight="1">
      <x:c r="A331" s="65" t="str">
        <x:v>gold30-017</x:v>
      </x:c>
      <x:c r="B331" s="65" t="str">
        <x:v>dense</x:v>
      </x:c>
      <x:c r="C331" s="88" t="n">
        <x:v>1</x:v>
      </x:c>
      <x:c r="D331" s="65" t="str">
        <x:v>ma-jakarta-air-lawsuit-record</x:v>
      </x:c>
      <x:c r="E331" s="65" t="str">
        <x:v>ma-jakarta-air-lawsuit-record:structure:1</x:v>
      </x:c>
      <x:c r="F331" s="65" t="str">
        <x:v>p.2</x:v>
      </x:c>
      <x:c r="G331" s="92" t="n">
        <x:v>0.53705996</x:v>
      </x:c>
      <x:c r="H331" s="65" t="str">
        <x:v>Mahkamah Agung record — Jakarta air-pollution citizen lawsuit</x:v>
      </x:c>
      <x:c r="I331" s="65" t="str">
        <x:v>Mahkamah Agung Republik Indonesia</x:v>
      </x:c>
      <x:c r="J331" s="65" t="str">
        <x:v>A judgment or order can establish what a court directed or declared. It does not by itself establish that every direction was implemented, funded, monitored or completed. Those claims require subsequent official execution, government-response or monitoring records with dates.</x:v>
      </x:c>
      <x:c r="K331" s="65" t="str">
        <x:v>https://putusan3.mahkamahagung.go.id/pengadilan/profil/pengadilan/pn-jakarta-pusat.html</x:v>
      </x:c>
      <x:c r="L331" s="65" t="n">
        <x:v>3</x:v>
      </x:c>
      <x:c r="M331" s="65" t="str">
        <x:v>Expected source for this question.</x:v>
      </x:c>
    </x:row>
    <x:row r="332" ht="42" customHeight="1">
      <x:c r="A332" s="65" t="str">
        <x:v>gold30-017</x:v>
      </x:c>
      <x:c r="B332" s="65" t="str">
        <x:v>dense</x:v>
      </x:c>
      <x:c r="C332" s="88" t="n">
        <x:v>2</x:v>
      </x:c>
      <x:c r="D332" s="65" t="str">
        <x:v>jakarta-court-air-quality</x:v>
      </x:c>
      <x:c r="E332" s="65" t="str">
        <x:v>jakarta-court-air-quality:structure:1</x:v>
      </x:c>
      <x:c r="F332" s="65" t="str">
        <x:v>p.2</x:v>
      </x:c>
      <x:c r="G332" s="92" t="n">
        <x:v>0.52976454</x:v>
      </x:c>
      <x:c r="H332" s="65" t="str">
        <x:v>Jakarta air-pollution citizen lawsuit: what the court record establishes</x:v>
      </x:c>
      <x:c r="I332" s="65" t="str">
        <x:v>Mahkamah Agung Republik Indonesia</x:v>
      </x:c>
      <x:c r="J332"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332" s="65" t="str">
        <x:v>https://putusan3.mahkamahagung.go.id/pengadilan/profil/pengadilan/pn-jakarta-pusat.html</x:v>
      </x:c>
      <x:c r="L332" s="65" t="n">
        <x:v>3</x:v>
      </x:c>
      <x:c r="M332" s="65" t="str">
        <x:v>Expected source for this question.</x:v>
      </x:c>
    </x:row>
    <x:row r="333" ht="42" customHeight="1">
      <x:c r="A333" s="65" t="str">
        <x:v>gold30-017</x:v>
      </x:c>
      <x:c r="B333" s="65" t="str">
        <x:v>dense</x:v>
      </x:c>
      <x:c r="C333" s="88" t="n">
        <x:v>3</x:v>
      </x:c>
      <x:c r="D333" s="65" t="str">
        <x:v>jakarta-policy-implementation</x:v>
      </x:c>
      <x:c r="E333" s="65" t="str">
        <x:v>jakarta-policy-implementation:structure:4</x:v>
      </x:c>
      <x:c r="F333" s="65" t="str">
        <x:v>p.5</x:v>
      </x:c>
      <x:c r="G333" s="92" t="n">
        <x:v>0.43221011</x:v>
      </x:c>
      <x:c r="H333" s="65" t="str">
        <x:v>Why rules can coexist with poor air: implementation evidence</x:v>
      </x:c>
      <x:c r="I333" s="65" t="str">
        <x:v>Pemerintah Provinsi DKI Jakarta; Dinas Lingkungan Hidup DKI Jakarta; Mahkamah Agung</x:v>
      </x:c>
      <x:c r="J333" s="65" t="str">
        <x:v>The official Supreme Court case directory records citizen lawsuit 374/Pdt.G/LH/2019/PN Jkt.Pst (decision 2021-09-16). [jakarta-court-air-quality] It is evidence of a court finding about public duties and regional coordination; it is not evidence that every ordered action was com…</x:v>
      </x:c>
      <x:c r="K333" s="65" t="str">
        <x:v>https://www.jakarta.go.id/siaran-pers/4802-SP-HMS-06-2024</x:v>
      </x:c>
      <x:c r="L333" s="65" t="n">
        <x:v>0</x:v>
      </x:c>
      <x:c r="M333" s="65" t="str">
        <x:v>Machine-suggested near-miss; human review required.</x:v>
      </x:c>
    </x:row>
    <x:row r="334" ht="42" customHeight="1">
      <x:c r="A334" s="65" t="str">
        <x:v>gold30-017</x:v>
      </x:c>
      <x:c r="B334" s="65" t="str">
        <x:v>dense</x:v>
      </x:c>
      <x:c r="C334" s="88" t="n">
        <x:v>4</x:v>
      </x:c>
      <x:c r="D334" s="65" t="str">
        <x:v>jakarta-policy-status</x:v>
      </x:c>
      <x:c r="E334" s="65" t="str">
        <x:v>jakarta-policy-status:structure:2</x:v>
      </x:c>
      <x:c r="F334" s="65" t="str">
        <x:v>p.3</x:v>
      </x:c>
      <x:c r="G334" s="92" t="n">
        <x:v>0.41830512</x:v>
      </x:c>
      <x:c r="H334" s="65" t="str">
        <x:v>Policy proposals and implementation gaps</x:v>
      </x:c>
      <x:c r="I334" s="65" t="str">
        <x:v>Pemerintah Provinsi DKI Jakarta / JDIH</x:v>
      </x:c>
      <x:c r="J334" s="65" t="str">
        <x:v>The Jakarta citizen lawsuit and later court decisions are evidence about public duties and legal findings, not proof that every recommended intervention has been implemented.</x:v>
      </x:c>
      <x:c r="K334" s="65" t="str">
        <x:v>https://www.jakarta.go.id/siaran-pers/3850-SP-HMS-01-2023</x:v>
      </x:c>
      <x:c r="L334" s="65" t="n">
        <x:v>0</x:v>
      </x:c>
      <x:c r="M334" s="65" t="str">
        <x:v>Machine-suggested near-miss; human review required.</x:v>
      </x:c>
    </x:row>
    <x:row r="335" ht="42" customHeight="1">
      <x:c r="A335" s="65" t="str">
        <x:v>gold30-017</x:v>
      </x:c>
      <x:c r="B335" s="65" t="str">
        <x:v>dense</x:v>
      </x:c>
      <x:c r="C335" s="88" t="n">
        <x:v>5</x:v>
      </x:c>
      <x:c r="D335" s="65" t="str">
        <x:v>policy-improvements-evidence</x:v>
      </x:c>
      <x:c r="E335" s="65" t="str">
        <x:v>policy-improvements-evidence:structure:2</x:v>
      </x:c>
      <x:c r="F335" s="65" t="str">
        <x:v>p.3</x:v>
      </x:c>
      <x:c r="G335" s="92" t="n">
        <x:v>0.39606506</x:v>
      </x:c>
      <x:c r="H335" s="65" t="str">
        <x:v>Evidence-based policy improvements for Jakarta</x:v>
      </x:c>
      <x:c r="I335" s="65" t="str">
        <x:v>Dinas Lingkungan Hidup DKI Jakarta; World Health Organization</x:v>
      </x:c>
      <x:c r="J335"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335" s="65" t="str">
        <x:v>https://www.jakarta.go.id/siaran-pers/4802-SP-HMS-06-2024</x:v>
      </x:c>
      <x:c r="L335" s="65" t="n">
        <x:v>0</x:v>
      </x:c>
      <x:c r="M335" s="65" t="str">
        <x:v>Machine-suggested near-miss; human review required.</x:v>
      </x:c>
    </x:row>
    <x:row r="336" ht="42" customHeight="1">
      <x:c r="A336" s="65" t="str">
        <x:v>gold30-017</x:v>
      </x:c>
      <x:c r="B336" s="65" t="str">
        <x:v>hybrid</x:v>
      </x:c>
      <x:c r="C336" s="88" t="n">
        <x:v>1</x:v>
      </x:c>
      <x:c r="D336" s="65" t="str">
        <x:v>ma-jakarta-air-lawsuit-record</x:v>
      </x:c>
      <x:c r="E336" s="65" t="str">
        <x:v>ma-jakarta-air-lawsuit-record:structure:1</x:v>
      </x:c>
      <x:c r="F336" s="65" t="str">
        <x:v>p.2</x:v>
      </x:c>
      <x:c r="G336" s="92" t="n">
        <x:v>0.03311475</x:v>
      </x:c>
      <x:c r="H336" s="65" t="str">
        <x:v>Mahkamah Agung record — Jakarta air-pollution citizen lawsuit</x:v>
      </x:c>
      <x:c r="I336" s="65" t="str">
        <x:v>Mahkamah Agung Republik Indonesia</x:v>
      </x:c>
      <x:c r="J336" s="65" t="str">
        <x:v>A judgment or order can establish what a court directed or declared. It does not by itself establish that every direction was implemented, funded, monitored or completed. Those claims require subsequent official execution, government-response or monitoring records with dates.</x:v>
      </x:c>
      <x:c r="K336" s="65" t="str">
        <x:v>https://putusan3.mahkamahagung.go.id/pengadilan/profil/pengadilan/pn-jakarta-pusat.html</x:v>
      </x:c>
      <x:c r="L336" s="65" t="n">
        <x:v>3</x:v>
      </x:c>
      <x:c r="M336" s="65" t="str">
        <x:v>Expected source for this question.</x:v>
      </x:c>
    </x:row>
    <x:row r="337" ht="42" customHeight="1">
      <x:c r="A337" s="65" t="str">
        <x:v>gold30-017</x:v>
      </x:c>
      <x:c r="B337" s="65" t="str">
        <x:v>hybrid</x:v>
      </x:c>
      <x:c r="C337" s="88" t="n">
        <x:v>2</x:v>
      </x:c>
      <x:c r="D337" s="65" t="str">
        <x:v>jakarta-court-air-quality</x:v>
      </x:c>
      <x:c r="E337" s="65" t="str">
        <x:v>jakarta-court-air-quality:structure:1</x:v>
      </x:c>
      <x:c r="F337" s="65" t="str">
        <x:v>p.2</x:v>
      </x:c>
      <x:c r="G337" s="92" t="n">
        <x:v>0.03258065</x:v>
      </x:c>
      <x:c r="H337" s="65" t="str">
        <x:v>Jakarta air-pollution citizen lawsuit: what the court record establishes</x:v>
      </x:c>
      <x:c r="I337" s="65" t="str">
        <x:v>Mahkamah Agung Republik Indonesia</x:v>
      </x:c>
      <x:c r="J337"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337" s="65" t="str">
        <x:v>https://putusan3.mahkamahagung.go.id/pengadilan/profil/pengadilan/pn-jakarta-pusat.html</x:v>
      </x:c>
      <x:c r="L337" s="65" t="n">
        <x:v>3</x:v>
      </x:c>
      <x:c r="M337" s="65" t="str">
        <x:v>Expected source for this question.</x:v>
      </x:c>
    </x:row>
    <x:row r="338" ht="42" customHeight="1">
      <x:c r="A338" s="65" t="str">
        <x:v>gold30-017</x:v>
      </x:c>
      <x:c r="B338" s="65" t="str">
        <x:v>hybrid</x:v>
      </x:c>
      <x:c r="C338" s="88" t="n">
        <x:v>3</x:v>
      </x:c>
      <x:c r="D338" s="65" t="str">
        <x:v>jakarta-policy-implementation</x:v>
      </x:c>
      <x:c r="E338" s="65" t="str">
        <x:v>jakarta-policy-implementation:structure:4</x:v>
      </x:c>
      <x:c r="F338" s="65" t="str">
        <x:v>p.5</x:v>
      </x:c>
      <x:c r="G338" s="92" t="n">
        <x:v>0.03206349</x:v>
      </x:c>
      <x:c r="H338" s="65" t="str">
        <x:v>Why rules can coexist with poor air: implementation evidence</x:v>
      </x:c>
      <x:c r="I338" s="65" t="str">
        <x:v>Pemerintah Provinsi DKI Jakarta; Dinas Lingkungan Hidup DKI Jakarta; Mahkamah Agung</x:v>
      </x:c>
      <x:c r="J338" s="65" t="str">
        <x:v>The official Supreme Court case directory records citizen lawsuit 374/Pdt.G/LH/2019/PN Jkt.Pst (decision 2021-09-16). [jakarta-court-air-quality] It is evidence of a court finding about public duties and regional coordination; it is not evidence that every ordered action was com…</x:v>
      </x:c>
      <x:c r="K338" s="65" t="str">
        <x:v>https://www.jakarta.go.id/siaran-pers/4802-SP-HMS-06-2024</x:v>
      </x:c>
      <x:c r="L338" s="65" t="n">
        <x:v>0</x:v>
      </x:c>
      <x:c r="M338" s="65" t="str">
        <x:v>Machine-suggested near-miss; human review required.</x:v>
      </x:c>
    </x:row>
    <x:row r="339" ht="42" customHeight="1">
      <x:c r="A339" s="65" t="str">
        <x:v>gold30-017</x:v>
      </x:c>
      <x:c r="B339" s="65" t="str">
        <x:v>hybrid</x:v>
      </x:c>
      <x:c r="C339" s="88" t="n">
        <x:v>4</x:v>
      </x:c>
      <x:c r="D339" s="65" t="str">
        <x:v>jakarta-policy-status</x:v>
      </x:c>
      <x:c r="E339" s="65" t="str">
        <x:v>jakarta-policy-status:structure:2</x:v>
      </x:c>
      <x:c r="F339" s="65" t="str">
        <x:v>p.3</x:v>
      </x:c>
      <x:c r="G339" s="92" t="n">
        <x:v>0.03132212</x:v>
      </x:c>
      <x:c r="H339" s="65" t="str">
        <x:v>Policy proposals and implementation gaps</x:v>
      </x:c>
      <x:c r="I339" s="65" t="str">
        <x:v>Pemerintah Provinsi DKI Jakarta / JDIH</x:v>
      </x:c>
      <x:c r="J339" s="65" t="str">
        <x:v>The Jakarta citizen lawsuit and later court decisions are evidence about public duties and legal findings, not proof that every recommended intervention has been implemented.</x:v>
      </x:c>
      <x:c r="K339" s="65" t="str">
        <x:v>https://www.jakarta.go.id/siaran-pers/3850-SP-HMS-01-2023</x:v>
      </x:c>
      <x:c r="L339" s="65" t="n">
        <x:v>0</x:v>
      </x:c>
      <x:c r="M339" s="65" t="str">
        <x:v>Machine-suggested near-miss; human review required.</x:v>
      </x:c>
    </x:row>
    <x:row r="340" ht="42" customHeight="1">
      <x:c r="A340" s="65" t="str">
        <x:v>gold30-017</x:v>
      </x:c>
      <x:c r="B340" s="65" t="str">
        <x:v>hybrid</x:v>
      </x:c>
      <x:c r="C340" s="88" t="n">
        <x:v>5</x:v>
      </x:c>
      <x:c r="D340" s="65" t="str">
        <x:v>pp-22-2021-air-quality</x:v>
      </x:c>
      <x:c r="E340" s="65" t="str">
        <x:v>pp-22-2021-air-quality:structure:5</x:v>
      </x:c>
      <x:c r="F340" s="65" t="str">
        <x:v>p.6</x:v>
      </x:c>
      <x:c r="G340" s="92" t="n">
        <x:v>0.030625</x:v>
      </x:c>
      <x:c r="H340" s="65" t="str">
        <x:v>PP No. 22 Tahun 2021 — environmental protection and ambient air quality</x:v>
      </x:c>
      <x:c r="I340" s="65" t="str">
        <x:v>Pemerintah Republik Indonesia / Database Peraturan BPK</x:v>
      </x:c>
      <x:c r="J340" s="65" t="str">
        <x:v>This is a rule-on-paper source. It does not establish that Jakarta inspected every regulated source, that a sanction was imposed in a particular case, or that implementation changed a measured concentration. Those claims require dated implementation records.</x:v>
      </x:c>
      <x:c r="K340" s="65" t="str">
        <x:v>https://peraturan.bpk.go.id/Details/161852/pp-no-22tahun-2021</x:v>
      </x:c>
      <x:c r="L340" s="65" t="n">
        <x:v>0</x:v>
      </x:c>
      <x:c r="M340" s="65" t="str">
        <x:v>Machine-suggested near-miss; human review required.</x:v>
      </x:c>
    </x:row>
    <x:row r="341" ht="42" customHeight="1">
      <x:c r="A341" s="65" t="str">
        <x:v>gold30-017</x:v>
      </x:c>
      <x:c r="B341" s="65" t="str">
        <x:v>hybrid_rerank</x:v>
      </x:c>
      <x:c r="C341" s="88" t="n">
        <x:v>1</x:v>
      </x:c>
      <x:c r="D341" s="65" t="str">
        <x:v>ma-jakarta-air-lawsuit-record</x:v>
      </x:c>
      <x:c r="E341" s="65" t="str">
        <x:v>ma-jakarta-air-lawsuit-record:structure:1</x:v>
      </x:c>
      <x:c r="F341" s="65" t="str">
        <x:v>p.2</x:v>
      </x:c>
      <x:c r="G341" s="92" t="n">
        <x:v>0.64629806</x:v>
      </x:c>
      <x:c r="H341" s="65" t="str">
        <x:v>Mahkamah Agung record — Jakarta air-pollution citizen lawsuit</x:v>
      </x:c>
      <x:c r="I341" s="65" t="str">
        <x:v>Mahkamah Agung Republik Indonesia</x:v>
      </x:c>
      <x:c r="J341" s="65" t="str">
        <x:v>A judgment or order can establish what a court directed or declared. It does not by itself establish that every direction was implemented, funded, monitored or completed. Those claims require subsequent official execution, government-response or monitoring records with dates.</x:v>
      </x:c>
      <x:c r="K341" s="65" t="str">
        <x:v>https://putusan3.mahkamahagung.go.id/pengadilan/profil/pengadilan/pn-jakarta-pusat.html</x:v>
      </x:c>
      <x:c r="L341" s="65" t="n">
        <x:v>3</x:v>
      </x:c>
      <x:c r="M341" s="65" t="str">
        <x:v>Expected source for this question.</x:v>
      </x:c>
    </x:row>
    <x:row r="342" ht="42" customHeight="1">
      <x:c r="A342" s="65" t="str">
        <x:v>gold30-017</x:v>
      </x:c>
      <x:c r="B342" s="65" t="str">
        <x:v>hybrid_rerank</x:v>
      </x:c>
      <x:c r="C342" s="88" t="n">
        <x:v>2</x:v>
      </x:c>
      <x:c r="D342" s="65" t="str">
        <x:v>jakarta-court-air-quality</x:v>
      </x:c>
      <x:c r="E342" s="65" t="str">
        <x:v>jakarta-court-air-quality:structure:1</x:v>
      </x:c>
      <x:c r="F342" s="65" t="str">
        <x:v>p.2</x:v>
      </x:c>
      <x:c r="G342" s="92" t="n">
        <x:v>0.45522874</x:v>
      </x:c>
      <x:c r="H342" s="65" t="str">
        <x:v>Jakarta air-pollution citizen lawsuit: what the court record establishes</x:v>
      </x:c>
      <x:c r="I342" s="65" t="str">
        <x:v>Mahkamah Agung Republik Indonesia</x:v>
      </x:c>
      <x:c r="J342"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342" s="65" t="str">
        <x:v>https://putusan3.mahkamahagung.go.id/pengadilan/profil/pengadilan/pn-jakarta-pusat.html</x:v>
      </x:c>
      <x:c r="L342" s="65" t="n">
        <x:v>3</x:v>
      </x:c>
      <x:c r="M342" s="65" t="str">
        <x:v>Expected source for this question.</x:v>
      </x:c>
    </x:row>
    <x:row r="343" ht="42" customHeight="1">
      <x:c r="A343" s="65" t="str">
        <x:v>gold30-017</x:v>
      </x:c>
      <x:c r="B343" s="65" t="str">
        <x:v>hybrid_rerank</x:v>
      </x:c>
      <x:c r="C343" s="88" t="n">
        <x:v>3</x:v>
      </x:c>
      <x:c r="D343" s="65" t="str">
        <x:v>jakarta-policy-implementation</x:v>
      </x:c>
      <x:c r="E343" s="65" t="str">
        <x:v>jakarta-policy-implementation:structure:4</x:v>
      </x:c>
      <x:c r="F343" s="65" t="str">
        <x:v>p.5</x:v>
      </x:c>
      <x:c r="G343" s="92" t="n">
        <x:v>0.45507359</x:v>
      </x:c>
      <x:c r="H343" s="65" t="str">
        <x:v>Why rules can coexist with poor air: implementation evidence</x:v>
      </x:c>
      <x:c r="I343" s="65" t="str">
        <x:v>Pemerintah Provinsi DKI Jakarta; Dinas Lingkungan Hidup DKI Jakarta; Mahkamah Agung</x:v>
      </x:c>
      <x:c r="J343" s="65" t="str">
        <x:v>The official Supreme Court case directory records citizen lawsuit 374/Pdt.G/LH/2019/PN Jkt.Pst (decision 2021-09-16). [jakarta-court-air-quality] It is evidence of a court finding about public duties and regional coordination; it is not evidence that every ordered action was com…</x:v>
      </x:c>
      <x:c r="K343" s="65" t="str">
        <x:v>https://www.jakarta.go.id/siaran-pers/4802-SP-HMS-06-2024</x:v>
      </x:c>
      <x:c r="L343" s="65" t="n">
        <x:v>0</x:v>
      </x:c>
      <x:c r="M343" s="65" t="str">
        <x:v>Machine-suggested near-miss; human review required.</x:v>
      </x:c>
    </x:row>
    <x:row r="344" ht="42" customHeight="1">
      <x:c r="A344" s="65" t="str">
        <x:v>gold30-017</x:v>
      </x:c>
      <x:c r="B344" s="65" t="str">
        <x:v>hybrid_rerank</x:v>
      </x:c>
      <x:c r="C344" s="88" t="n">
        <x:v>4</x:v>
      </x:c>
      <x:c r="D344" s="65" t="str">
        <x:v>pp-22-2021-air-quality</x:v>
      </x:c>
      <x:c r="E344" s="65" t="str">
        <x:v>pp-22-2021-air-quality:structure:5</x:v>
      </x:c>
      <x:c r="F344" s="65" t="str">
        <x:v>p.6</x:v>
      </x:c>
      <x:c r="G344" s="92" t="n">
        <x:v>0.39100568</x:v>
      </x:c>
      <x:c r="H344" s="65" t="str">
        <x:v>PP No. 22 Tahun 2021 — environmental protection and ambient air quality</x:v>
      </x:c>
      <x:c r="I344" s="65" t="str">
        <x:v>Pemerintah Republik Indonesia / Database Peraturan BPK</x:v>
      </x:c>
      <x:c r="J344" s="65" t="str">
        <x:v>This is a rule-on-paper source. It does not establish that Jakarta inspected every regulated source, that a sanction was imposed in a particular case, or that implementation changed a measured concentration. Those claims require dated implementation records.</x:v>
      </x:c>
      <x:c r="K344" s="65" t="str">
        <x:v>https://peraturan.bpk.go.id/Details/161852/pp-no-22tahun-2021</x:v>
      </x:c>
      <x:c r="L344" s="65" t="n">
        <x:v>0</x:v>
      </x:c>
      <x:c r="M344" s="65" t="str">
        <x:v>Machine-suggested near-miss; human review required.</x:v>
      </x:c>
    </x:row>
    <x:row r="345" ht="42" customHeight="1">
      <x:c r="A345" s="65" t="str">
        <x:v>gold30-017</x:v>
      </x:c>
      <x:c r="B345" s="65" t="str">
        <x:v>hybrid_rerank</x:v>
      </x:c>
      <x:c r="C345" s="88" t="n">
        <x:v>5</x:v>
      </x:c>
      <x:c r="D345" s="65" t="str">
        <x:v>jakarta-policy-status</x:v>
      </x:c>
      <x:c r="E345" s="65" t="str">
        <x:v>jakarta-policy-status:structure:2</x:v>
      </x:c>
      <x:c r="F345" s="65" t="str">
        <x:v>p.3</x:v>
      </x:c>
      <x:c r="G345" s="92" t="n">
        <x:v>0.32757845</x:v>
      </x:c>
      <x:c r="H345" s="65" t="str">
        <x:v>Policy proposals and implementation gaps</x:v>
      </x:c>
      <x:c r="I345" s="65" t="str">
        <x:v>Pemerintah Provinsi DKI Jakarta / JDIH</x:v>
      </x:c>
      <x:c r="J345" s="65" t="str">
        <x:v>The Jakarta citizen lawsuit and later court decisions are evidence about public duties and legal findings, not proof that every recommended intervention has been implemented.</x:v>
      </x:c>
      <x:c r="K345" s="65" t="str">
        <x:v>https://www.jakarta.go.id/siaran-pers/3850-SP-HMS-01-2023</x:v>
      </x:c>
      <x:c r="L345" s="65" t="n">
        <x:v>0</x:v>
      </x:c>
      <x:c r="M345" s="65" t="str">
        <x:v>Machine-suggested near-miss; human review required.</x:v>
      </x:c>
    </x:row>
    <x:row r="346" ht="42" customHeight="1">
      <x:c r="A346" s="65" t="str">
        <x:v>gold30-018</x:v>
      </x:c>
      <x:c r="B346" s="65" t="str">
        <x:v>bm25</x:v>
      </x:c>
      <x:c r="C346" s="88" t="n">
        <x:v>1</x:v>
      </x:c>
      <x:c r="D346" s="65" t="str">
        <x:v>jakarta-improvements</x:v>
      </x:c>
      <x:c r="E346" s="65" t="str">
        <x:v>jakarta-improvements:structure:0</x:v>
      </x:c>
      <x:c r="F346" s="65" t="str">
        <x:v>p.1</x:v>
      </x:c>
      <x:c r="G346" s="92" t="n">
        <x:v>0.3</x:v>
      </x:c>
      <x:c r="H346" s="65" t="str">
        <x:v>Ways to improve Jakarta air quality</x:v>
      </x:c>
      <x:c r="I346" s="65" t="str">
        <x:v>Pemerintah Provinsi DKI Jakarta / Dinas Lingkungan Hidup</x:v>
      </x:c>
      <x:c r="J346"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346" s="65" t="str">
        <x:v>https://www.jakarta.go.id/page/upaya-bersama-jaga-kualitas-udara-jakarta</x:v>
      </x:c>
      <x:c r="L346" s="65" t="n">
        <x:v>0</x:v>
      </x:c>
      <x:c r="M346" s="65" t="str">
        <x:v>Machine-suggested near-miss; human review required.</x:v>
      </x:c>
    </x:row>
    <x:row r="347" ht="42" customHeight="1">
      <x:c r="A347" s="65" t="str">
        <x:v>gold30-018</x:v>
      </x:c>
      <x:c r="B347" s="65" t="str">
        <x:v>bm25</x:v>
      </x:c>
      <x:c r="C347" s="88" t="n">
        <x:v>2</x:v>
      </x:c>
      <x:c r="D347" s="65" t="str">
        <x:v>jakarta-seasonal-exposure</x:v>
      </x:c>
      <x:c r="E347" s="65" t="str">
        <x:v>jakarta-seasonal-exposure:structure:0</x:v>
      </x:c>
      <x:c r="F347" s="65" t="str">
        <x:v>p.1</x:v>
      </x:c>
      <x:c r="G347" s="92" t="n">
        <x:v>0.3</x:v>
      </x:c>
      <x:c r="H347" s="65" t="str">
        <x:v>Jakarta timing and local exposure context</x:v>
      </x:c>
      <x:c r="I347" s="65" t="str">
        <x:v>Dinas Lingkungan Hidup DKI Jakarta</x:v>
      </x:c>
      <x:c r="J347" s="65" t="str">
        <x:v>Published: 2024-04-06 Status as of: 2026-09-07 (official seasonal notice; not a current forecast) Document type: official_public_guidance Tags: topic=exposure-protection; audience=Jakarta-resident; action=protect-now; pollutant=PM2.5</x:v>
      </x:c>
      <x:c r="K347" s="65" t="str">
        <x:v>https://lingkunganhidup.jakarta.go.id/detail-artikel/masuki-musim-kemarau-pemprov-dki-minta-masyarakat-waspadai-penurunan-kualitas-udara</x:v>
      </x:c>
      <x:c r="L347" s="65" t="n">
        <x:v>0</x:v>
      </x:c>
      <x:c r="M347" s="65" t="str">
        <x:v>Machine-suggested near-miss; human review required.</x:v>
      </x:c>
    </x:row>
    <x:row r="348" ht="42" customHeight="1">
      <x:c r="A348" s="65" t="str">
        <x:v>gold30-018</x:v>
      </x:c>
      <x:c r="B348" s="65" t="str">
        <x:v>bm25</x:v>
      </x:c>
      <x:c r="C348" s="88" t="n">
        <x:v>3</x:v>
      </x:c>
      <x:c r="D348" s="65" t="str">
        <x:v>bad-air-day-protection</x:v>
      </x:c>
      <x:c r="E348" s="65" t="str">
        <x:v>bad-air-day-protection:structure:0</x:v>
      </x:c>
      <x:c r="F348" s="65" t="str">
        <x:v>p.1</x:v>
      </x:c>
      <x:c r="G348" s="92" t="n">
        <x:v>0.1</x:v>
      </x:c>
      <x:c r="H348" s="65" t="str">
        <x:v>Bad-air-day protection playbook</x:v>
      </x:c>
      <x:c r="I348" s="65" t="str">
        <x:v>World Health Organization, Regional Office for Europe</x:v>
      </x:c>
      <x:c r="J348" s="65" t="str">
        <x:v>Published: 2024-10-04 Status as of: 2026-09-07 (health guidance; not Indonesian law) Document type: health_guidance Tags: topic=exposure-protection; audience=Jakarta-resident; action=protect-now; pollutant=ambient-particles</x:v>
      </x:c>
      <x:c r="K348" s="65" t="str">
        <x:v>https://www.who.int/news-room/questions-and-answers/item/air-pollution-personal-interventions-and-risk-communication</x:v>
      </x:c>
      <x:c r="L348" s="65" t="n">
        <x:v>0</x:v>
      </x:c>
      <x:c r="M348" s="65" t="str">
        <x:v>Machine-suggested near-miss; human review required.</x:v>
      </x:c>
    </x:row>
    <x:row r="349" ht="42" customHeight="1">
      <x:c r="A349" s="65" t="str">
        <x:v>gold30-018</x:v>
      </x:c>
      <x:c r="B349" s="65" t="str">
        <x:v>bm25</x:v>
      </x:c>
      <x:c r="C349" s="88" t="n">
        <x:v>4</x:v>
      </x:c>
      <x:c r="D349" s="65" t="str">
        <x:v>clean-air-room</x:v>
      </x:c>
      <x:c r="E349" s="65" t="str">
        <x:v>clean-air-room:structure:1</x:v>
      </x:c>
      <x:c r="F349" s="65" t="str">
        <x:v>p.2</x:v>
      </x:c>
      <x:c r="G349" s="92" t="n">
        <x:v>0.1</x:v>
      </x:c>
      <x:c r="H349" s="65" t="str">
        <x:v>Indoor filtration and a clean-air room</x:v>
      </x:c>
      <x:c r="I349" s="65" t="str">
        <x:v>United States Environmental Protection Agency</x:v>
      </x:c>
      <x:c r="J349"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349" s="65" t="str">
        <x:v>https://www.epa.gov/indoor-air-quality-iaq/guide-air-cleaners-home</x:v>
      </x:c>
      <x:c r="L349" s="65" t="n">
        <x:v>0</x:v>
      </x:c>
      <x:c r="M349" s="65" t="str">
        <x:v>Machine-suggested near-miss; human review required.</x:v>
      </x:c>
    </x:row>
    <x:row r="350" ht="42" customHeight="1">
      <x:c r="A350" s="65" t="str">
        <x:v>gold30-018</x:v>
      </x:c>
      <x:c r="B350" s="65" t="str">
        <x:v>bm25</x:v>
      </x:c>
      <x:c r="C350" s="88" t="n">
        <x:v>5</x:v>
      </x:c>
      <x:c r="D350" s="65" t="str">
        <x:v>epa-air-cleaners-home-2026</x:v>
      </x:c>
      <x:c r="E350" s="65" t="str">
        <x:v>epa-air-cleaners-home-2026:structure:0</x:v>
      </x:c>
      <x:c r="F350" s="65" t="str">
        <x:v>p.1</x:v>
      </x:c>
      <x:c r="G350" s="92" t="n">
        <x:v>0.1</x:v>
      </x:c>
      <x:c r="H350" s="65" t="str">
        <x:v>US EPA Guide to Air Cleaners in the Home (2nd edition)</x:v>
      </x:c>
      <x:c r="I350" s="65" t="str">
        <x:v>United States Environmental Protection Agency</x:v>
      </x:c>
      <x:c r="J350" s="65" t="str">
        <x:v>The EPA guide discusses portable air cleaners, heating/ventilation and air-conditioning filters, indoor pollutant sources and practical limits. It is technical household guidance and should not be presented as a Jakarta regulation.</x:v>
      </x:c>
      <x:c r="K350" s="65" t="str">
        <x:v>https://www.epa.gov/indoor-air-quality-iaq/guide-air-cleaners-home</x:v>
      </x:c>
      <x:c r="L350" s="65" t="n">
        <x:v>0</x:v>
      </x:c>
      <x:c r="M350" s="65" t="str">
        <x:v>Machine-suggested near-miss; human review required.</x:v>
      </x:c>
    </x:row>
    <x:row r="351" ht="42" customHeight="1">
      <x:c r="A351" s="65" t="str">
        <x:v>gold30-018</x:v>
      </x:c>
      <x:c r="B351" s="65" t="str">
        <x:v>dense</x:v>
      </x:c>
      <x:c r="C351" s="88" t="n">
        <x:v>1</x:v>
      </x:c>
      <x:c r="D351" s="65" t="str">
        <x:v>jakarta-sppu-official-status-2024</x:v>
      </x:c>
      <x:c r="E351" s="65" t="str">
        <x:v>jakarta-sppu-official-status-2024:structure:1</x:v>
      </x:c>
      <x:c r="F351" s="65" t="str">
        <x:v>p.2</x:v>
      </x:c>
      <x:c r="G351" s="92" t="n">
        <x:v>0.21824366</x:v>
      </x:c>
      <x:c r="H351" s="65" t="str">
        <x:v>Jakarta SPPU and air-quality implementation status (official statement, 2024)</x:v>
      </x:c>
      <x:c r="I351" s="65" t="str">
        <x:v>Pemerintah Provinsi DKI Jakarta / Dinas Lingkungan Hidup DKI Jakarta</x:v>
      </x:c>
      <x:c r="J351" s="65" t="str">
        <x:v>The official statement discusses work involving emissions inventories, stronger oversight of mobile and stationary sources, and cooperation across the Greater Jakarta agglomeration. These are documented workstreams and should not be rewritten as completed outcomes without separa…</x:v>
      </x:c>
      <x:c r="K351" s="65" t="str">
        <x:v>https://www.jakarta.go.id/siaran-pers/4802-SP-HMS-06-2024</x:v>
      </x:c>
      <x:c r="L351" s="65" t="n">
        <x:v>0</x:v>
      </x:c>
      <x:c r="M351" s="65" t="str">
        <x:v>Machine-suggested near-miss; human review required.</x:v>
      </x:c>
    </x:row>
    <x:row r="352" ht="42" customHeight="1">
      <x:c r="A352" s="65" t="str">
        <x:v>gold30-018</x:v>
      </x:c>
      <x:c r="B352" s="65" t="str">
        <x:v>dense</x:v>
      </x:c>
      <x:c r="C352" s="88" t="n">
        <x:v>2</x:v>
      </x:c>
      <x:c r="D352" s="65" t="str">
        <x:v>jakarta-monitoring</x:v>
      </x:c>
      <x:c r="E352" s="65" t="str">
        <x:v>jakarta-monitoring:structure:0</x:v>
      </x:c>
      <x:c r="F352" s="65" t="str">
        <x:v>p.1</x:v>
      </x:c>
      <x:c r="G352" s="92" t="n">
        <x:v>0.2107567</x:v>
      </x:c>
      <x:c r="H352" s="65" t="str">
        <x:v>Jakarta monitoring stations</x:v>
      </x:c>
      <x:c r="I352" s="65" t="str">
        <x:v>Dinas Lingkungan Hidup Provinsi DKI Jakarta</x:v>
      </x:c>
      <x:c r="J352" s="65" t="str">
        <x:v>Jakarta's official monitoring portal publishes station locations, pollutant parameters, current readings, and timestamps. A station observation describes that station and observation time; it should not automatically be generalized to all of Jakarta.</x:v>
      </x:c>
      <x:c r="K352" s="65" t="str">
        <x:v>https://udara.jakarta.go.id/lokasi-spku</x:v>
      </x:c>
      <x:c r="L352" s="65" t="n">
        <x:v>0</x:v>
      </x:c>
      <x:c r="M352" s="65" t="str">
        <x:v>Machine-suggested near-miss; human review required.</x:v>
      </x:c>
    </x:row>
    <x:row r="353" ht="42" customHeight="1">
      <x:c r="A353" s="65" t="str">
        <x:v>gold30-018</x:v>
      </x:c>
      <x:c r="B353" s="65" t="str">
        <x:v>dense</x:v>
      </x:c>
      <x:c r="C353" s="88" t="n">
        <x:v>3</x:v>
      </x:c>
      <x:c r="D353" s="65" t="str">
        <x:v>jakarta-improvements</x:v>
      </x:c>
      <x:c r="E353" s="65" t="str">
        <x:v>jakarta-improvements:structure:0</x:v>
      </x:c>
      <x:c r="F353" s="65" t="str">
        <x:v>p.1</x:v>
      </x:c>
      <x:c r="G353" s="92" t="n">
        <x:v>0.20537721</x:v>
      </x:c>
      <x:c r="H353" s="65" t="str">
        <x:v>Ways to improve Jakarta air quality</x:v>
      </x:c>
      <x:c r="I353" s="65" t="str">
        <x:v>Pemerintah Provinsi DKI Jakarta / Dinas Lingkungan Hidup</x:v>
      </x:c>
      <x:c r="J353"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353" s="65" t="str">
        <x:v>https://www.jakarta.go.id/page/upaya-bersama-jaga-kualitas-udara-jakarta</x:v>
      </x:c>
      <x:c r="L353" s="65" t="n">
        <x:v>0</x:v>
      </x:c>
      <x:c r="M353" s="65" t="str">
        <x:v>Machine-suggested near-miss; human review required.</x:v>
      </x:c>
    </x:row>
    <x:row r="354" ht="42" customHeight="1">
      <x:c r="A354" s="65" t="str">
        <x:v>gold30-018</x:v>
      </x:c>
      <x:c r="B354" s="65" t="str">
        <x:v>dense</x:v>
      </x:c>
      <x:c r="C354" s="88" t="n">
        <x:v>4</x:v>
      </x:c>
      <x:c r="D354" s="65" t="str">
        <x:v>jakarta-seasonal-exposure</x:v>
      </x:c>
      <x:c r="E354" s="65" t="str">
        <x:v>jakarta-seasonal-exposure:structure:0</x:v>
      </x:c>
      <x:c r="F354" s="65" t="str">
        <x:v>p.1</x:v>
      </x:c>
      <x:c r="G354" s="92" t="n">
        <x:v>0.19668698</x:v>
      </x:c>
      <x:c r="H354" s="65" t="str">
        <x:v>Jakarta timing and local exposure context</x:v>
      </x:c>
      <x:c r="I354" s="65" t="str">
        <x:v>Dinas Lingkungan Hidup DKI Jakarta</x:v>
      </x:c>
      <x:c r="J354" s="65" t="str">
        <x:v>Published: 2024-04-06 Status as of: 2026-09-07 (official seasonal notice; not a current forecast) Document type: official_public_guidance Tags: topic=exposure-protection; audience=Jakarta-resident; action=protect-now; pollutant=PM2.5</x:v>
      </x:c>
      <x:c r="K354" s="65" t="str">
        <x:v>https://lingkunganhidup.jakarta.go.id/detail-artikel/masuki-musim-kemarau-pemprov-dki-minta-masyarakat-waspadai-penurunan-kualitas-udara</x:v>
      </x:c>
      <x:c r="L354" s="65" t="n">
        <x:v>0</x:v>
      </x:c>
      <x:c r="M354" s="65" t="str">
        <x:v>Machine-suggested near-miss; human review required.</x:v>
      </x:c>
    </x:row>
    <x:row r="355" ht="42" customHeight="1">
      <x:c r="A355" s="65" t="str">
        <x:v>gold30-018</x:v>
      </x:c>
      <x:c r="B355" s="65" t="str">
        <x:v>dense</x:v>
      </x:c>
      <x:c r="C355" s="88" t="n">
        <x:v>5</x:v>
      </x:c>
      <x:c r="D355" s="65" t="str">
        <x:v>pp-22-2021-air-quality</x:v>
      </x:c>
      <x:c r="E355" s="65" t="str">
        <x:v>pp-22-2021-air-quality:structure:5</x:v>
      </x:c>
      <x:c r="F355" s="65" t="str">
        <x:v>p.6</x:v>
      </x:c>
      <x:c r="G355" s="92" t="n">
        <x:v>0.18836761</x:v>
      </x:c>
      <x:c r="H355" s="65" t="str">
        <x:v>PP No. 22 Tahun 2021 — environmental protection and ambient air quality</x:v>
      </x:c>
      <x:c r="I355" s="65" t="str">
        <x:v>Pemerintah Republik Indonesia / Database Peraturan BPK</x:v>
      </x:c>
      <x:c r="J355" s="65" t="str">
        <x:v>This is a rule-on-paper source. It does not establish that Jakarta inspected every regulated source, that a sanction was imposed in a particular case, or that implementation changed a measured concentration. Those claims require dated implementation records.</x:v>
      </x:c>
      <x:c r="K355" s="65" t="str">
        <x:v>https://peraturan.bpk.go.id/Details/161852/pp-no-22tahun-2021</x:v>
      </x:c>
      <x:c r="L355" s="65" t="n">
        <x:v>0</x:v>
      </x:c>
      <x:c r="M355" s="65" t="str">
        <x:v>Machine-suggested near-miss; human review required.</x:v>
      </x:c>
    </x:row>
    <x:row r="356" ht="42" customHeight="1">
      <x:c r="A356" s="65" t="str">
        <x:v>gold30-018</x:v>
      </x:c>
      <x:c r="B356" s="65" t="str">
        <x:v>hybrid</x:v>
      </x:c>
      <x:c r="C356" s="88" t="n">
        <x:v>1</x:v>
      </x:c>
      <x:c r="D356" s="65" t="str">
        <x:v>jakarta-improvements</x:v>
      </x:c>
      <x:c r="E356" s="65" t="str">
        <x:v>jakarta-improvements:structure:0</x:v>
      </x:c>
      <x:c r="F356" s="65" t="str">
        <x:v>p.1</x:v>
      </x:c>
      <x:c r="G356" s="92" t="n">
        <x:v>0.03258392</x:v>
      </x:c>
      <x:c r="H356" s="65" t="str">
        <x:v>Ways to improve Jakarta air quality</x:v>
      </x:c>
      <x:c r="I356" s="65" t="str">
        <x:v>Pemerintah Provinsi DKI Jakarta / Dinas Lingkungan Hidup</x:v>
      </x:c>
      <x:c r="J356"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356" s="65" t="str">
        <x:v>https://www.jakarta.go.id/page/upaya-bersama-jaga-kualitas-udara-jakarta</x:v>
      </x:c>
      <x:c r="L356" s="65" t="n">
        <x:v>0</x:v>
      </x:c>
      <x:c r="M356" s="65" t="str">
        <x:v>Machine-suggested near-miss; human review required.</x:v>
      </x:c>
    </x:row>
    <x:row r="357" ht="42" customHeight="1">
      <x:c r="A357" s="65" t="str">
        <x:v>gold30-018</x:v>
      </x:c>
      <x:c r="B357" s="65" t="str">
        <x:v>hybrid</x:v>
      </x:c>
      <x:c r="C357" s="88" t="n">
        <x:v>2</x:v>
      </x:c>
      <x:c r="D357" s="65" t="str">
        <x:v>jakarta-seasonal-exposure</x:v>
      </x:c>
      <x:c r="E357" s="65" t="str">
        <x:v>jakarta-seasonal-exposure:structure:0</x:v>
      </x:c>
      <x:c r="F357" s="65" t="str">
        <x:v>p.1</x:v>
      </x:c>
      <x:c r="G357" s="92" t="n">
        <x:v>0.03206653</x:v>
      </x:c>
      <x:c r="H357" s="65" t="str">
        <x:v>Jakarta timing and local exposure context</x:v>
      </x:c>
      <x:c r="I357" s="65" t="str">
        <x:v>Dinas Lingkungan Hidup DKI Jakarta</x:v>
      </x:c>
      <x:c r="J357" s="65" t="str">
        <x:v>Published: 2024-04-06 Status as of: 2026-09-07 (official seasonal notice; not a current forecast) Document type: official_public_guidance Tags: topic=exposure-protection; audience=Jakarta-resident; action=protect-now; pollutant=PM2.5</x:v>
      </x:c>
      <x:c r="K357" s="65" t="str">
        <x:v>https://lingkunganhidup.jakarta.go.id/detail-artikel/masuki-musim-kemarau-pemprov-dki-minta-masyarakat-waspadai-penurunan-kualitas-udara</x:v>
      </x:c>
      <x:c r="L357" s="65" t="n">
        <x:v>0</x:v>
      </x:c>
      <x:c r="M357" s="65" t="str">
        <x:v>Machine-suggested near-miss; human review required.</x:v>
      </x:c>
    </x:row>
    <x:row r="358" ht="42" customHeight="1">
      <x:c r="A358" s="65" t="str">
        <x:v>gold30-018</x:v>
      </x:c>
      <x:c r="B358" s="65" t="str">
        <x:v>hybrid</x:v>
      </x:c>
      <x:c r="C358" s="88" t="n">
        <x:v>3</x:v>
      </x:c>
      <x:c r="D358" s="65" t="str">
        <x:v>jakarta-sppu-official-status-2024</x:v>
      </x:c>
      <x:c r="E358" s="65" t="str">
        <x:v>jakarta-sppu-official-status-2024:structure:1</x:v>
      </x:c>
      <x:c r="F358" s="65" t="str">
        <x:v>p.2</x:v>
      </x:c>
      <x:c r="G358" s="92" t="n">
        <x:v>0.01672131</x:v>
      </x:c>
      <x:c r="H358" s="65" t="str">
        <x:v>Jakarta SPPU and air-quality implementation status (official statement, 2024)</x:v>
      </x:c>
      <x:c r="I358" s="65" t="str">
        <x:v>Pemerintah Provinsi DKI Jakarta / Dinas Lingkungan Hidup DKI Jakarta</x:v>
      </x:c>
      <x:c r="J358" s="65" t="str">
        <x:v>The official statement discusses work involving emissions inventories, stronger oversight of mobile and stationary sources, and cooperation across the Greater Jakarta agglomeration. These are documented workstreams and should not be rewritten as completed outcomes without separa…</x:v>
      </x:c>
      <x:c r="K358" s="65" t="str">
        <x:v>https://www.jakarta.go.id/siaran-pers/4802-SP-HMS-06-2024</x:v>
      </x:c>
      <x:c r="L358" s="65" t="n">
        <x:v>0</x:v>
      </x:c>
      <x:c r="M358" s="65" t="str">
        <x:v>Machine-suggested near-miss; human review required.</x:v>
      </x:c>
    </x:row>
    <x:row r="359" ht="42" customHeight="1">
      <x:c r="A359" s="65" t="str">
        <x:v>gold30-018</x:v>
      </x:c>
      <x:c r="B359" s="65" t="str">
        <x:v>hybrid</x:v>
      </x:c>
      <x:c r="C359" s="88" t="n">
        <x:v>4</x:v>
      </x:c>
      <x:c r="D359" s="65" t="str">
        <x:v>jakarta-monitoring</x:v>
      </x:c>
      <x:c r="E359" s="65" t="str">
        <x:v>jakarta-monitoring:structure:0</x:v>
      </x:c>
      <x:c r="F359" s="65" t="str">
        <x:v>p.1</x:v>
      </x:c>
      <x:c r="G359" s="92" t="n">
        <x:v>0.01645161</x:v>
      </x:c>
      <x:c r="H359" s="65" t="str">
        <x:v>Jakarta monitoring stations</x:v>
      </x:c>
      <x:c r="I359" s="65" t="str">
        <x:v>Dinas Lingkungan Hidup Provinsi DKI Jakarta</x:v>
      </x:c>
      <x:c r="J359" s="65" t="str">
        <x:v>Jakarta's official monitoring portal publishes station locations, pollutant parameters, current readings, and timestamps. A station observation describes that station and observation time; it should not automatically be generalized to all of Jakarta.</x:v>
      </x:c>
      <x:c r="K359" s="65" t="str">
        <x:v>https://udara.jakarta.go.id/lokasi-spku</x:v>
      </x:c>
      <x:c r="L359" s="65" t="n">
        <x:v>0</x:v>
      </x:c>
      <x:c r="M359" s="65" t="str">
        <x:v>Machine-suggested near-miss; human review required.</x:v>
      </x:c>
    </x:row>
    <x:row r="360" ht="42" customHeight="1">
      <x:c r="A360" s="65" t="str">
        <x:v>gold30-018</x:v>
      </x:c>
      <x:c r="B360" s="65" t="str">
        <x:v>hybrid</x:v>
      </x:c>
      <x:c r="C360" s="88" t="n">
        <x:v>5</x:v>
      </x:c>
      <x:c r="D360" s="65" t="str">
        <x:v>bad-air-day-protection</x:v>
      </x:c>
      <x:c r="E360" s="65" t="str">
        <x:v>bad-air-day-protection:structure:0</x:v>
      </x:c>
      <x:c r="F360" s="65" t="str">
        <x:v>p.1</x:v>
      </x:c>
      <x:c r="G360" s="92" t="n">
        <x:v>0.01587302</x:v>
      </x:c>
      <x:c r="H360" s="65" t="str">
        <x:v>Bad-air-day protection playbook</x:v>
      </x:c>
      <x:c r="I360" s="65" t="str">
        <x:v>World Health Organization, Regional Office for Europe</x:v>
      </x:c>
      <x:c r="J360" s="65" t="str">
        <x:v>Published: 2024-10-04 Status as of: 2026-09-07 (health guidance; not Indonesian law) Document type: health_guidance Tags: topic=exposure-protection; audience=Jakarta-resident; action=protect-now; pollutant=ambient-particles</x:v>
      </x:c>
      <x:c r="K360" s="65" t="str">
        <x:v>https://www.who.int/news-room/questions-and-answers/item/air-pollution-personal-interventions-and-risk-communication</x:v>
      </x:c>
      <x:c r="L360" s="65" t="n">
        <x:v>0</x:v>
      </x:c>
      <x:c r="M360" s="65" t="str">
        <x:v>Machine-suggested near-miss; human review required.</x:v>
      </x:c>
    </x:row>
    <x:row r="361" ht="42" customHeight="1">
      <x:c r="A361" s="65" t="str">
        <x:v>gold30-018</x:v>
      </x:c>
      <x:c r="B361" s="65" t="str">
        <x:v>hybrid_rerank</x:v>
      </x:c>
      <x:c r="C361" s="88" t="n">
        <x:v>1</x:v>
      </x:c>
      <x:c r="D361" s="65" t="str">
        <x:v>jakarta-improvements</x:v>
      </x:c>
      <x:c r="E361" s="65" t="str">
        <x:v>jakarta-improvements:structure:0</x:v>
      </x:c>
      <x:c r="F361" s="65" t="str">
        <x:v>p.1</x:v>
      </x:c>
      <x:c r="G361" s="92" t="n">
        <x:v>0.21977518</x:v>
      </x:c>
      <x:c r="H361" s="65" t="str">
        <x:v>Ways to improve Jakarta air quality</x:v>
      </x:c>
      <x:c r="I361" s="65" t="str">
        <x:v>Pemerintah Provinsi DKI Jakarta / Dinas Lingkungan Hidup</x:v>
      </x:c>
      <x:c r="J361"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361" s="65" t="str">
        <x:v>https://www.jakarta.go.id/page/upaya-bersama-jaga-kualitas-udara-jakarta</x:v>
      </x:c>
      <x:c r="L361" s="65" t="n">
        <x:v>0</x:v>
      </x:c>
      <x:c r="M361" s="65" t="str">
        <x:v>Machine-suggested near-miss; human review required.</x:v>
      </x:c>
    </x:row>
    <x:row r="362" ht="42" customHeight="1">
      <x:c r="A362" s="65" t="str">
        <x:v>gold30-018</x:v>
      </x:c>
      <x:c r="B362" s="65" t="str">
        <x:v>hybrid_rerank</x:v>
      </x:c>
      <x:c r="C362" s="88" t="n">
        <x:v>2</x:v>
      </x:c>
      <x:c r="D362" s="65" t="str">
        <x:v>jakarta-seasonal-exposure</x:v>
      </x:c>
      <x:c r="E362" s="65" t="str">
        <x:v>jakarta-seasonal-exposure:structure:0</x:v>
      </x:c>
      <x:c r="F362" s="65" t="str">
        <x:v>p.1</x:v>
      </x:c>
      <x:c r="G362" s="92" t="n">
        <x:v>0.21961996</x:v>
      </x:c>
      <x:c r="H362" s="65" t="str">
        <x:v>Jakarta timing and local exposure context</x:v>
      </x:c>
      <x:c r="I362" s="65" t="str">
        <x:v>Dinas Lingkungan Hidup DKI Jakarta</x:v>
      </x:c>
      <x:c r="J362" s="65" t="str">
        <x:v>Published: 2024-04-06 Status as of: 2026-09-07 (official seasonal notice; not a current forecast) Document type: official_public_guidance Tags: topic=exposure-protection; audience=Jakarta-resident; action=protect-now; pollutant=PM2.5</x:v>
      </x:c>
      <x:c r="K362" s="65" t="str">
        <x:v>https://lingkunganhidup.jakarta.go.id/detail-artikel/masuki-musim-kemarau-pemprov-dki-minta-masyarakat-waspadai-penurunan-kualitas-udara</x:v>
      </x:c>
      <x:c r="L362" s="65" t="n">
        <x:v>0</x:v>
      </x:c>
      <x:c r="M362" s="65" t="str">
        <x:v>Machine-suggested near-miss; human review required.</x:v>
      </x:c>
    </x:row>
    <x:row r="363" ht="42" customHeight="1">
      <x:c r="A363" s="65" t="str">
        <x:v>gold30-018</x:v>
      </x:c>
      <x:c r="B363" s="65" t="str">
        <x:v>hybrid_rerank</x:v>
      </x:c>
      <x:c r="C363" s="88" t="n">
        <x:v>3</x:v>
      </x:c>
      <x:c r="D363" s="65" t="str">
        <x:v>jakarta-sppu-official-status-2024</x:v>
      </x:c>
      <x:c r="E363" s="65" t="str">
        <x:v>jakarta-sppu-official-status-2024:structure:1</x:v>
      </x:c>
      <x:c r="F363" s="65" t="str">
        <x:v>p.2</x:v>
      </x:c>
      <x:c r="G363" s="92" t="n">
        <x:v>0.07501639</x:v>
      </x:c>
      <x:c r="H363" s="65" t="str">
        <x:v>Jakarta SPPU and air-quality implementation status (official statement, 2024)</x:v>
      </x:c>
      <x:c r="I363" s="65" t="str">
        <x:v>Pemerintah Provinsi DKI Jakarta / Dinas Lingkungan Hidup DKI Jakarta</x:v>
      </x:c>
      <x:c r="J363" s="65" t="str">
        <x:v>The official statement discusses work involving emissions inventories, stronger oversight of mobile and stationary sources, and cooperation across the Greater Jakarta agglomeration. These are documented workstreams and should not be rewritten as completed outcomes without separa…</x:v>
      </x:c>
      <x:c r="K363" s="65" t="str">
        <x:v>https://www.jakarta.go.id/siaran-pers/4802-SP-HMS-06-2024</x:v>
      </x:c>
      <x:c r="L363" s="65" t="n">
        <x:v>0</x:v>
      </x:c>
      <x:c r="M363" s="65" t="str">
        <x:v>Machine-suggested near-miss; human review required.</x:v>
      </x:c>
    </x:row>
    <x:row r="364" ht="42" customHeight="1">
      <x:c r="A364" s="65" t="str">
        <x:v>gold30-018</x:v>
      </x:c>
      <x:c r="B364" s="65" t="str">
        <x:v>hybrid_rerank</x:v>
      </x:c>
      <x:c r="C364" s="88" t="n">
        <x:v>4</x:v>
      </x:c>
      <x:c r="D364" s="65" t="str">
        <x:v>jakarta-monitoring</x:v>
      </x:c>
      <x:c r="E364" s="65" t="str">
        <x:v>jakarta-monitoring:structure:0</x:v>
      </x:c>
      <x:c r="F364" s="65" t="str">
        <x:v>p.1</x:v>
      </x:c>
      <x:c r="G364" s="92" t="n">
        <x:v>0.07493548</x:v>
      </x:c>
      <x:c r="H364" s="65" t="str">
        <x:v>Jakarta monitoring stations</x:v>
      </x:c>
      <x:c r="I364" s="65" t="str">
        <x:v>Dinas Lingkungan Hidup Provinsi DKI Jakarta</x:v>
      </x:c>
      <x:c r="J364" s="65" t="str">
        <x:v>Jakarta's official monitoring portal publishes station locations, pollutant parameters, current readings, and timestamps. A station observation describes that station and observation time; it should not automatically be generalized to all of Jakarta.</x:v>
      </x:c>
      <x:c r="K364" s="65" t="str">
        <x:v>https://udara.jakarta.go.id/lokasi-spku</x:v>
      </x:c>
      <x:c r="L364" s="65" t="n">
        <x:v>0</x:v>
      </x:c>
      <x:c r="M364" s="65" t="str">
        <x:v>Machine-suggested near-miss; human review required.</x:v>
      </x:c>
    </x:row>
    <x:row r="365" ht="42" customHeight="1">
      <x:c r="A365" s="65" t="str">
        <x:v>gold30-018</x:v>
      </x:c>
      <x:c r="B365" s="65" t="str">
        <x:v>hybrid_rerank</x:v>
      </x:c>
      <x:c r="C365" s="88" t="n">
        <x:v>5</x:v>
      </x:c>
      <x:c r="D365" s="65" t="str">
        <x:v>bad-air-day-protection</x:v>
      </x:c>
      <x:c r="E365" s="65" t="str">
        <x:v>bad-air-day-protection:structure:0</x:v>
      </x:c>
      <x:c r="F365" s="65" t="str">
        <x:v>p.1</x:v>
      </x:c>
      <x:c r="G365" s="92" t="n">
        <x:v>0.0747619</x:v>
      </x:c>
      <x:c r="H365" s="65" t="str">
        <x:v>Bad-air-day protection playbook</x:v>
      </x:c>
      <x:c r="I365" s="65" t="str">
        <x:v>World Health Organization, Regional Office for Europe</x:v>
      </x:c>
      <x:c r="J365" s="65" t="str">
        <x:v>Published: 2024-10-04 Status as of: 2026-09-07 (health guidance; not Indonesian law) Document type: health_guidance Tags: topic=exposure-protection; audience=Jakarta-resident; action=protect-now; pollutant=ambient-particles</x:v>
      </x:c>
      <x:c r="K365" s="65" t="str">
        <x:v>https://www.who.int/news-room/questions-and-answers/item/air-pollution-personal-interventions-and-risk-communication</x:v>
      </x:c>
      <x:c r="L365" s="65" t="n">
        <x:v>0</x:v>
      </x:c>
      <x:c r="M365" s="65" t="str">
        <x:v>Machine-suggested near-miss; human review required.</x:v>
      </x:c>
    </x:row>
    <x:row r="366" ht="42" customHeight="1">
      <x:c r="A366" s="65" t="str">
        <x:v>gold30-019</x:v>
      </x:c>
      <x:c r="B366" s="65" t="str">
        <x:v>bm25</x:v>
      </x:c>
      <x:c r="C366" s="88" t="n">
        <x:v>1</x:v>
      </x:c>
      <x:c r="D366" s="65" t="str">
        <x:v>bad-air-day-protection</x:v>
      </x:c>
      <x:c r="E366" s="65" t="str">
        <x:v>bad-air-day-protection:structure:3</x:v>
      </x:c>
      <x:c r="F366" s="65" t="str">
        <x:v>p.4</x:v>
      </x:c>
      <x:c r="G366" s="92" t="n">
        <x:v>0.77777778</x:v>
      </x:c>
      <x:c r="H366" s="65" t="str">
        <x:v>Bad-air-day protection playbook</x:v>
      </x:c>
      <x:c r="I366" s="65" t="str">
        <x:v>World Health Organization, Regional Office for Europe</x:v>
      </x:c>
      <x:c r="J366" s="65" t="str">
        <x:v>Personal protection reduces a person's dose. It does not reduce Jakarta's emissions and cannot replace enforcement or clean-air policy. [bad-air-day-protection]</x:v>
      </x:c>
      <x:c r="K366" s="65" t="str">
        <x:v>https://www.who.int/news-room/questions-and-answers/item/air-pollution-personal-interventions-and-risk-communication</x:v>
      </x:c>
      <x:c r="L366" s="65" t="n">
        <x:v>3</x:v>
      </x:c>
      <x:c r="M366" s="65" t="str">
        <x:v>Expected source for this question.</x:v>
      </x:c>
    </x:row>
    <x:row r="367" ht="42" customHeight="1">
      <x:c r="A367" s="65" t="str">
        <x:v>gold30-019</x:v>
      </x:c>
      <x:c r="B367" s="65" t="str">
        <x:v>bm25</x:v>
      </x:c>
      <x:c r="C367" s="88" t="n">
        <x:v>2</x:v>
      </x:c>
      <x:c r="D367" s="65" t="str">
        <x:v>who-personal-interventions-2024</x:v>
      </x:c>
      <x:c r="E367" s="65" t="str">
        <x:v>who-personal-interventions-2024:structure:0</x:v>
      </x:c>
      <x:c r="F367" s="65" t="str">
        <x:v>p.1</x:v>
      </x:c>
      <x:c r="G367" s="92" t="n">
        <x:v>0.55555556</x:v>
      </x:c>
      <x:c r="H367" s="65" t="str">
        <x:v>WHO personal interventions and risk communication (2024)</x:v>
      </x:c>
      <x:c r="I367" s="65" t="str">
        <x:v>World Health Organization</x:v>
      </x:c>
      <x:c r="J367" s="65" t="str">
        <x:v>The WHO Q&amp;A addresses personal interventions and risk communication for air pollution. It presents exposure-reduction options as public-health advice and does not replace emission-control policy or clinical care.</x:v>
      </x:c>
      <x:c r="K367" s="65" t="str">
        <x:v>https://www.who.int/news-room/questions-and-answers/item/air-pollution-personal-interventions-and-risk-communication</x:v>
      </x:c>
      <x:c r="L367" s="65" t="n">
        <x:v>0</x:v>
      </x:c>
      <x:c r="M367" s="65" t="str">
        <x:v>Machine-suggested near-miss; human review required.</x:v>
      </x:c>
    </x:row>
    <x:row r="368" ht="42" customHeight="1">
      <x:c r="A368" s="65" t="str">
        <x:v>gold30-019</x:v>
      </x:c>
      <x:c r="B368" s="65" t="str">
        <x:v>bm25</x:v>
      </x:c>
      <x:c r="C368" s="88" t="n">
        <x:v>3</x:v>
      </x:c>
      <x:c r="D368" s="65" t="str">
        <x:v>clean-air-room</x:v>
      </x:c>
      <x:c r="E368" s="65" t="str">
        <x:v>clean-air-room:structure:1</x:v>
      </x:c>
      <x:c r="F368" s="65" t="str">
        <x:v>p.2</x:v>
      </x:c>
      <x:c r="G368" s="92" t="n">
        <x:v>0.44444444</x:v>
      </x:c>
      <x:c r="H368" s="65" t="str">
        <x:v>Indoor filtration and a clean-air room</x:v>
      </x:c>
      <x:c r="I368" s="65" t="str">
        <x:v>United States Environmental Protection Agency</x:v>
      </x:c>
      <x:c r="J368"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368" s="65" t="str">
        <x:v>https://www.epa.gov/indoor-air-quality-iaq/guide-air-cleaners-home</x:v>
      </x:c>
      <x:c r="L368" s="65" t="n">
        <x:v>0</x:v>
      </x:c>
      <x:c r="M368" s="65" t="str">
        <x:v>Machine-suggested near-miss; human review required.</x:v>
      </x:c>
    </x:row>
    <x:row r="369" ht="42" customHeight="1">
      <x:c r="A369" s="65" t="str">
        <x:v>gold30-019</x:v>
      </x:c>
      <x:c r="B369" s="65" t="str">
        <x:v>bm25</x:v>
      </x:c>
      <x:c r="C369" s="88" t="n">
        <x:v>4</x:v>
      </x:c>
      <x:c r="D369" s="65" t="str">
        <x:v>epa-air-cleaners-home-2026</x:v>
      </x:c>
      <x:c r="E369" s="65" t="str">
        <x:v>epa-air-cleaners-home-2026:structure:0</x:v>
      </x:c>
      <x:c r="F369" s="65" t="str">
        <x:v>p.1</x:v>
      </x:c>
      <x:c r="G369" s="92" t="n">
        <x:v>0.44444444</x:v>
      </x:c>
      <x:c r="H369" s="65" t="str">
        <x:v>US EPA Guide to Air Cleaners in the Home (2nd edition)</x:v>
      </x:c>
      <x:c r="I369" s="65" t="str">
        <x:v>United States Environmental Protection Agency</x:v>
      </x:c>
      <x:c r="J369" s="65" t="str">
        <x:v>The EPA guide discusses portable air cleaners, heating/ventilation and air-conditioning filters, indoor pollutant sources and practical limits. It is technical household guidance and should not be presented as a Jakarta regulation.</x:v>
      </x:c>
      <x:c r="K369" s="65" t="str">
        <x:v>https://www.epa.gov/indoor-air-quality-iaq/guide-air-cleaners-home</x:v>
      </x:c>
      <x:c r="L369" s="65" t="n">
        <x:v>0</x:v>
      </x:c>
      <x:c r="M369" s="65" t="str">
        <x:v>Machine-suggested near-miss; human review required.</x:v>
      </x:c>
    </x:row>
    <x:row r="370" ht="42" customHeight="1">
      <x:c r="A370" s="65" t="str">
        <x:v>gold30-019</x:v>
      </x:c>
      <x:c r="B370" s="65" t="str">
        <x:v>bm25</x:v>
      </x:c>
      <x:c r="C370" s="88" t="n">
        <x:v>5</x:v>
      </x:c>
      <x:c r="D370" s="65" t="str">
        <x:v>individual-emission-actions</x:v>
      </x:c>
      <x:c r="E370" s="65" t="str">
        <x:v>individual-emission-actions:structure:3</x:v>
      </x:c>
      <x:c r="F370" s="65" t="str">
        <x:v>p.4</x:v>
      </x:c>
      <x:c r="G370" s="92" t="n">
        <x:v>0.44444444</x:v>
      </x:c>
      <x:c r="H370" s="65" t="str">
        <x:v>What an individual can do to reduce emissions and improve accountability</x:v>
      </x:c>
      <x:c r="I370" s="65" t="str">
        <x:v>World Health Organization; Pemerintah Provinsi DKI Jakarta</x:v>
      </x:c>
      <x:c r="J370"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370" s="65" t="str">
        <x:v>https://www.who.int/europe/publications/m/item/personal-level-actions-to-reduce-air-pollution-exposure</x:v>
      </x:c>
      <x:c r="L370" s="65" t="n">
        <x:v>0</x:v>
      </x:c>
      <x:c r="M370" s="65" t="str">
        <x:v>Machine-suggested near-miss; human review required.</x:v>
      </x:c>
    </x:row>
    <x:row r="371" ht="42" customHeight="1">
      <x:c r="A371" s="65" t="str">
        <x:v>gold30-019</x:v>
      </x:c>
      <x:c r="B371" s="65" t="str">
        <x:v>dense</x:v>
      </x:c>
      <x:c r="C371" s="88" t="n">
        <x:v>1</x:v>
      </x:c>
      <x:c r="D371" s="65" t="str">
        <x:v>clean-air-room</x:v>
      </x:c>
      <x:c r="E371" s="65" t="str">
        <x:v>clean-air-room:structure:1</x:v>
      </x:c>
      <x:c r="F371" s="65" t="str">
        <x:v>p.2</x:v>
      </x:c>
      <x:c r="G371" s="92" t="n">
        <x:v>0.28576636</x:v>
      </x:c>
      <x:c r="H371" s="65" t="str">
        <x:v>Indoor filtration and a clean-air room</x:v>
      </x:c>
      <x:c r="I371" s="65" t="str">
        <x:v>United States Environmental Protection Agency</x:v>
      </x:c>
      <x:c r="J371"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371" s="65" t="str">
        <x:v>https://www.epa.gov/indoor-air-quality-iaq/guide-air-cleaners-home</x:v>
      </x:c>
      <x:c r="L371" s="65" t="n">
        <x:v>0</x:v>
      </x:c>
      <x:c r="M371" s="65" t="str">
        <x:v>Machine-suggested near-miss; human review required.</x:v>
      </x:c>
    </x:row>
    <x:row r="372" ht="42" customHeight="1">
      <x:c r="A372" s="65" t="str">
        <x:v>gold30-019</x:v>
      </x:c>
      <x:c r="B372" s="65" t="str">
        <x:v>dense</x:v>
      </x:c>
      <x:c r="C372" s="88" t="n">
        <x:v>2</x:v>
      </x:c>
      <x:c r="D372" s="65" t="str">
        <x:v>bad-air-day-protection</x:v>
      </x:c>
      <x:c r="E372" s="65" t="str">
        <x:v>bad-air-day-protection:structure:3</x:v>
      </x:c>
      <x:c r="F372" s="65" t="str">
        <x:v>p.4</x:v>
      </x:c>
      <x:c r="G372" s="92" t="n">
        <x:v>0.27229613</x:v>
      </x:c>
      <x:c r="H372" s="65" t="str">
        <x:v>Bad-air-day protection playbook</x:v>
      </x:c>
      <x:c r="I372" s="65" t="str">
        <x:v>World Health Organization, Regional Office for Europe</x:v>
      </x:c>
      <x:c r="J372" s="65" t="str">
        <x:v>Personal protection reduces a person's dose. It does not reduce Jakarta's emissions and cannot replace enforcement or clean-air policy. [bad-air-day-protection]</x:v>
      </x:c>
      <x:c r="K372" s="65" t="str">
        <x:v>https://www.who.int/news-room/questions-and-answers/item/air-pollution-personal-interventions-and-risk-communication</x:v>
      </x:c>
      <x:c r="L372" s="65" t="n">
        <x:v>3</x:v>
      </x:c>
      <x:c r="M372" s="65" t="str">
        <x:v>Expected source for this question.</x:v>
      </x:c>
    </x:row>
    <x:row r="373" ht="42" customHeight="1">
      <x:c r="A373" s="65" t="str">
        <x:v>gold30-019</x:v>
      </x:c>
      <x:c r="B373" s="65" t="str">
        <x:v>dense</x:v>
      </x:c>
      <x:c r="C373" s="88" t="n">
        <x:v>3</x:v>
      </x:c>
      <x:c r="D373" s="65" t="str">
        <x:v>epa-air-cleaners-home-2026</x:v>
      </x:c>
      <x:c r="E373" s="65" t="str">
        <x:v>epa-air-cleaners-home-2026:structure:0</x:v>
      </x:c>
      <x:c r="F373" s="65" t="str">
        <x:v>p.1</x:v>
      </x:c>
      <x:c r="G373" s="92" t="n">
        <x:v>0.22876235</x:v>
      </x:c>
      <x:c r="H373" s="65" t="str">
        <x:v>US EPA Guide to Air Cleaners in the Home (2nd edition)</x:v>
      </x:c>
      <x:c r="I373" s="65" t="str">
        <x:v>United States Environmental Protection Agency</x:v>
      </x:c>
      <x:c r="J373" s="65" t="str">
        <x:v>The EPA guide discusses portable air cleaners, heating/ventilation and air-conditioning filters, indoor pollutant sources and practical limits. It is technical household guidance and should not be presented as a Jakarta regulation.</x:v>
      </x:c>
      <x:c r="K373" s="65" t="str">
        <x:v>https://www.epa.gov/indoor-air-quality-iaq/guide-air-cleaners-home</x:v>
      </x:c>
      <x:c r="L373" s="65" t="n">
        <x:v>0</x:v>
      </x:c>
      <x:c r="M373" s="65" t="str">
        <x:v>Machine-suggested near-miss; human review required.</x:v>
      </x:c>
    </x:row>
    <x:row r="374" ht="42" customHeight="1">
      <x:c r="A374" s="65" t="str">
        <x:v>gold30-019</x:v>
      </x:c>
      <x:c r="B374" s="65" t="str">
        <x:v>dense</x:v>
      </x:c>
      <x:c r="C374" s="88" t="n">
        <x:v>4</x:v>
      </x:c>
      <x:c r="D374" s="65" t="str">
        <x:v>who-personal-interventions-2024</x:v>
      </x:c>
      <x:c r="E374" s="65" t="str">
        <x:v>who-personal-interventions-2024:structure:0</x:v>
      </x:c>
      <x:c r="F374" s="65" t="str">
        <x:v>p.1</x:v>
      </x:c>
      <x:c r="G374" s="92" t="n">
        <x:v>0.19053904</x:v>
      </x:c>
      <x:c r="H374" s="65" t="str">
        <x:v>WHO personal interventions and risk communication (2024)</x:v>
      </x:c>
      <x:c r="I374" s="65" t="str">
        <x:v>World Health Organization</x:v>
      </x:c>
      <x:c r="J374" s="65" t="str">
        <x:v>The WHO Q&amp;A addresses personal interventions and risk communication for air pollution. It presents exposure-reduction options as public-health advice and does not replace emission-control policy or clinical care.</x:v>
      </x:c>
      <x:c r="K374" s="65" t="str">
        <x:v>https://www.who.int/news-room/questions-and-answers/item/air-pollution-personal-interventions-and-risk-communication</x:v>
      </x:c>
      <x:c r="L374" s="65" t="n">
        <x:v>0</x:v>
      </x:c>
      <x:c r="M374" s="65" t="str">
        <x:v>Machine-suggested near-miss; human review required.</x:v>
      </x:c>
    </x:row>
    <x:row r="375" ht="42" customHeight="1">
      <x:c r="A375" s="65" t="str">
        <x:v>gold30-019</x:v>
      </x:c>
      <x:c r="B375" s="65" t="str">
        <x:v>dense</x:v>
      </x:c>
      <x:c r="C375" s="88" t="n">
        <x:v>5</x:v>
      </x:c>
      <x:c r="D375" s="65" t="str">
        <x:v>individual-emission-actions</x:v>
      </x:c>
      <x:c r="E375" s="65" t="str">
        <x:v>individual-emission-actions:structure:3</x:v>
      </x:c>
      <x:c r="F375" s="65" t="str">
        <x:v>p.4</x:v>
      </x:c>
      <x:c r="G375" s="92" t="n">
        <x:v>0.15798641</x:v>
      </x:c>
      <x:c r="H375" s="65" t="str">
        <x:v>What an individual can do to reduce emissions and improve accountability</x:v>
      </x:c>
      <x:c r="I375" s="65" t="str">
        <x:v>World Health Organization; Pemerintah Provinsi DKI Jakarta</x:v>
      </x:c>
      <x:c r="J375"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375" s="65" t="str">
        <x:v>https://www.who.int/europe/publications/m/item/personal-level-actions-to-reduce-air-pollution-exposure</x:v>
      </x:c>
      <x:c r="L375" s="65" t="n">
        <x:v>0</x:v>
      </x:c>
      <x:c r="M375" s="65" t="str">
        <x:v>Machine-suggested near-miss; human review required.</x:v>
      </x:c>
    </x:row>
    <x:row r="376" ht="42" customHeight="1">
      <x:c r="A376" s="65" t="str">
        <x:v>gold30-019</x:v>
      </x:c>
      <x:c r="B376" s="65" t="str">
        <x:v>hybrid</x:v>
      </x:c>
      <x:c r="C376" s="88" t="n">
        <x:v>1</x:v>
      </x:c>
      <x:c r="D376" s="65" t="str">
        <x:v>bad-air-day-protection</x:v>
      </x:c>
      <x:c r="E376" s="65" t="str">
        <x:v>bad-air-day-protection:structure:3</x:v>
      </x:c>
      <x:c r="F376" s="65" t="str">
        <x:v>p.4</x:v>
      </x:c>
      <x:c r="G376" s="92" t="n">
        <x:v>0.03284506</x:v>
      </x:c>
      <x:c r="H376" s="65" t="str">
        <x:v>Bad-air-day protection playbook</x:v>
      </x:c>
      <x:c r="I376" s="65" t="str">
        <x:v>World Health Organization, Regional Office for Europe</x:v>
      </x:c>
      <x:c r="J376" s="65" t="str">
        <x:v>Personal protection reduces a person's dose. It does not reduce Jakarta's emissions and cannot replace enforcement or clean-air policy. [bad-air-day-protection]</x:v>
      </x:c>
      <x:c r="K376" s="65" t="str">
        <x:v>https://www.who.int/news-room/questions-and-answers/item/air-pollution-personal-interventions-and-risk-communication</x:v>
      </x:c>
      <x:c r="L376" s="65" t="n">
        <x:v>3</x:v>
      </x:c>
      <x:c r="M376" s="65" t="str">
        <x:v>Expected source for this question.</x:v>
      </x:c>
    </x:row>
    <x:row r="377" ht="42" customHeight="1">
      <x:c r="A377" s="65" t="str">
        <x:v>gold30-019</x:v>
      </x:c>
      <x:c r="B377" s="65" t="str">
        <x:v>hybrid</x:v>
      </x:c>
      <x:c r="C377" s="88" t="n">
        <x:v>2</x:v>
      </x:c>
      <x:c r="D377" s="65" t="str">
        <x:v>clean-air-room</x:v>
      </x:c>
      <x:c r="E377" s="65" t="str">
        <x:v>clean-air-room:structure:1</x:v>
      </x:c>
      <x:c r="F377" s="65" t="str">
        <x:v>p.2</x:v>
      </x:c>
      <x:c r="G377" s="92" t="n">
        <x:v>0.03259433</x:v>
      </x:c>
      <x:c r="H377" s="65" t="str">
        <x:v>Indoor filtration and a clean-air room</x:v>
      </x:c>
      <x:c r="I377" s="65" t="str">
        <x:v>United States Environmental Protection Agency</x:v>
      </x:c>
      <x:c r="J377"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377" s="65" t="str">
        <x:v>https://www.epa.gov/indoor-air-quality-iaq/guide-air-cleaners-home</x:v>
      </x:c>
      <x:c r="L377" s="65" t="n">
        <x:v>0</x:v>
      </x:c>
      <x:c r="M377" s="65" t="str">
        <x:v>Machine-suggested near-miss; human review required.</x:v>
      </x:c>
    </x:row>
    <x:row r="378" ht="42" customHeight="1">
      <x:c r="A378" s="65" t="str">
        <x:v>gold30-019</x:v>
      </x:c>
      <x:c r="B378" s="65" t="str">
        <x:v>hybrid</x:v>
      </x:c>
      <x:c r="C378" s="88" t="n">
        <x:v>3</x:v>
      </x:c>
      <x:c r="D378" s="65" t="str">
        <x:v>who-personal-interventions-2024</x:v>
      </x:c>
      <x:c r="E378" s="65" t="str">
        <x:v>who-personal-interventions-2024:structure:0</x:v>
      </x:c>
      <x:c r="F378" s="65" t="str">
        <x:v>p.1</x:v>
      </x:c>
      <x:c r="G378" s="92" t="n">
        <x:v>0.03206653</x:v>
      </x:c>
      <x:c r="H378" s="65" t="str">
        <x:v>WHO personal interventions and risk communication (2024)</x:v>
      </x:c>
      <x:c r="I378" s="65" t="str">
        <x:v>World Health Organization</x:v>
      </x:c>
      <x:c r="J378" s="65" t="str">
        <x:v>The WHO Q&amp;A addresses personal interventions and risk communication for air pollution. It presents exposure-reduction options as public-health advice and does not replace emission-control policy or clinical care.</x:v>
      </x:c>
      <x:c r="K378" s="65" t="str">
        <x:v>https://www.who.int/news-room/questions-and-answers/item/air-pollution-personal-interventions-and-risk-communication</x:v>
      </x:c>
      <x:c r="L378" s="65" t="n">
        <x:v>0</x:v>
      </x:c>
      <x:c r="M378" s="65" t="str">
        <x:v>Machine-suggested near-miss; human review required.</x:v>
      </x:c>
    </x:row>
    <x:row r="379" ht="42" customHeight="1">
      <x:c r="A379" s="65" t="str">
        <x:v>gold30-019</x:v>
      </x:c>
      <x:c r="B379" s="65" t="str">
        <x:v>hybrid</x:v>
      </x:c>
      <x:c r="C379" s="88" t="n">
        <x:v>4</x:v>
      </x:c>
      <x:c r="D379" s="65" t="str">
        <x:v>epa-air-cleaners-home-2026</x:v>
      </x:c>
      <x:c r="E379" s="65" t="str">
        <x:v>epa-air-cleaners-home-2026:structure:0</x:v>
      </x:c>
      <x:c r="F379" s="65" t="str">
        <x:v>p.1</x:v>
      </x:c>
      <x:c r="G379" s="92" t="n">
        <x:v>0.03181548</x:v>
      </x:c>
      <x:c r="H379" s="65" t="str">
        <x:v>US EPA Guide to Air Cleaners in the Home (2nd edition)</x:v>
      </x:c>
      <x:c r="I379" s="65" t="str">
        <x:v>United States Environmental Protection Agency</x:v>
      </x:c>
      <x:c r="J379" s="65" t="str">
        <x:v>The EPA guide discusses portable air cleaners, heating/ventilation and air-conditioning filters, indoor pollutant sources and practical limits. It is technical household guidance and should not be presented as a Jakarta regulation.</x:v>
      </x:c>
      <x:c r="K379" s="65" t="str">
        <x:v>https://www.epa.gov/indoor-air-quality-iaq/guide-air-cleaners-home</x:v>
      </x:c>
      <x:c r="L379" s="65" t="n">
        <x:v>0</x:v>
      </x:c>
      <x:c r="M379" s="65" t="str">
        <x:v>Machine-suggested near-miss; human review required.</x:v>
      </x:c>
    </x:row>
    <x:row r="380" ht="42" customHeight="1">
      <x:c r="A380" s="65" t="str">
        <x:v>gold30-019</x:v>
      </x:c>
      <x:c r="B380" s="65" t="str">
        <x:v>hybrid</x:v>
      </x:c>
      <x:c r="C380" s="88" t="n">
        <x:v>5</x:v>
      </x:c>
      <x:c r="D380" s="65" t="str">
        <x:v>individual-emission-actions</x:v>
      </x:c>
      <x:c r="E380" s="65" t="str">
        <x:v>individual-emission-actions:structure:3</x:v>
      </x:c>
      <x:c r="F380" s="65" t="str">
        <x:v>p.4</x:v>
      </x:c>
      <x:c r="G380" s="92" t="n">
        <x:v>0.03107692</x:v>
      </x:c>
      <x:c r="H380" s="65" t="str">
        <x:v>What an individual can do to reduce emissions and improve accountability</x:v>
      </x:c>
      <x:c r="I380" s="65" t="str">
        <x:v>World Health Organization; Pemerintah Provinsi DKI Jakarta</x:v>
      </x:c>
      <x:c r="J380"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380" s="65" t="str">
        <x:v>https://www.who.int/europe/publications/m/item/personal-level-actions-to-reduce-air-pollution-exposure</x:v>
      </x:c>
      <x:c r="L380" s="65" t="n">
        <x:v>0</x:v>
      </x:c>
      <x:c r="M380" s="65" t="str">
        <x:v>Machine-suggested near-miss; human review required.</x:v>
      </x:c>
    </x:row>
    <x:row r="381" ht="42" customHeight="1">
      <x:c r="A381" s="65" t="str">
        <x:v>gold30-019</x:v>
      </x:c>
      <x:c r="B381" s="65" t="str">
        <x:v>hybrid_rerank</x:v>
      </x:c>
      <x:c r="C381" s="88" t="n">
        <x:v>1</x:v>
      </x:c>
      <x:c r="D381" s="65" t="str">
        <x:v>bad-air-day-protection</x:v>
      </x:c>
      <x:c r="E381" s="65" t="str">
        <x:v>bad-air-day-protection:structure:3</x:v>
      </x:c>
      <x:c r="F381" s="65" t="str">
        <x:v>p.4</x:v>
      </x:c>
      <x:c r="G381" s="92" t="n">
        <x:v>0.55429796</x:v>
      </x:c>
      <x:c r="H381" s="65" t="str">
        <x:v>Bad-air-day protection playbook</x:v>
      </x:c>
      <x:c r="I381" s="65" t="str">
        <x:v>World Health Organization, Regional Office for Europe</x:v>
      </x:c>
      <x:c r="J381" s="65" t="str">
        <x:v>Personal protection reduces a person's dose. It does not reduce Jakarta's emissions and cannot replace enforcement or clean-air policy. [bad-air-day-protection]</x:v>
      </x:c>
      <x:c r="K381" s="65" t="str">
        <x:v>https://www.who.int/news-room/questions-and-answers/item/air-pollution-personal-interventions-and-risk-communication</x:v>
      </x:c>
      <x:c r="L381" s="65" t="n">
        <x:v>3</x:v>
      </x:c>
      <x:c r="M381" s="65" t="str">
        <x:v>Expected source for this question.</x:v>
      </x:c>
    </x:row>
    <x:row r="382" ht="42" customHeight="1">
      <x:c r="A382" s="65" t="str">
        <x:v>gold30-019</x:v>
      </x:c>
      <x:c r="B382" s="65" t="str">
        <x:v>hybrid_rerank</x:v>
      </x:c>
      <x:c r="C382" s="88" t="n">
        <x:v>2</x:v>
      </x:c>
      <x:c r="D382" s="65" t="str">
        <x:v>who-personal-interventions-2024</x:v>
      </x:c>
      <x:c r="E382" s="65" t="str">
        <x:v>who-personal-interventions-2024:structure:0</x:v>
      </x:c>
      <x:c r="F382" s="65" t="str">
        <x:v>p.1</x:v>
      </x:c>
      <x:c r="G382" s="92" t="n">
        <x:v>0.39850885</x:v>
      </x:c>
      <x:c r="H382" s="65" t="str">
        <x:v>WHO personal interventions and risk communication (2024)</x:v>
      </x:c>
      <x:c r="I382" s="65" t="str">
        <x:v>World Health Organization</x:v>
      </x:c>
      <x:c r="J382" s="65" t="str">
        <x:v>The WHO Q&amp;A addresses personal interventions and risk communication for air pollution. It presents exposure-reduction options as public-health advice and does not replace emission-control policy or clinical care.</x:v>
      </x:c>
      <x:c r="K382" s="65" t="str">
        <x:v>https://www.who.int/news-room/questions-and-answers/item/air-pollution-personal-interventions-and-risk-communication</x:v>
      </x:c>
      <x:c r="L382" s="65" t="n">
        <x:v>0</x:v>
      </x:c>
      <x:c r="M382" s="65" t="str">
        <x:v>Machine-suggested near-miss; human review required.</x:v>
      </x:c>
    </x:row>
    <x:row r="383" ht="42" customHeight="1">
      <x:c r="A383" s="65" t="str">
        <x:v>gold30-019</x:v>
      </x:c>
      <x:c r="B383" s="65" t="str">
        <x:v>hybrid_rerank</x:v>
      </x:c>
      <x:c r="C383" s="88" t="n">
        <x:v>3</x:v>
      </x:c>
      <x:c r="D383" s="65" t="str">
        <x:v>clean-air-room</x:v>
      </x:c>
      <x:c r="E383" s="65" t="str">
        <x:v>clean-air-room:structure:1</x:v>
      </x:c>
      <x:c r="F383" s="65" t="str">
        <x:v>p.2</x:v>
      </x:c>
      <x:c r="G383" s="92" t="n">
        <x:v>0.32088941</x:v>
      </x:c>
      <x:c r="H383" s="65" t="str">
        <x:v>Indoor filtration and a clean-air room</x:v>
      </x:c>
      <x:c r="I383" s="65" t="str">
        <x:v>United States Environmental Protection Agency</x:v>
      </x:c>
      <x:c r="J383"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383" s="65" t="str">
        <x:v>https://www.epa.gov/indoor-air-quality-iaq/guide-air-cleaners-home</x:v>
      </x:c>
      <x:c r="L383" s="65" t="n">
        <x:v>0</x:v>
      </x:c>
      <x:c r="M383" s="65" t="str">
        <x:v>Machine-suggested near-miss; human review required.</x:v>
      </x:c>
    </x:row>
    <x:row r="384" ht="42" customHeight="1">
      <x:c r="A384" s="65" t="str">
        <x:v>gold30-019</x:v>
      </x:c>
      <x:c r="B384" s="65" t="str">
        <x:v>hybrid_rerank</x:v>
      </x:c>
      <x:c r="C384" s="88" t="n">
        <x:v>4</x:v>
      </x:c>
      <x:c r="D384" s="65" t="str">
        <x:v>epa-air-cleaners-home-2026</x:v>
      </x:c>
      <x:c r="E384" s="65" t="str">
        <x:v>epa-air-cleaners-home-2026:structure:0</x:v>
      </x:c>
      <x:c r="F384" s="65" t="str">
        <x:v>p.1</x:v>
      </x:c>
      <x:c r="G384" s="92" t="n">
        <x:v>0.32065575</x:v>
      </x:c>
      <x:c r="H384" s="65" t="str">
        <x:v>US EPA Guide to Air Cleaners in the Home (2nd edition)</x:v>
      </x:c>
      <x:c r="I384" s="65" t="str">
        <x:v>United States Environmental Protection Agency</x:v>
      </x:c>
      <x:c r="J384" s="65" t="str">
        <x:v>The EPA guide discusses portable air cleaners, heating/ventilation and air-conditioning filters, indoor pollutant sources and practical limits. It is technical household guidance and should not be presented as a Jakarta regulation.</x:v>
      </x:c>
      <x:c r="K384" s="65" t="str">
        <x:v>https://www.epa.gov/indoor-air-quality-iaq/guide-air-cleaners-home</x:v>
      </x:c>
      <x:c r="L384" s="65" t="n">
        <x:v>0</x:v>
      </x:c>
      <x:c r="M384" s="65" t="str">
        <x:v>Machine-suggested near-miss; human review required.</x:v>
      </x:c>
    </x:row>
    <x:row r="385" ht="42" customHeight="1">
      <x:c r="A385" s="65" t="str">
        <x:v>gold30-019</x:v>
      </x:c>
      <x:c r="B385" s="65" t="str">
        <x:v>hybrid_rerank</x:v>
      </x:c>
      <x:c r="C385" s="88" t="n">
        <x:v>5</x:v>
      </x:c>
      <x:c r="D385" s="65" t="str">
        <x:v>individual-emission-actions</x:v>
      </x:c>
      <x:c r="E385" s="65" t="str">
        <x:v>individual-emission-actions:structure:3</x:v>
      </x:c>
      <x:c r="F385" s="65" t="str">
        <x:v>p.4</x:v>
      </x:c>
      <x:c r="G385" s="92" t="n">
        <x:v>0.32043419</x:v>
      </x:c>
      <x:c r="H385" s="65" t="str">
        <x:v>What an individual can do to reduce emissions and improve accountability</x:v>
      </x:c>
      <x:c r="I385" s="65" t="str">
        <x:v>World Health Organization; Pemerintah Provinsi DKI Jakarta</x:v>
      </x:c>
      <x:c r="J385"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385" s="65" t="str">
        <x:v>https://www.who.int/europe/publications/m/item/personal-level-actions-to-reduce-air-pollution-exposure</x:v>
      </x:c>
      <x:c r="L385" s="65" t="n">
        <x:v>0</x:v>
      </x:c>
      <x:c r="M385" s="65" t="str">
        <x:v>Machine-suggested near-miss; human review required.</x:v>
      </x:c>
    </x:row>
    <x:row r="386" ht="42" customHeight="1">
      <x:c r="A386" s="65" t="str">
        <x:v>gold30-020</x:v>
      </x:c>
      <x:c r="B386" s="65" t="str">
        <x:v>bm25</x:v>
      </x:c>
      <x:c r="C386" s="88" t="n">
        <x:v>1</x:v>
      </x:c>
      <x:c r="D386" s="65" t="str">
        <x:v>jakarta-historical-city-series</x:v>
      </x:c>
      <x:c r="E386" s="65" t="str">
        <x:v>jakarta-historical-city-series:structure:4</x:v>
      </x:c>
      <x:c r="F386" s="65" t="str">
        <x:v>p.5</x:v>
      </x:c>
      <x:c r="G386" s="92" t="n">
        <x:v>0.14285714</x:v>
      </x:c>
      <x:c r="H386" s="65" t="str">
        <x:v>Jakarta historical PM2.5 and PM10 series: provenance and quality</x:v>
      </x:c>
      <x:c r="I386" s="65" t="str">
        <x:v>Open-Meteo / CAMS Global; deposited dataset by Nitiraj Kulkarni and Jagadish Tawade</x:v>
      </x:c>
      <x:c r="J386" s="65" t="str">
        <x:v>Across paired rows, Pearson correlation is 0.883 and Spearman correlation is 0.873. Mean absolute difference is 17.06, median absolute difference 16.80, and RMSE 23.05 µg/m³. The median PM10:PM2.5 ratio is 1.435 (mean 1.272). Absolute differences are within 1, 2, and 5 µg/m³ for…</x:v>
      </x:c>
      <x:c r="K386" s="65" t="str">
        <x:v>https://zenodo.org/records/18673885</x:v>
      </x:c>
      <x:c r="L386" s="65" t="n">
        <x:v>0</x:v>
      </x:c>
      <x:c r="M386" s="65" t="str">
        <x:v>Machine-suggested near-miss; human review required.</x:v>
      </x:c>
    </x:row>
    <x:row r="387" ht="42" customHeight="1">
      <x:c r="A387" s="65" t="str">
        <x:v>gold30-020</x:v>
      </x:c>
      <x:c r="B387" s="65" t="str">
        <x:v>bm25</x:v>
      </x:c>
      <x:c r="C387" s="88" t="n">
        <x:v>2</x:v>
      </x:c>
      <x:c r="D387" s="65" t="str">
        <x:v>jakarta-improvements</x:v>
      </x:c>
      <x:c r="E387" s="65" t="str">
        <x:v>jakarta-improvements:structure:0</x:v>
      </x:c>
      <x:c r="F387" s="65" t="str">
        <x:v>p.1</x:v>
      </x:c>
      <x:c r="G387" s="92" t="n">
        <x:v>0.14285714</x:v>
      </x:c>
      <x:c r="H387" s="65" t="str">
        <x:v>Ways to improve Jakarta air quality</x:v>
      </x:c>
      <x:c r="I387" s="65" t="str">
        <x:v>Pemerintah Provinsi DKI Jakarta / Dinas Lingkungan Hidup</x:v>
      </x:c>
      <x:c r="J387"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387" s="65" t="str">
        <x:v>https://www.jakarta.go.id/page/upaya-bersama-jaga-kualitas-udara-jakarta</x:v>
      </x:c>
      <x:c r="L387" s="65" t="n">
        <x:v>0</x:v>
      </x:c>
      <x:c r="M387" s="65" t="str">
        <x:v>Machine-suggested near-miss; human review required.</x:v>
      </x:c>
    </x:row>
    <x:row r="388" ht="42" customHeight="1">
      <x:c r="A388" s="65" t="str">
        <x:v>gold30-020</x:v>
      </x:c>
      <x:c r="B388" s="65" t="str">
        <x:v>bm25</x:v>
      </x:c>
      <x:c r="C388" s="88" t="n">
        <x:v>3</x:v>
      </x:c>
      <x:c r="D388" s="65" t="str">
        <x:v>jakarta-seasonal-exposure</x:v>
      </x:c>
      <x:c r="E388" s="65" t="str">
        <x:v>jakarta-seasonal-exposure:structure:0</x:v>
      </x:c>
      <x:c r="F388" s="65" t="str">
        <x:v>p.1</x:v>
      </x:c>
      <x:c r="G388" s="92" t="n">
        <x:v>0.14285714</x:v>
      </x:c>
      <x:c r="H388" s="65" t="str">
        <x:v>Jakarta timing and local exposure context</x:v>
      </x:c>
      <x:c r="I388" s="65" t="str">
        <x:v>Dinas Lingkungan Hidup DKI Jakarta</x:v>
      </x:c>
      <x:c r="J388" s="65" t="str">
        <x:v>Published: 2024-04-06 Status as of: 2026-09-07 (official seasonal notice; not a current forecast) Document type: official_public_guidance Tags: topic=exposure-protection; audience=Jakarta-resident; action=protect-now; pollutant=PM2.5</x:v>
      </x:c>
      <x:c r="K388" s="65" t="str">
        <x:v>https://lingkunganhidup.jakarta.go.id/detail-artikel/masuki-musim-kemarau-pemprov-dki-minta-masyarakat-waspadai-penurunan-kualitas-udara</x:v>
      </x:c>
      <x:c r="L388" s="65" t="n">
        <x:v>0</x:v>
      </x:c>
      <x:c r="M388" s="65" t="str">
        <x:v>Machine-suggested near-miss; human review required.</x:v>
      </x:c>
    </x:row>
    <x:row r="389" ht="42" customHeight="1">
      <x:c r="A389" s="65" t="str">
        <x:v>gold30-020</x:v>
      </x:c>
      <x:c r="B389" s="65" t="str">
        <x:v>bm25</x:v>
      </x:c>
      <x:c r="C389" s="88" t="n">
        <x:v>4</x:v>
      </x:c>
      <x:c r="D389" s="65" t="str">
        <x:v>bad-air-day-protection</x:v>
      </x:c>
      <x:c r="E389" s="65" t="str">
        <x:v>bad-air-day-protection:structure:0</x:v>
      </x:c>
      <x:c r="F389" s="65" t="str">
        <x:v>p.1</x:v>
      </x:c>
      <x:c r="G389" s="92" t="n">
        <x:v>0</x:v>
      </x:c>
      <x:c r="H389" s="65" t="str">
        <x:v>Bad-air-day protection playbook</x:v>
      </x:c>
      <x:c r="I389" s="65" t="str">
        <x:v>World Health Organization, Regional Office for Europe</x:v>
      </x:c>
      <x:c r="J389" s="65" t="str">
        <x:v>Published: 2024-10-04 Status as of: 2026-09-07 (health guidance; not Indonesian law) Document type: health_guidance Tags: topic=exposure-protection; audience=Jakarta-resident; action=protect-now; pollutant=ambient-particles</x:v>
      </x:c>
      <x:c r="K389" s="65" t="str">
        <x:v>https://www.who.int/news-room/questions-and-answers/item/air-pollution-personal-interventions-and-risk-communication</x:v>
      </x:c>
      <x:c r="L389" s="65" t="n">
        <x:v>0</x:v>
      </x:c>
      <x:c r="M389" s="65" t="str">
        <x:v>Machine-suggested near-miss; human review required.</x:v>
      </x:c>
    </x:row>
    <x:row r="390" ht="42" customHeight="1">
      <x:c r="A390" s="65" t="str">
        <x:v>gold30-020</x:v>
      </x:c>
      <x:c r="B390" s="65" t="str">
        <x:v>bm25</x:v>
      </x:c>
      <x:c r="C390" s="88" t="n">
        <x:v>5</x:v>
      </x:c>
      <x:c r="D390" s="65" t="str">
        <x:v>clean-air-room</x:v>
      </x:c>
      <x:c r="E390" s="65" t="str">
        <x:v>clean-air-room:structure:0</x:v>
      </x:c>
      <x:c r="F390" s="65" t="str">
        <x:v>p.1</x:v>
      </x:c>
      <x:c r="G390" s="92" t="n">
        <x:v>0</x:v>
      </x:c>
      <x:c r="H390" s="65" t="str">
        <x:v>Indoor filtration and a clean-air room</x:v>
      </x:c>
      <x:c r="I390" s="65" t="str">
        <x:v>United States Environmental Protection Agency</x:v>
      </x:c>
      <x:c r="J390" s="65" t="str">
        <x:v>Published: not stated; page last updated 2026-02-17 (accessed 2026-09-07) Status as of: 2026-09-07 (technical guidance; not Indonesian law) Document type: indoor_air_guidance Tags: topic=indoor-filtration; audience=household; action=protect-now; pollutant=particles</x:v>
      </x:c>
      <x:c r="K390" s="65" t="str">
        <x:v>https://www.epa.gov/indoor-air-quality-iaq/guide-air-cleaners-home</x:v>
      </x:c>
      <x:c r="L390" s="65" t="n">
        <x:v>3</x:v>
      </x:c>
      <x:c r="M390" s="65" t="str">
        <x:v>Expected source for this question.</x:v>
      </x:c>
    </x:row>
    <x:row r="391" ht="42" customHeight="1">
      <x:c r="A391" s="65" t="str">
        <x:v>gold30-020</x:v>
      </x:c>
      <x:c r="B391" s="65" t="str">
        <x:v>dense</x:v>
      </x:c>
      <x:c r="C391" s="88" t="n">
        <x:v>1</x:v>
      </x:c>
      <x:c r="D391" s="65" t="str">
        <x:v>pergub-66-2020-vehicle-testing</x:v>
      </x:c>
      <x:c r="E391" s="65" t="str">
        <x:v>pergub-66-2020-vehicle-testing:structure:0</x:v>
      </x:c>
      <x:c r="F391" s="65" t="str">
        <x:v>p.1</x:v>
      </x:c>
      <x:c r="G391" s="92" t="n">
        <x:v>0.08732801</x:v>
      </x:c>
      <x:c r="H391" s="65" t="str">
        <x:v>Pergub DKI Jakarta No. 66 Tahun 2020 — motor-vehicle emission testing</x:v>
      </x:c>
      <x:c r="I391" s="65" t="str">
        <x:v>Pemerintah Provinsi DKI Jakarta / Database Peraturan BPK</x:v>
      </x:c>
      <x:c r="J391" s="65" t="str">
        <x:v>Peraturan Gubernur Provinsi DKI Jakarta Nomor 66 Tahun 2020 is titled Uji Emisi Gas Buang Kendaraan Bermotor. The BPK record gives the adoption date as 22 July 2020, promulgation date as 24 July 2020, and effective date as 24 December 2020.</x:v>
      </x:c>
      <x:c r="K391" s="65" t="str">
        <x:v>https://peraturan.bpk.go.id/Details/153923/pergub-prov-dki-jakarta-no-66-tahun-2020</x:v>
      </x:c>
      <x:c r="L391" s="65" t="n">
        <x:v>0</x:v>
      </x:c>
      <x:c r="M391" s="65" t="str">
        <x:v>Machine-suggested near-miss; human review required.</x:v>
      </x:c>
    </x:row>
    <x:row r="392" ht="42" customHeight="1">
      <x:c r="A392" s="65" t="str">
        <x:v>gold30-020</x:v>
      </x:c>
      <x:c r="B392" s="65" t="str">
        <x:v>dense</x:v>
      </x:c>
      <x:c r="C392" s="88" t="n">
        <x:v>2</x:v>
      </x:c>
      <x:c r="D392" s="65" t="str">
        <x:v>permen-lhk-13-2021-cems</x:v>
      </x:c>
      <x:c r="E392" s="65" t="str">
        <x:v>permen-lhk-13-2021-cems:structure:0</x:v>
      </x:c>
      <x:c r="F392" s="65" t="str">
        <x:v>p.1</x:v>
      </x:c>
      <x:c r="G392" s="92" t="n">
        <x:v>0.0705291</x:v>
      </x:c>
      <x:c r="H392" s="65" t="str">
        <x:v>Permen LHK No. 13 Tahun 2021 — CEMS connectivity and emission monitoring</x:v>
      </x:c>
      <x:c r="I392" s="65" t="str">
        <x:v>Kementerian Lingkungan Hidup dan Kehutanan / Database Peraturan BPK</x:v>
      </x:c>
      <x:c r="J392" s="65" t="str">
        <x:v>The official BPK download URL identifies a 2021 Ministerial Environment and Forestry regulation. The PDF search extract exposes a CEMS connectivity test table with fields for stack code, emission source, CEMS brand, parameters and pass/fail connectivity result.</x:v>
      </x:c>
      <x:c r="K392" s="65" t="str">
        <x:v>https://peraturan.bpk.go.id/Download/288590/Permen%20LHK%20Nomor%2013%20Tahun%202021.pdf</x:v>
      </x:c>
      <x:c r="L392" s="65" t="n">
        <x:v>0</x:v>
      </x:c>
      <x:c r="M392" s="65" t="str">
        <x:v>Machine-suggested near-miss; human review required.</x:v>
      </x:c>
    </x:row>
    <x:row r="393" ht="42" customHeight="1">
      <x:c r="A393" s="65" t="str">
        <x:v>gold30-020</x:v>
      </x:c>
      <x:c r="B393" s="65" t="str">
        <x:v>dense</x:v>
      </x:c>
      <x:c r="C393" s="88" t="n">
        <x:v>3</x:v>
      </x:c>
      <x:c r="D393" s="65" t="str">
        <x:v>jakarta-regulations</x:v>
      </x:c>
      <x:c r="E393" s="65" t="str">
        <x:v>jakarta-regulations:structure:0</x:v>
      </x:c>
      <x:c r="F393" s="65" t="str">
        <x:v>p.1</x:v>
      </x:c>
      <x:c r="G393" s="92" t="n">
        <x:v>0.06577382</x:v>
      </x:c>
      <x:c r="H393" s="65" t="str">
        <x:v>Jakarta and Indonesian air-quality regulations</x:v>
      </x:c>
      <x:c r="I393" s="65" t="str">
        <x:v>JDIH DKI Jakarta / Government of Indonesia</x:v>
      </x:c>
      <x:c r="J393"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393" s="65" t="str">
        <x:v>https://udara.jakarta.go.id/regulasi</x:v>
      </x:c>
      <x:c r="L393" s="65" t="n">
        <x:v>0</x:v>
      </x:c>
      <x:c r="M393" s="65" t="str">
        <x:v>Machine-suggested near-miss; human review required.</x:v>
      </x:c>
    </x:row>
    <x:row r="394" ht="42" customHeight="1">
      <x:c r="A394" s="65" t="str">
        <x:v>gold30-020</x:v>
      </x:c>
      <x:c r="B394" s="65" t="str">
        <x:v>dense</x:v>
      </x:c>
      <x:c r="C394" s="88" t="n">
        <x:v>4</x:v>
      </x:c>
      <x:c r="D394" s="65" t="str">
        <x:v>jakarta-policy-implementation</x:v>
      </x:c>
      <x:c r="E394" s="65" t="str">
        <x:v>jakarta-policy-implementation:structure:0</x:v>
      </x:c>
      <x:c r="F394" s="65" t="str">
        <x:v>p.1</x:v>
      </x:c>
      <x:c r="G394" s="92" t="n">
        <x:v>0.05864974</x:v>
      </x:c>
      <x:c r="H394" s="65" t="str">
        <x:v>Why rules can coexist with poor air: implementation evidence</x:v>
      </x:c>
      <x:c r="I394" s="65" t="str">
        <x:v>Pemerintah Provinsi DKI Jakarta; Dinas Lingkungan Hidup DKI Jakarta; Mahkamah Agung</x:v>
      </x:c>
      <x:c r="J394" s="65" t="str">
        <x:v>Published: 2024-06-19; court record dated 2021-09-16 Status as of: 2026-09-07 (status is date-bounded; verify later changes in JDIH) Document type: implementation_evidence Tags: topic=regulation-implementation; audience=Jakarta-resident; action=accountability; status=implementat…</x:v>
      </x:c>
      <x:c r="K394" s="65" t="str">
        <x:v>https://www.jakarta.go.id/siaran-pers/4802-SP-HMS-06-2024</x:v>
      </x:c>
      <x:c r="L394" s="65" t="n">
        <x:v>0</x:v>
      </x:c>
      <x:c r="M394" s="65" t="str">
        <x:v>Machine-suggested near-miss; human review required.</x:v>
      </x:c>
    </x:row>
    <x:row r="395" ht="42" customHeight="1">
      <x:c r="A395" s="65" t="str">
        <x:v>gold30-020</x:v>
      </x:c>
      <x:c r="B395" s="65" t="str">
        <x:v>dense</x:v>
      </x:c>
      <x:c r="C395" s="88" t="n">
        <x:v>5</x:v>
      </x:c>
      <x:c r="D395" s="65" t="str">
        <x:v>permen-lhk-8-2023-vehicle-emissions</x:v>
      </x:c>
      <x:c r="E395" s="65" t="str">
        <x:v>permen-lhk-8-2023-vehicle-emissions:structure:0</x:v>
      </x:c>
      <x:c r="F395" s="65" t="str">
        <x:v>p.1</x:v>
      </x:c>
      <x:c r="G395" s="92" t="n">
        <x:v>0.05761859</x:v>
      </x:c>
      <x:c r="H395" s="65" t="str">
        <x:v>Permen LHK No. 8 Tahun 2023 — vehicle emission standards and testing</x:v>
      </x:c>
      <x:c r="I395" s="65" t="str">
        <x:v>Kementerian Lingkungan Hidup dan Kehutanan / Database Peraturan BPK</x:v>
      </x:c>
      <x:c r="J395"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395" s="65" t="str">
        <x:v>https://peraturan.bpk.go.id/Details/262504/permen-lhk-no-8-tahun-2023</x:v>
      </x:c>
      <x:c r="L395" s="65" t="n">
        <x:v>0</x:v>
      </x:c>
      <x:c r="M395" s="65" t="str">
        <x:v>Machine-suggested near-miss; human review required.</x:v>
      </x:c>
    </x:row>
    <x:row r="396" ht="42" customHeight="1">
      <x:c r="A396" s="65" t="str">
        <x:v>gold30-020</x:v>
      </x:c>
      <x:c r="B396" s="65" t="str">
        <x:v>hybrid</x:v>
      </x:c>
      <x:c r="C396" s="88" t="n">
        <x:v>1</x:v>
      </x:c>
      <x:c r="D396" s="65" t="str">
        <x:v>jakarta-improvements</x:v>
      </x:c>
      <x:c r="E396" s="65" t="str">
        <x:v>jakarta-improvements:structure:0</x:v>
      </x:c>
      <x:c r="F396" s="65" t="str">
        <x:v>p.1</x:v>
      </x:c>
      <x:c r="G396" s="92" t="n">
        <x:v>0.03112903</x:v>
      </x:c>
      <x:c r="H396" s="65" t="str">
        <x:v>Ways to improve Jakarta air quality</x:v>
      </x:c>
      <x:c r="I396" s="65" t="str">
        <x:v>Pemerintah Provinsi DKI Jakarta / Dinas Lingkungan Hidup</x:v>
      </x:c>
      <x:c r="J396"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396" s="65" t="str">
        <x:v>https://www.jakarta.go.id/page/upaya-bersama-jaga-kualitas-udara-jakarta</x:v>
      </x:c>
      <x:c r="L396" s="65" t="n">
        <x:v>0</x:v>
      </x:c>
      <x:c r="M396" s="65" t="str">
        <x:v>Machine-suggested near-miss; human review required.</x:v>
      </x:c>
    </x:row>
    <x:row r="397" ht="42" customHeight="1">
      <x:c r="A397" s="65" t="str">
        <x:v>gold30-020</x:v>
      </x:c>
      <x:c r="B397" s="65" t="str">
        <x:v>hybrid</x:v>
      </x:c>
      <x:c r="C397" s="88" t="n">
        <x:v>2</x:v>
      </x:c>
      <x:c r="D397" s="65" t="str">
        <x:v>ispu</x:v>
      </x:c>
      <x:c r="E397" s="65" t="str">
        <x:v>ispu:structure:0</x:v>
      </x:c>
      <x:c r="F397" s="65" t="str">
        <x:v>p.1</x:v>
      </x:c>
      <x:c r="G397" s="92" t="n">
        <x:v>0.02906832</x:v>
      </x:c>
      <x:c r="H397" s="65" t="str">
        <x:v>Indonesian ISPU categories</x:v>
      </x:c>
      <x:c r="I397" s="65" t="str">
        <x:v>Ministry of Environment and Forestry</x:v>
      </x:c>
      <x:c r="J397" s="65" t="str">
        <x:v>The Indonesian ISPU categories used in this demo are Baik (1-50), Sedang (51-100), Tidak Sehat (101-200), Sangat Tidak Sehat (201-300), and Berbahaya (301 or higher). ISPU is an index without a physical concentration unit.</x:v>
      </x:c>
      <x:c r="K397" s="65" t="str">
        <x:v>https://peraturan.bpk.go.id/Details/163466/permen-lhk-no-14-tahun-2020</x:v>
      </x:c>
      <x:c r="L397" s="65" t="n">
        <x:v>0</x:v>
      </x:c>
      <x:c r="M397" s="65" t="str">
        <x:v>Machine-suggested near-miss; human review required.</x:v>
      </x:c>
    </x:row>
    <x:row r="398" ht="42" customHeight="1">
      <x:c r="A398" s="65" t="str">
        <x:v>gold30-020</x:v>
      </x:c>
      <x:c r="B398" s="65" t="str">
        <x:v>hybrid</x:v>
      </x:c>
      <x:c r="C398" s="88" t="n">
        <x:v>3</x:v>
      </x:c>
      <x:c r="D398" s="65" t="str">
        <x:v>pergub-66-2020-vehicle-testing</x:v>
      </x:c>
      <x:c r="E398" s="65" t="str">
        <x:v>pergub-66-2020-vehicle-testing:structure:0</x:v>
      </x:c>
      <x:c r="F398" s="65" t="str">
        <x:v>p.1</x:v>
      </x:c>
      <x:c r="G398" s="92" t="n">
        <x:v>0.01672131</x:v>
      </x:c>
      <x:c r="H398" s="65" t="str">
        <x:v>Pergub DKI Jakarta No. 66 Tahun 2020 — motor-vehicle emission testing</x:v>
      </x:c>
      <x:c r="I398" s="65" t="str">
        <x:v>Pemerintah Provinsi DKI Jakarta / Database Peraturan BPK</x:v>
      </x:c>
      <x:c r="J398" s="65" t="str">
        <x:v>Peraturan Gubernur Provinsi DKI Jakarta Nomor 66 Tahun 2020 is titled Uji Emisi Gas Buang Kendaraan Bermotor. The BPK record gives the adoption date as 22 July 2020, promulgation date as 24 July 2020, and effective date as 24 December 2020.</x:v>
      </x:c>
      <x:c r="K398" s="65" t="str">
        <x:v>https://peraturan.bpk.go.id/Details/153923/pergub-prov-dki-jakarta-no-66-tahun-2020</x:v>
      </x:c>
      <x:c r="L398" s="65" t="n">
        <x:v>0</x:v>
      </x:c>
      <x:c r="M398" s="65" t="str">
        <x:v>Machine-suggested near-miss; human review required.</x:v>
      </x:c>
    </x:row>
    <x:row r="399" ht="42" customHeight="1">
      <x:c r="A399" s="65" t="str">
        <x:v>gold30-020</x:v>
      </x:c>
      <x:c r="B399" s="65" t="str">
        <x:v>hybrid</x:v>
      </x:c>
      <x:c r="C399" s="88" t="n">
        <x:v>4</x:v>
      </x:c>
      <x:c r="D399" s="65" t="str">
        <x:v>permen-lhk-13-2021-cems</x:v>
      </x:c>
      <x:c r="E399" s="65" t="str">
        <x:v>permen-lhk-13-2021-cems:structure:0</x:v>
      </x:c>
      <x:c r="F399" s="65" t="str">
        <x:v>p.1</x:v>
      </x:c>
      <x:c r="G399" s="92" t="n">
        <x:v>0.01645161</x:v>
      </x:c>
      <x:c r="H399" s="65" t="str">
        <x:v>Permen LHK No. 13 Tahun 2021 — CEMS connectivity and emission monitoring</x:v>
      </x:c>
      <x:c r="I399" s="65" t="str">
        <x:v>Kementerian Lingkungan Hidup dan Kehutanan / Database Peraturan BPK</x:v>
      </x:c>
      <x:c r="J399" s="65" t="str">
        <x:v>The official BPK download URL identifies a 2021 Ministerial Environment and Forestry regulation. The PDF search extract exposes a CEMS connectivity test table with fields for stack code, emission source, CEMS brand, parameters and pass/fail connectivity result.</x:v>
      </x:c>
      <x:c r="K399" s="65" t="str">
        <x:v>https://peraturan.bpk.go.id/Download/288590/Permen%20LHK%20Nomor%2013%20Tahun%202021.pdf</x:v>
      </x:c>
      <x:c r="L399" s="65" t="n">
        <x:v>0</x:v>
      </x:c>
      <x:c r="M399" s="65" t="str">
        <x:v>Machine-suggested near-miss; human review required.</x:v>
      </x:c>
    </x:row>
    <x:row r="400" ht="42" customHeight="1">
      <x:c r="A400" s="65" t="str">
        <x:v>gold30-020</x:v>
      </x:c>
      <x:c r="B400" s="65" t="str">
        <x:v>hybrid</x:v>
      </x:c>
      <x:c r="C400" s="88" t="n">
        <x:v>5</x:v>
      </x:c>
      <x:c r="D400" s="65" t="str">
        <x:v>jakarta-historical-city-series</x:v>
      </x:c>
      <x:c r="E400" s="65" t="str">
        <x:v>jakarta-historical-city-series:structure:4</x:v>
      </x:c>
      <x:c r="F400" s="65" t="str">
        <x:v>p.5</x:v>
      </x:c>
      <x:c r="G400" s="92" t="n">
        <x:v>0.01639344</x:v>
      </x:c>
      <x:c r="H400" s="65" t="str">
        <x:v>Jakarta historical PM2.5 and PM10 series: provenance and quality</x:v>
      </x:c>
      <x:c r="I400" s="65" t="str">
        <x:v>Open-Meteo / CAMS Global; deposited dataset by Nitiraj Kulkarni and Jagadish Tawade</x:v>
      </x:c>
      <x:c r="J400" s="65" t="str">
        <x:v>Across paired rows, Pearson correlation is 0.883 and Spearman correlation is 0.873. Mean absolute difference is 17.06, median absolute difference 16.80, and RMSE 23.05 µg/m³. The median PM10:PM2.5 ratio is 1.435 (mean 1.272). Absolute differences are within 1, 2, and 5 µg/m³ for…</x:v>
      </x:c>
      <x:c r="K400" s="65" t="str">
        <x:v>https://zenodo.org/records/18673885</x:v>
      </x:c>
      <x:c r="L400" s="65" t="n">
        <x:v>0</x:v>
      </x:c>
      <x:c r="M400" s="65" t="str">
        <x:v>Machine-suggested near-miss; human review required.</x:v>
      </x:c>
    </x:row>
    <x:row r="401" ht="42" customHeight="1">
      <x:c r="A401" s="65" t="str">
        <x:v>gold30-020</x:v>
      </x:c>
      <x:c r="B401" s="65" t="str">
        <x:v>hybrid_rerank</x:v>
      </x:c>
      <x:c r="C401" s="88" t="n">
        <x:v>1</x:v>
      </x:c>
      <x:c r="D401" s="65" t="str">
        <x:v>jakarta-improvements</x:v>
      </x:c>
      <x:c r="E401" s="65" t="str">
        <x:v>jakarta-improvements:structure:0</x:v>
      </x:c>
      <x:c r="F401" s="65" t="str">
        <x:v>p.1</x:v>
      </x:c>
      <x:c r="G401" s="92" t="n">
        <x:v>0.10933871</x:v>
      </x:c>
      <x:c r="H401" s="65" t="str">
        <x:v>Ways to improve Jakarta air quality</x:v>
      </x:c>
      <x:c r="I401" s="65" t="str">
        <x:v>Pemerintah Provinsi DKI Jakarta / Dinas Lingkungan Hidup</x:v>
      </x:c>
      <x:c r="J401"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401" s="65" t="str">
        <x:v>https://www.jakarta.go.id/page/upaya-bersama-jaga-kualitas-udara-jakarta</x:v>
      </x:c>
      <x:c r="L401" s="65" t="n">
        <x:v>0</x:v>
      </x:c>
      <x:c r="M401" s="65" t="str">
        <x:v>Machine-suggested near-miss; human review required.</x:v>
      </x:c>
    </x:row>
    <x:row r="402" ht="42" customHeight="1">
      <x:c r="A402" s="65" t="str">
        <x:v>gold30-020</x:v>
      </x:c>
      <x:c r="B402" s="65" t="str">
        <x:v>hybrid_rerank</x:v>
      </x:c>
      <x:c r="C402" s="88" t="n">
        <x:v>2</x:v>
      </x:c>
      <x:c r="D402" s="65" t="str">
        <x:v>jakarta-historical-city-series</x:v>
      </x:c>
      <x:c r="E402" s="65" t="str">
        <x:v>jakarta-historical-city-series:structure:4</x:v>
      </x:c>
      <x:c r="F402" s="65" t="str">
        <x:v>p.5</x:v>
      </x:c>
      <x:c r="G402" s="92" t="n">
        <x:v>0.10491803</x:v>
      </x:c>
      <x:c r="H402" s="65" t="str">
        <x:v>Jakarta historical PM2.5 and PM10 series: provenance and quality</x:v>
      </x:c>
      <x:c r="I402" s="65" t="str">
        <x:v>Open-Meteo / CAMS Global; deposited dataset by Nitiraj Kulkarni and Jagadish Tawade</x:v>
      </x:c>
      <x:c r="J402" s="65" t="str">
        <x:v>Across paired rows, Pearson correlation is 0.883 and Spearman correlation is 0.873. Mean absolute difference is 17.06, median absolute difference 16.80, and RMSE 23.05 µg/m³. The median PM10:PM2.5 ratio is 1.435 (mean 1.272). Absolute differences are within 1, 2, and 5 µg/m³ for…</x:v>
      </x:c>
      <x:c r="K402" s="65" t="str">
        <x:v>https://zenodo.org/records/18673885</x:v>
      </x:c>
      <x:c r="L402" s="65" t="n">
        <x:v>0</x:v>
      </x:c>
      <x:c r="M402" s="65" t="str">
        <x:v>Machine-suggested near-miss; human review required.</x:v>
      </x:c>
    </x:row>
    <x:row r="403" ht="42" customHeight="1">
      <x:c r="A403" s="65" t="str">
        <x:v>gold30-020</x:v>
      </x:c>
      <x:c r="B403" s="65" t="str">
        <x:v>hybrid_rerank</x:v>
      </x:c>
      <x:c r="C403" s="88" t="n">
        <x:v>3</x:v>
      </x:c>
      <x:c r="D403" s="65" t="str">
        <x:v>jakarta-seasonal-exposure</x:v>
      </x:c>
      <x:c r="E403" s="65" t="str">
        <x:v>jakarta-seasonal-exposure:structure:0</x:v>
      </x:c>
      <x:c r="F403" s="65" t="str">
        <x:v>p.1</x:v>
      </x:c>
      <x:c r="G403" s="92" t="n">
        <x:v>0.1047619</x:v>
      </x:c>
      <x:c r="H403" s="65" t="str">
        <x:v>Jakarta timing and local exposure context</x:v>
      </x:c>
      <x:c r="I403" s="65" t="str">
        <x:v>Dinas Lingkungan Hidup DKI Jakarta</x:v>
      </x:c>
      <x:c r="J403" s="65" t="str">
        <x:v>Published: 2024-04-06 Status as of: 2026-09-07 (official seasonal notice; not a current forecast) Document type: official_public_guidance Tags: topic=exposure-protection; audience=Jakarta-resident; action=protect-now; pollutant=PM2.5</x:v>
      </x:c>
      <x:c r="K403" s="65" t="str">
        <x:v>https://lingkunganhidup.jakarta.go.id/detail-artikel/masuki-musim-kemarau-pemprov-dki-minta-masyarakat-waspadai-penurunan-kualitas-udara</x:v>
      </x:c>
      <x:c r="L403" s="65" t="n">
        <x:v>0</x:v>
      </x:c>
      <x:c r="M403" s="65" t="str">
        <x:v>Machine-suggested near-miss; human review required.</x:v>
      </x:c>
    </x:row>
    <x:row r="404" ht="42" customHeight="1">
      <x:c r="A404" s="65" t="str">
        <x:v>gold30-020</x:v>
      </x:c>
      <x:c r="B404" s="65" t="str">
        <x:v>hybrid_rerank</x:v>
      </x:c>
      <x:c r="C404" s="88" t="n">
        <x:v>4</x:v>
      </x:c>
      <x:c r="D404" s="65" t="str">
        <x:v>ispu</x:v>
      </x:c>
      <x:c r="E404" s="65" t="str">
        <x:v>ispu:structure:0</x:v>
      </x:c>
      <x:c r="F404" s="65" t="str">
        <x:v>p.1</x:v>
      </x:c>
      <x:c r="G404" s="92" t="n">
        <x:v>0.0087205</x:v>
      </x:c>
      <x:c r="H404" s="65" t="str">
        <x:v>Indonesian ISPU categories</x:v>
      </x:c>
      <x:c r="I404" s="65" t="str">
        <x:v>Ministry of Environment and Forestry</x:v>
      </x:c>
      <x:c r="J404" s="65" t="str">
        <x:v>The Indonesian ISPU categories used in this demo are Baik (1-50), Sedang (51-100), Tidak Sehat (101-200), Sangat Tidak Sehat (201-300), and Berbahaya (301 or higher). ISPU is an index without a physical concentration unit.</x:v>
      </x:c>
      <x:c r="K404" s="65" t="str">
        <x:v>https://peraturan.bpk.go.id/Details/163466/permen-lhk-no-14-tahun-2020</x:v>
      </x:c>
      <x:c r="L404" s="65" t="n">
        <x:v>0</x:v>
      </x:c>
      <x:c r="M404" s="65" t="str">
        <x:v>Machine-suggested near-miss; human review required.</x:v>
      </x:c>
    </x:row>
    <x:row r="405" ht="42" customHeight="1">
      <x:c r="A405" s="65" t="str">
        <x:v>gold30-020</x:v>
      </x:c>
      <x:c r="B405" s="65" t="str">
        <x:v>hybrid_rerank</x:v>
      </x:c>
      <x:c r="C405" s="88" t="n">
        <x:v>5</x:v>
      </x:c>
      <x:c r="D405" s="65" t="str">
        <x:v>pergub-66-2020-vehicle-testing</x:v>
      </x:c>
      <x:c r="E405" s="65" t="str">
        <x:v>pergub-66-2020-vehicle-testing:structure:0</x:v>
      </x:c>
      <x:c r="F405" s="65" t="str">
        <x:v>p.1</x:v>
      </x:c>
      <x:c r="G405" s="92" t="n">
        <x:v>0.00501639</x:v>
      </x:c>
      <x:c r="H405" s="65" t="str">
        <x:v>Pergub DKI Jakarta No. 66 Tahun 2020 — motor-vehicle emission testing</x:v>
      </x:c>
      <x:c r="I405" s="65" t="str">
        <x:v>Pemerintah Provinsi DKI Jakarta / Database Peraturan BPK</x:v>
      </x:c>
      <x:c r="J405" s="65" t="str">
        <x:v>Peraturan Gubernur Provinsi DKI Jakarta Nomor 66 Tahun 2020 is titled Uji Emisi Gas Buang Kendaraan Bermotor. The BPK record gives the adoption date as 22 July 2020, promulgation date as 24 July 2020, and effective date as 24 December 2020.</x:v>
      </x:c>
      <x:c r="K405" s="65" t="str">
        <x:v>https://peraturan.bpk.go.id/Details/153923/pergub-prov-dki-jakarta-no-66-tahun-2020</x:v>
      </x:c>
      <x:c r="L405" s="65" t="n">
        <x:v>0</x:v>
      </x:c>
      <x:c r="M405" s="65" t="str">
        <x:v>Machine-suggested near-miss; human review required.</x:v>
      </x:c>
    </x:row>
    <x:row r="406" ht="42" customHeight="1">
      <x:c r="A406" s="65" t="str">
        <x:v>gold30-021</x:v>
      </x:c>
      <x:c r="B406" s="65" t="str">
        <x:v>bm25</x:v>
      </x:c>
      <x:c r="C406" s="88" t="n">
        <x:v>1</x:v>
      </x:c>
      <x:c r="D406" s="65" t="str">
        <x:v>bad-air-day-protection</x:v>
      </x:c>
      <x:c r="E406" s="65" t="str">
        <x:v>bad-air-day-protection:structure:1</x:v>
      </x:c>
      <x:c r="F406" s="65" t="str">
        <x:v>p.2</x:v>
      </x:c>
      <x:c r="G406" s="92" t="n">
        <x:v>0.75</x:v>
      </x:c>
      <x:c r="H406" s="65" t="str">
        <x:v>Bad-air-day protection playbook</x:v>
      </x:c>
      <x:c r="I406" s="65" t="str">
        <x:v>World Health Organization, Regional Office for Europe</x:v>
      </x:c>
      <x:c r="J406"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406" s="65" t="str">
        <x:v>https://www.who.int/news-room/questions-and-answers/item/air-pollution-personal-interventions-and-risk-communication</x:v>
      </x:c>
      <x:c r="L406" s="65" t="n">
        <x:v>0</x:v>
      </x:c>
      <x:c r="M406" s="65" t="str">
        <x:v>Machine-suggested near-miss; human review required.</x:v>
      </x:c>
    </x:row>
    <x:row r="407" ht="42" customHeight="1">
      <x:c r="A407" s="65" t="str">
        <x:v>gold30-021</x:v>
      </x:c>
      <x:c r="B407" s="65" t="str">
        <x:v>bm25</x:v>
      </x:c>
      <x:c r="C407" s="88" t="n">
        <x:v>2</x:v>
      </x:c>
      <x:c r="D407" s="65" t="str">
        <x:v>who-personal-interventions-2024</x:v>
      </x:c>
      <x:c r="E407" s="65" t="str">
        <x:v>who-personal-interventions-2024:structure:3</x:v>
      </x:c>
      <x:c r="F407" s="65" t="str">
        <x:v>p.4</x:v>
      </x:c>
      <x:c r="G407" s="92" t="n">
        <x:v>0.625</x:v>
      </x:c>
      <x:c r="H407" s="65" t="str">
        <x:v>WHO personal interventions and risk communication (2024)</x:v>
      </x:c>
      <x:c r="I407" s="65" t="str">
        <x:v>World Health Organization</x:v>
      </x:c>
      <x:c r="J407" s="65" t="str">
        <x:v>Particulate respirators can reduce inhaled particles when they are appropriate for the pollutant and fit well. They do not filter every gas, fit varies, and they are not a substitute for reducing emissions. Advice for people with heart or lung disease should be individualized by…</x:v>
      </x:c>
      <x:c r="K407" s="65" t="str">
        <x:v>https://www.who.int/news-room/questions-and-answers/item/air-pollution-personal-interventions-and-risk-communication</x:v>
      </x:c>
      <x:c r="L407" s="65" t="n">
        <x:v>3</x:v>
      </x:c>
      <x:c r="M407" s="65" t="str">
        <x:v>Expected source for this question.</x:v>
      </x:c>
    </x:row>
    <x:row r="408" ht="42" customHeight="1">
      <x:c r="A408" s="65" t="str">
        <x:v>gold30-021</x:v>
      </x:c>
      <x:c r="B408" s="65" t="str">
        <x:v>bm25</x:v>
      </x:c>
      <x:c r="C408" s="88" t="n">
        <x:v>3</x:v>
      </x:c>
      <x:c r="D408" s="65" t="str">
        <x:v>clean-air-room</x:v>
      </x:c>
      <x:c r="E408" s="65" t="str">
        <x:v>clean-air-room:structure:2</x:v>
      </x:c>
      <x:c r="F408" s="65" t="str">
        <x:v>p.3</x:v>
      </x:c>
      <x:c r="G408" s="92" t="n">
        <x:v>0.5</x:v>
      </x:c>
      <x:c r="H408" s="65" t="str">
        <x:v>Indoor filtration and a clean-air room</x:v>
      </x:c>
      <x:c r="I408" s="65" t="str">
        <x:v>United States Environmental Protection Agency</x:v>
      </x:c>
      <x:c r="J408" s="65" t="str">
        <x:v>CADR is a particle-cleaning rate, not proof that a device removes gases. A particle filter/HEPA unit will not remove all pollutants; activated carbon can help with some gases only when there is enough sorbent material, and there is no widely used gas-performance rating. Avoid oz…</x:v>
      </x:c>
      <x:c r="K408" s="65" t="str">
        <x:v>https://www.epa.gov/indoor-air-quality-iaq/guide-air-cleaners-home</x:v>
      </x:c>
      <x:c r="L408" s="65" t="n">
        <x:v>0</x:v>
      </x:c>
      <x:c r="M408" s="65" t="str">
        <x:v>Machine-suggested near-miss; human review required.</x:v>
      </x:c>
    </x:row>
    <x:row r="409" ht="42" customHeight="1">
      <x:c r="A409" s="65" t="str">
        <x:v>gold30-021</x:v>
      </x:c>
      <x:c r="B409" s="65" t="str">
        <x:v>bm25</x:v>
      </x:c>
      <x:c r="C409" s="88" t="n">
        <x:v>4</x:v>
      </x:c>
      <x:c r="D409" s="65" t="str">
        <x:v>epa-air-cleaners-home-2026</x:v>
      </x:c>
      <x:c r="E409" s="65" t="str">
        <x:v>epa-air-cleaners-home-2026:structure:0</x:v>
      </x:c>
      <x:c r="F409" s="65" t="str">
        <x:v>p.1</x:v>
      </x:c>
      <x:c r="G409" s="92" t="n">
        <x:v>0.375</x:v>
      </x:c>
      <x:c r="H409" s="65" t="str">
        <x:v>US EPA Guide to Air Cleaners in the Home (2nd edition)</x:v>
      </x:c>
      <x:c r="I409" s="65" t="str">
        <x:v>United States Environmental Protection Agency</x:v>
      </x:c>
      <x:c r="J409" s="65" t="str">
        <x:v>The EPA guide discusses portable air cleaners, heating/ventilation and air-conditioning filters, indoor pollutant sources and practical limits. It is technical household guidance and should not be presented as a Jakarta regulation.</x:v>
      </x:c>
      <x:c r="K409" s="65" t="str">
        <x:v>https://www.epa.gov/indoor-air-quality-iaq/guide-air-cleaners-home</x:v>
      </x:c>
      <x:c r="L409" s="65" t="n">
        <x:v>0</x:v>
      </x:c>
      <x:c r="M409" s="65" t="str">
        <x:v>Machine-suggested near-miss; human review required.</x:v>
      </x:c>
    </x:row>
    <x:row r="410" ht="42" customHeight="1">
      <x:c r="A410" s="65" t="str">
        <x:v>gold30-021</x:v>
      </x:c>
      <x:c r="B410" s="65" t="str">
        <x:v>bm25</x:v>
      </x:c>
      <x:c r="C410" s="88" t="n">
        <x:v>5</x:v>
      </x:c>
      <x:c r="D410" s="65" t="str">
        <x:v>exposure-protection</x:v>
      </x:c>
      <x:c r="E410" s="65" t="str">
        <x:v>exposure-protection:structure:1</x:v>
      </x:c>
      <x:c r="F410" s="65" t="str">
        <x:v>p.2</x:v>
      </x:c>
      <x:c r="G410" s="92" t="n">
        <x:v>0.375</x:v>
      </x:c>
      <x:c r="H410" s="65" t="str">
        <x:v>Reducing personal exposure to air pollution</x:v>
      </x:c>
      <x:c r="I410" s="65" t="str">
        <x:v>World Health Organization</x:v>
      </x:c>
      <x:c r="J410" s="65" t="str">
        <x:v>A properly fitted, certified particulate respirator can reduce inhaled particles such as PM2.5, but it does not remove every gas and fit is important. Portable particle filtration may reduce indoor PM2.5, but effectiveness depends on room size, filter performance, fan speed, inf…</x:v>
      </x:c>
      <x:c r="K410" s="65" t="str">
        <x:v>https://www.who.int/publications/i/item/9789240000278</x:v>
      </x:c>
      <x:c r="L410" s="65" t="n">
        <x:v>3</x:v>
      </x:c>
      <x:c r="M410" s="65" t="str">
        <x:v>Expected source for this question.</x:v>
      </x:c>
    </x:row>
    <x:row r="411" ht="42" customHeight="1">
      <x:c r="A411" s="65" t="str">
        <x:v>gold30-021</x:v>
      </x:c>
      <x:c r="B411" s="65" t="str">
        <x:v>dense</x:v>
      </x:c>
      <x:c r="C411" s="88" t="n">
        <x:v>1</x:v>
      </x:c>
      <x:c r="D411" s="65" t="str">
        <x:v>bad-air-day-protection</x:v>
      </x:c>
      <x:c r="E411" s="65" t="str">
        <x:v>bad-air-day-protection:structure:1</x:v>
      </x:c>
      <x:c r="F411" s="65" t="str">
        <x:v>p.2</x:v>
      </x:c>
      <x:c r="G411" s="92" t="n">
        <x:v>0.41856736</x:v>
      </x:c>
      <x:c r="H411" s="65" t="str">
        <x:v>Bad-air-day protection playbook</x:v>
      </x:c>
      <x:c r="I411" s="65" t="str">
        <x:v>World Health Organization, Regional Office for Europe</x:v>
      </x:c>
      <x:c r="J411"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411" s="65" t="str">
        <x:v>https://www.who.int/news-room/questions-and-answers/item/air-pollution-personal-interventions-and-risk-communication</x:v>
      </x:c>
      <x:c r="L411" s="65" t="n">
        <x:v>0</x:v>
      </x:c>
      <x:c r="M411" s="65" t="str">
        <x:v>Machine-suggested near-miss; human review required.</x:v>
      </x:c>
    </x:row>
    <x:row r="412" ht="42" customHeight="1">
      <x:c r="A412" s="65" t="str">
        <x:v>gold30-021</x:v>
      </x:c>
      <x:c r="B412" s="65" t="str">
        <x:v>dense</x:v>
      </x:c>
      <x:c r="C412" s="88" t="n">
        <x:v>2</x:v>
      </x:c>
      <x:c r="D412" s="65" t="str">
        <x:v>who-personal-interventions-2024</x:v>
      </x:c>
      <x:c r="E412" s="65" t="str">
        <x:v>who-personal-interventions-2024:structure:3</x:v>
      </x:c>
      <x:c r="F412" s="65" t="str">
        <x:v>p.4</x:v>
      </x:c>
      <x:c r="G412" s="92" t="n">
        <x:v>0.36396077</x:v>
      </x:c>
      <x:c r="H412" s="65" t="str">
        <x:v>WHO personal interventions and risk communication (2024)</x:v>
      </x:c>
      <x:c r="I412" s="65" t="str">
        <x:v>World Health Organization</x:v>
      </x:c>
      <x:c r="J412" s="65" t="str">
        <x:v>Particulate respirators can reduce inhaled particles when they are appropriate for the pollutant and fit well. They do not filter every gas, fit varies, and they are not a substitute for reducing emissions. Advice for people with heart or lung disease should be individualized by…</x:v>
      </x:c>
      <x:c r="K412" s="65" t="str">
        <x:v>https://www.who.int/news-room/questions-and-answers/item/air-pollution-personal-interventions-and-risk-communication</x:v>
      </x:c>
      <x:c r="L412" s="65" t="n">
        <x:v>3</x:v>
      </x:c>
      <x:c r="M412" s="65" t="str">
        <x:v>Expected source for this question.</x:v>
      </x:c>
    </x:row>
    <x:row r="413" ht="42" customHeight="1">
      <x:c r="A413" s="65" t="str">
        <x:v>gold30-021</x:v>
      </x:c>
      <x:c r="B413" s="65" t="str">
        <x:v>dense</x:v>
      </x:c>
      <x:c r="C413" s="88" t="n">
        <x:v>3</x:v>
      </x:c>
      <x:c r="D413" s="65" t="str">
        <x:v>exposure-protection</x:v>
      </x:c>
      <x:c r="E413" s="65" t="str">
        <x:v>exposure-protection:structure:1</x:v>
      </x:c>
      <x:c r="F413" s="65" t="str">
        <x:v>p.2</x:v>
      </x:c>
      <x:c r="G413" s="92" t="n">
        <x:v>0.33064397</x:v>
      </x:c>
      <x:c r="H413" s="65" t="str">
        <x:v>Reducing personal exposure to air pollution</x:v>
      </x:c>
      <x:c r="I413" s="65" t="str">
        <x:v>World Health Organization</x:v>
      </x:c>
      <x:c r="J413" s="65" t="str">
        <x:v>A properly fitted, certified particulate respirator can reduce inhaled particles such as PM2.5, but it does not remove every gas and fit is important. Portable particle filtration may reduce indoor PM2.5, but effectiveness depends on room size, filter performance, fan speed, inf…</x:v>
      </x:c>
      <x:c r="K413" s="65" t="str">
        <x:v>https://www.who.int/publications/i/item/9789240000278</x:v>
      </x:c>
      <x:c r="L413" s="65" t="n">
        <x:v>3</x:v>
      </x:c>
      <x:c r="M413" s="65" t="str">
        <x:v>Expected source for this question.</x:v>
      </x:c>
    </x:row>
    <x:row r="414" ht="42" customHeight="1">
      <x:c r="A414" s="65" t="str">
        <x:v>gold30-021</x:v>
      </x:c>
      <x:c r="B414" s="65" t="str">
        <x:v>dense</x:v>
      </x:c>
      <x:c r="C414" s="88" t="n">
        <x:v>4</x:v>
      </x:c>
      <x:c r="D414" s="65" t="str">
        <x:v>pergub-66-2020-vehicle-testing</x:v>
      </x:c>
      <x:c r="E414" s="65" t="str">
        <x:v>pergub-66-2020-vehicle-testing:structure:2</x:v>
      </x:c>
      <x:c r="F414" s="65" t="str">
        <x:v>p.3</x:v>
      </x:c>
      <x:c r="G414" s="92" t="n">
        <x:v>0.3277634</x:v>
      </x:c>
      <x:c r="H414" s="65" t="str">
        <x:v>Pergub DKI Jakarta No. 66 Tahun 2020 — motor-vehicle emission testing</x:v>
      </x:c>
      <x:c r="I414" s="65" t="str">
        <x:v>Pemerintah Provinsi DKI Jakarta / Database Peraturan BPK</x:v>
      </x:c>
      <x:c r="J414" s="65" t="str">
        <x:v>The abstract says the regulation governs emission testing and exhaust gas by every motor-vehicle owner, together with inspection, supervision and control by the emission-test team. Its delayed effective date is six months after promulgation, rather than the promulgation date its…</x:v>
      </x:c>
      <x:c r="K414" s="65" t="str">
        <x:v>https://peraturan.bpk.go.id/Details/153923/pergub-prov-dki-jakarta-no-66-tahun-2020</x:v>
      </x:c>
      <x:c r="L414" s="65" t="n">
        <x:v>0</x:v>
      </x:c>
      <x:c r="M414" s="65" t="str">
        <x:v>Machine-suggested near-miss; human review required.</x:v>
      </x:c>
    </x:row>
    <x:row r="415" ht="42" customHeight="1">
      <x:c r="A415" s="65" t="str">
        <x:v>gold30-021</x:v>
      </x:c>
      <x:c r="B415" s="65" t="str">
        <x:v>dense</x:v>
      </x:c>
      <x:c r="C415" s="88" t="n">
        <x:v>5</x:v>
      </x:c>
      <x:c r="D415" s="65" t="str">
        <x:v>clean-air-room</x:v>
      </x:c>
      <x:c r="E415" s="65" t="str">
        <x:v>clean-air-room:structure:2</x:v>
      </x:c>
      <x:c r="F415" s="65" t="str">
        <x:v>p.3</x:v>
      </x:c>
      <x:c r="G415" s="92" t="n">
        <x:v>0.31668933</x:v>
      </x:c>
      <x:c r="H415" s="65" t="str">
        <x:v>Indoor filtration and a clean-air room</x:v>
      </x:c>
      <x:c r="I415" s="65" t="str">
        <x:v>United States Environmental Protection Agency</x:v>
      </x:c>
      <x:c r="J415" s="65" t="str">
        <x:v>CADR is a particle-cleaning rate, not proof that a device removes gases. A particle filter/HEPA unit will not remove all pollutants; activated carbon can help with some gases only when there is enough sorbent material, and there is no widely used gas-performance rating. Avoid oz…</x:v>
      </x:c>
      <x:c r="K415" s="65" t="str">
        <x:v>https://www.epa.gov/indoor-air-quality-iaq/guide-air-cleaners-home</x:v>
      </x:c>
      <x:c r="L415" s="65" t="n">
        <x:v>0</x:v>
      </x:c>
      <x:c r="M415" s="65" t="str">
        <x:v>Machine-suggested near-miss; human review required.</x:v>
      </x:c>
    </x:row>
    <x:row r="416" ht="42" customHeight="1">
      <x:c r="A416" s="65" t="str">
        <x:v>gold30-021</x:v>
      </x:c>
      <x:c r="B416" s="65" t="str">
        <x:v>hybrid</x:v>
      </x:c>
      <x:c r="C416" s="88" t="n">
        <x:v>1</x:v>
      </x:c>
      <x:c r="D416" s="65" t="str">
        <x:v>bad-air-day-protection</x:v>
      </x:c>
      <x:c r="E416" s="65" t="str">
        <x:v>bad-air-day-protection:structure:1</x:v>
      </x:c>
      <x:c r="F416" s="65" t="str">
        <x:v>p.2</x:v>
      </x:c>
      <x:c r="G416" s="92" t="n">
        <x:v>0.03311475</x:v>
      </x:c>
      <x:c r="H416" s="65" t="str">
        <x:v>Bad-air-day protection playbook</x:v>
      </x:c>
      <x:c r="I416" s="65" t="str">
        <x:v>World Health Organization, Regional Office for Europe</x:v>
      </x:c>
      <x:c r="J416"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416" s="65" t="str">
        <x:v>https://www.who.int/news-room/questions-and-answers/item/air-pollution-personal-interventions-and-risk-communication</x:v>
      </x:c>
      <x:c r="L416" s="65" t="n">
        <x:v>0</x:v>
      </x:c>
      <x:c r="M416" s="65" t="str">
        <x:v>Machine-suggested near-miss; human review required.</x:v>
      </x:c>
    </x:row>
    <x:row r="417" ht="42" customHeight="1">
      <x:c r="A417" s="65" t="str">
        <x:v>gold30-021</x:v>
      </x:c>
      <x:c r="B417" s="65" t="str">
        <x:v>hybrid</x:v>
      </x:c>
      <x:c r="C417" s="88" t="n">
        <x:v>2</x:v>
      </x:c>
      <x:c r="D417" s="65" t="str">
        <x:v>who-personal-interventions-2024</x:v>
      </x:c>
      <x:c r="E417" s="65" t="str">
        <x:v>who-personal-interventions-2024:structure:3</x:v>
      </x:c>
      <x:c r="F417" s="65" t="str">
        <x:v>p.4</x:v>
      </x:c>
      <x:c r="G417" s="92" t="n">
        <x:v>0.03258065</x:v>
      </x:c>
      <x:c r="H417" s="65" t="str">
        <x:v>WHO personal interventions and risk communication (2024)</x:v>
      </x:c>
      <x:c r="I417" s="65" t="str">
        <x:v>World Health Organization</x:v>
      </x:c>
      <x:c r="J417" s="65" t="str">
        <x:v>Particulate respirators can reduce inhaled particles when they are appropriate for the pollutant and fit well. They do not filter every gas, fit varies, and they are not a substitute for reducing emissions. Advice for people with heart or lung disease should be individualized by…</x:v>
      </x:c>
      <x:c r="K417" s="65" t="str">
        <x:v>https://www.who.int/news-room/questions-and-answers/item/air-pollution-personal-interventions-and-risk-communication</x:v>
      </x:c>
      <x:c r="L417" s="65" t="n">
        <x:v>3</x:v>
      </x:c>
      <x:c r="M417" s="65" t="str">
        <x:v>Expected source for this question.</x:v>
      </x:c>
    </x:row>
    <x:row r="418" ht="42" customHeight="1">
      <x:c r="A418" s="65" t="str">
        <x:v>gold30-021</x:v>
      </x:c>
      <x:c r="B418" s="65" t="str">
        <x:v>hybrid</x:v>
      </x:c>
      <x:c r="C418" s="88" t="n">
        <x:v>3</x:v>
      </x:c>
      <x:c r="D418" s="65" t="str">
        <x:v>exposure-protection</x:v>
      </x:c>
      <x:c r="E418" s="65" t="str">
        <x:v>exposure-protection:structure:1</x:v>
      </x:c>
      <x:c r="F418" s="65" t="str">
        <x:v>p.2</x:v>
      </x:c>
      <x:c r="G418" s="92" t="n">
        <x:v>0.03157509</x:v>
      </x:c>
      <x:c r="H418" s="65" t="str">
        <x:v>Reducing personal exposure to air pollution</x:v>
      </x:c>
      <x:c r="I418" s="65" t="str">
        <x:v>World Health Organization</x:v>
      </x:c>
      <x:c r="J418" s="65" t="str">
        <x:v>A properly fitted, certified particulate respirator can reduce inhaled particles such as PM2.5, but it does not remove every gas and fit is important. Portable particle filtration may reduce indoor PM2.5, but effectiveness depends on room size, filter performance, fan speed, inf…</x:v>
      </x:c>
      <x:c r="K418" s="65" t="str">
        <x:v>https://www.who.int/publications/i/item/9789240000278</x:v>
      </x:c>
      <x:c r="L418" s="65" t="n">
        <x:v>3</x:v>
      </x:c>
      <x:c r="M418" s="65" t="str">
        <x:v>Expected source for this question.</x:v>
      </x:c>
    </x:row>
    <x:row r="419" ht="42" customHeight="1">
      <x:c r="A419" s="65" t="str">
        <x:v>gold30-021</x:v>
      </x:c>
      <x:c r="B419" s="65" t="str">
        <x:v>hybrid</x:v>
      </x:c>
      <x:c r="C419" s="88" t="n">
        <x:v>4</x:v>
      </x:c>
      <x:c r="D419" s="65" t="str">
        <x:v>clean-air-room</x:v>
      </x:c>
      <x:c r="E419" s="65" t="str">
        <x:v>clean-air-room:structure:2</x:v>
      </x:c>
      <x:c r="F419" s="65" t="str">
        <x:v>p.3</x:v>
      </x:c>
      <x:c r="G419" s="92" t="n">
        <x:v>0.03156532</x:v>
      </x:c>
      <x:c r="H419" s="65" t="str">
        <x:v>Indoor filtration and a clean-air room</x:v>
      </x:c>
      <x:c r="I419" s="65" t="str">
        <x:v>United States Environmental Protection Agency</x:v>
      </x:c>
      <x:c r="J419" s="65" t="str">
        <x:v>CADR is a particle-cleaning rate, not proof that a device removes gases. A particle filter/HEPA unit will not remove all pollutants; activated carbon can help with some gases only when there is enough sorbent material, and there is no widely used gas-performance rating. Avoid oz…</x:v>
      </x:c>
      <x:c r="K419" s="65" t="str">
        <x:v>https://www.epa.gov/indoor-air-quality-iaq/guide-air-cleaners-home</x:v>
      </x:c>
      <x:c r="L419" s="65" t="n">
        <x:v>0</x:v>
      </x:c>
      <x:c r="M419" s="65" t="str">
        <x:v>Machine-suggested near-miss; human review required.</x:v>
      </x:c>
    </x:row>
    <x:row r="420" ht="42" customHeight="1">
      <x:c r="A420" s="65" t="str">
        <x:v>gold30-021</x:v>
      </x:c>
      <x:c r="B420" s="65" t="str">
        <x:v>hybrid</x:v>
      </x:c>
      <x:c r="C420" s="88" t="n">
        <x:v>5</x:v>
      </x:c>
      <x:c r="D420" s="65" t="str">
        <x:v>policy-improvements-evidence</x:v>
      </x:c>
      <x:c r="E420" s="65" t="str">
        <x:v>policy-improvements-evidence:structure:2</x:v>
      </x:c>
      <x:c r="F420" s="65" t="str">
        <x:v>p.3</x:v>
      </x:c>
      <x:c r="G420" s="92" t="n">
        <x:v>0.0299473</x:v>
      </x:c>
      <x:c r="H420" s="65" t="str">
        <x:v>Evidence-based policy improvements for Jakarta</x:v>
      </x:c>
      <x:c r="I420" s="65" t="str">
        <x:v>Dinas Lingkungan Hidup DKI Jakarta; World Health Organization</x:v>
      </x:c>
      <x:c r="J420"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420" s="65" t="str">
        <x:v>https://www.jakarta.go.id/siaran-pers/4802-SP-HMS-06-2024</x:v>
      </x:c>
      <x:c r="L420" s="65" t="n">
        <x:v>0</x:v>
      </x:c>
      <x:c r="M420" s="65" t="str">
        <x:v>Machine-suggested near-miss; human review required.</x:v>
      </x:c>
    </x:row>
    <x:row r="421" ht="42" customHeight="1">
      <x:c r="A421" s="65" t="str">
        <x:v>gold30-021</x:v>
      </x:c>
      <x:c r="B421" s="65" t="str">
        <x:v>hybrid_rerank</x:v>
      </x:c>
      <x:c r="C421" s="88" t="n">
        <x:v>1</x:v>
      </x:c>
      <x:c r="D421" s="65" t="str">
        <x:v>bad-air-day-protection</x:v>
      </x:c>
      <x:c r="E421" s="65" t="str">
        <x:v>bad-air-day-protection:structure:1</x:v>
      </x:c>
      <x:c r="F421" s="65" t="str">
        <x:v>p.2</x:v>
      </x:c>
      <x:c r="G421" s="92" t="n">
        <x:v>0.53493443</x:v>
      </x:c>
      <x:c r="H421" s="65" t="str">
        <x:v>Bad-air-day protection playbook</x:v>
      </x:c>
      <x:c r="I421" s="65" t="str">
        <x:v>World Health Organization, Regional Office for Europe</x:v>
      </x:c>
      <x:c r="J421"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421" s="65" t="str">
        <x:v>https://www.who.int/news-room/questions-and-answers/item/air-pollution-personal-interventions-and-risk-communication</x:v>
      </x:c>
      <x:c r="L421" s="65" t="n">
        <x:v>0</x:v>
      </x:c>
      <x:c r="M421" s="65" t="str">
        <x:v>Machine-suggested near-miss; human review required.</x:v>
      </x:c>
    </x:row>
    <x:row r="422" ht="42" customHeight="1">
      <x:c r="A422" s="65" t="str">
        <x:v>gold30-021</x:v>
      </x:c>
      <x:c r="B422" s="65" t="str">
        <x:v>hybrid_rerank</x:v>
      </x:c>
      <x:c r="C422" s="88" t="n">
        <x:v>2</x:v>
      </x:c>
      <x:c r="D422" s="65" t="str">
        <x:v>who-personal-interventions-2024</x:v>
      </x:c>
      <x:c r="E422" s="65" t="str">
        <x:v>who-personal-interventions-2024:structure:3</x:v>
      </x:c>
      <x:c r="F422" s="65" t="str">
        <x:v>p.4</x:v>
      </x:c>
      <x:c r="G422" s="92" t="n">
        <x:v>0.44727419</x:v>
      </x:c>
      <x:c r="H422" s="65" t="str">
        <x:v>WHO personal interventions and risk communication (2024)</x:v>
      </x:c>
      <x:c r="I422" s="65" t="str">
        <x:v>World Health Organization</x:v>
      </x:c>
      <x:c r="J422" s="65" t="str">
        <x:v>Particulate respirators can reduce inhaled particles when they are appropriate for the pollutant and fit well. They do not filter every gas, fit varies, and they are not a substitute for reducing emissions. Advice for people with heart or lung disease should be individualized by…</x:v>
      </x:c>
      <x:c r="K422" s="65" t="str">
        <x:v>https://www.who.int/news-room/questions-and-answers/item/air-pollution-personal-interventions-and-risk-communication</x:v>
      </x:c>
      <x:c r="L422" s="65" t="n">
        <x:v>3</x:v>
      </x:c>
      <x:c r="M422" s="65" t="str">
        <x:v>Expected source for this question.</x:v>
      </x:c>
    </x:row>
    <x:row r="423" ht="42" customHeight="1">
      <x:c r="A423" s="65" t="str">
        <x:v>gold30-021</x:v>
      </x:c>
      <x:c r="B423" s="65" t="str">
        <x:v>hybrid_rerank</x:v>
      </x:c>
      <x:c r="C423" s="88" t="n">
        <x:v>3</x:v>
      </x:c>
      <x:c r="D423" s="65" t="str">
        <x:v>clean-air-room</x:v>
      </x:c>
      <x:c r="E423" s="65" t="str">
        <x:v>clean-air-room:structure:2</x:v>
      </x:c>
      <x:c r="F423" s="65" t="str">
        <x:v>p.3</x:v>
      </x:c>
      <x:c r="G423" s="92" t="n">
        <x:v>0.3594696</x:v>
      </x:c>
      <x:c r="H423" s="65" t="str">
        <x:v>Indoor filtration and a clean-air room</x:v>
      </x:c>
      <x:c r="I423" s="65" t="str">
        <x:v>United States Environmental Protection Agency</x:v>
      </x:c>
      <x:c r="J423" s="65" t="str">
        <x:v>CADR is a particle-cleaning rate, not proof that a device removes gases. A particle filter/HEPA unit will not remove all pollutants; activated carbon can help with some gases only when there is enough sorbent material, and there is no widely used gas-performance rating. Avoid oz…</x:v>
      </x:c>
      <x:c r="K423" s="65" t="str">
        <x:v>https://www.epa.gov/indoor-air-quality-iaq/guide-air-cleaners-home</x:v>
      </x:c>
      <x:c r="L423" s="65" t="n">
        <x:v>0</x:v>
      </x:c>
      <x:c r="M423" s="65" t="str">
        <x:v>Machine-suggested near-miss; human review required.</x:v>
      </x:c>
    </x:row>
    <x:row r="424" ht="42" customHeight="1">
      <x:c r="A424" s="65" t="str">
        <x:v>gold30-021</x:v>
      </x:c>
      <x:c r="B424" s="65" t="str">
        <x:v>hybrid_rerank</x:v>
      </x:c>
      <x:c r="C424" s="88" t="n">
        <x:v>4</x:v>
      </x:c>
      <x:c r="D424" s="65" t="str">
        <x:v>exposure-protection</x:v>
      </x:c>
      <x:c r="E424" s="65" t="str">
        <x:v>exposure-protection:structure:1</x:v>
      </x:c>
      <x:c r="F424" s="65" t="str">
        <x:v>p.2</x:v>
      </x:c>
      <x:c r="G424" s="92" t="n">
        <x:v>0.27197253</x:v>
      </x:c>
      <x:c r="H424" s="65" t="str">
        <x:v>Reducing personal exposure to air pollution</x:v>
      </x:c>
      <x:c r="I424" s="65" t="str">
        <x:v>World Health Organization</x:v>
      </x:c>
      <x:c r="J424" s="65" t="str">
        <x:v>A properly fitted, certified particulate respirator can reduce inhaled particles such as PM2.5, but it does not remove every gas and fit is important. Portable particle filtration may reduce indoor PM2.5, but effectiveness depends on room size, filter performance, fan speed, inf…</x:v>
      </x:c>
      <x:c r="K424" s="65" t="str">
        <x:v>https://www.who.int/publications/i/item/9789240000278</x:v>
      </x:c>
      <x:c r="L424" s="65" t="n">
        <x:v>3</x:v>
      </x:c>
      <x:c r="M424" s="65" t="str">
        <x:v>Expected source for this question.</x:v>
      </x:c>
    </x:row>
    <x:row r="425" ht="42" customHeight="1">
      <x:c r="A425" s="65" t="str">
        <x:v>gold30-021</x:v>
      </x:c>
      <x:c r="B425" s="65" t="str">
        <x:v>hybrid_rerank</x:v>
      </x:c>
      <x:c r="C425" s="88" t="n">
        <x:v>5</x:v>
      </x:c>
      <x:c r="D425" s="65" t="str">
        <x:v>pp-22-2021-air-quality</x:v>
      </x:c>
      <x:c r="E425" s="65" t="str">
        <x:v>pp-22-2021-air-quality:structure:0</x:v>
      </x:c>
      <x:c r="F425" s="65" t="str">
        <x:v>p.1</x:v>
      </x:c>
      <x:c r="G425" s="92" t="n">
        <x:v>0.27134904</x:v>
      </x:c>
      <x:c r="H425" s="65" t="str">
        <x:v>PP No. 22 Tahun 2021 — environmental protection and ambient air quality</x:v>
      </x:c>
      <x:c r="I425" s="65" t="str">
        <x:v>Pemerintah Republik Indonesia / Database Peraturan BPK</x:v>
      </x:c>
      <x:c r="J425"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425" s="65" t="str">
        <x:v>https://peraturan.bpk.go.id/Details/161852/pp-no-22tahun-2021</x:v>
      </x:c>
      <x:c r="L425" s="65" t="n">
        <x:v>0</x:v>
      </x:c>
      <x:c r="M425" s="65" t="str">
        <x:v>Machine-suggested near-miss; human review required.</x:v>
      </x:c>
    </x:row>
    <x:row r="426" ht="42" customHeight="1">
      <x:c r="A426" s="65" t="str">
        <x:v>gold30-022</x:v>
      </x:c>
      <x:c r="B426" s="65" t="str">
        <x:v>bm25</x:v>
      </x:c>
      <x:c r="C426" s="88" t="n">
        <x:v>1</x:v>
      </x:c>
      <x:c r="D426" s="65" t="str">
        <x:v>pergub-66-2020-vehicle-testing</x:v>
      </x:c>
      <x:c r="E426" s="65" t="str">
        <x:v>pergub-66-2020-vehicle-testing:structure:0</x:v>
      </x:c>
      <x:c r="F426" s="65" t="str">
        <x:v>p.1</x:v>
      </x:c>
      <x:c r="G426" s="92" t="n">
        <x:v>0.33333333</x:v>
      </x:c>
      <x:c r="H426" s="65" t="str">
        <x:v>Pergub DKI Jakarta No. 66 Tahun 2020 — motor-vehicle emission testing</x:v>
      </x:c>
      <x:c r="I426" s="65" t="str">
        <x:v>Pemerintah Provinsi DKI Jakarta / Database Peraturan BPK</x:v>
      </x:c>
      <x:c r="J426" s="65" t="str">
        <x:v>Peraturan Gubernur Provinsi DKI Jakarta Nomor 66 Tahun 2020 is titled Uji Emisi Gas Buang Kendaraan Bermotor. The BPK record gives the adoption date as 22 July 2020, promulgation date as 24 July 2020, and effective date as 24 December 2020.</x:v>
      </x:c>
      <x:c r="K426" s="65" t="str">
        <x:v>https://peraturan.bpk.go.id/Details/153923/pergub-prov-dki-jakarta-no-66-tahun-2020</x:v>
      </x:c>
      <x:c r="L426" s="65" t="n">
        <x:v>0</x:v>
      </x:c>
      <x:c r="M426" s="65" t="str">
        <x:v>Machine-suggested near-miss; human review required.</x:v>
      </x:c>
    </x:row>
    <x:row r="427" ht="42" customHeight="1">
      <x:c r="A427" s="65" t="str">
        <x:v>gold30-022</x:v>
      </x:c>
      <x:c r="B427" s="65" t="str">
        <x:v>bm25</x:v>
      </x:c>
      <x:c r="C427" s="88" t="n">
        <x:v>2</x:v>
      </x:c>
      <x:c r="D427" s="65" t="str">
        <x:v>bad-air-day-protection</x:v>
      </x:c>
      <x:c r="E427" s="65" t="str">
        <x:v>bad-air-day-protection:structure:0</x:v>
      </x:c>
      <x:c r="F427" s="65" t="str">
        <x:v>p.1</x:v>
      </x:c>
      <x:c r="G427" s="92" t="n">
        <x:v>0</x:v>
      </x:c>
      <x:c r="H427" s="65" t="str">
        <x:v>Bad-air-day protection playbook</x:v>
      </x:c>
      <x:c r="I427" s="65" t="str">
        <x:v>World Health Organization, Regional Office for Europe</x:v>
      </x:c>
      <x:c r="J427" s="65" t="str">
        <x:v>Published: 2024-10-04 Status as of: 2026-09-07 (health guidance; not Indonesian law) Document type: health_guidance Tags: topic=exposure-protection; audience=Jakarta-resident; action=protect-now; pollutant=ambient-particles</x:v>
      </x:c>
      <x:c r="K427" s="65" t="str">
        <x:v>https://www.who.int/news-room/questions-and-answers/item/air-pollution-personal-interventions-and-risk-communication</x:v>
      </x:c>
      <x:c r="L427" s="65" t="n">
        <x:v>0</x:v>
      </x:c>
      <x:c r="M427" s="65" t="str">
        <x:v>Machine-suggested near-miss; human review required.</x:v>
      </x:c>
    </x:row>
    <x:row r="428" ht="42" customHeight="1">
      <x:c r="A428" s="65" t="str">
        <x:v>gold30-022</x:v>
      </x:c>
      <x:c r="B428" s="65" t="str">
        <x:v>bm25</x:v>
      </x:c>
      <x:c r="C428" s="88" t="n">
        <x:v>3</x:v>
      </x:c>
      <x:c r="D428" s="65" t="str">
        <x:v>clean-air-room</x:v>
      </x:c>
      <x:c r="E428" s="65" t="str">
        <x:v>clean-air-room:structure:0</x:v>
      </x:c>
      <x:c r="F428" s="65" t="str">
        <x:v>p.1</x:v>
      </x:c>
      <x:c r="G428" s="92" t="n">
        <x:v>0</x:v>
      </x:c>
      <x:c r="H428" s="65" t="str">
        <x:v>Indoor filtration and a clean-air room</x:v>
      </x:c>
      <x:c r="I428" s="65" t="str">
        <x:v>United States Environmental Protection Agency</x:v>
      </x:c>
      <x:c r="J428" s="65" t="str">
        <x:v>Published: not stated; page last updated 2026-02-17 (accessed 2026-09-07) Status as of: 2026-09-07 (technical guidance; not Indonesian law) Document type: indoor_air_guidance Tags: topic=indoor-filtration; audience=household; action=protect-now; pollutant=particles</x:v>
      </x:c>
      <x:c r="K428" s="65" t="str">
        <x:v>https://www.epa.gov/indoor-air-quality-iaq/guide-air-cleaners-home</x:v>
      </x:c>
      <x:c r="L428" s="65" t="n">
        <x:v>0</x:v>
      </x:c>
      <x:c r="M428" s="65" t="str">
        <x:v>Machine-suggested near-miss; human review required.</x:v>
      </x:c>
    </x:row>
    <x:row r="429" ht="42" customHeight="1">
      <x:c r="A429" s="65" t="str">
        <x:v>gold30-022</x:v>
      </x:c>
      <x:c r="B429" s="65" t="str">
        <x:v>bm25</x:v>
      </x:c>
      <x:c r="C429" s="88" t="n">
        <x:v>4</x:v>
      </x:c>
      <x:c r="D429" s="65" t="str">
        <x:v>epa-air-cleaners-home-2026</x:v>
      </x:c>
      <x:c r="E429" s="65" t="str">
        <x:v>epa-air-cleaners-home-2026:structure:0</x:v>
      </x:c>
      <x:c r="F429" s="65" t="str">
        <x:v>p.1</x:v>
      </x:c>
      <x:c r="G429" s="92" t="n">
        <x:v>0</x:v>
      </x:c>
      <x:c r="H429" s="65" t="str">
        <x:v>US EPA Guide to Air Cleaners in the Home (2nd edition)</x:v>
      </x:c>
      <x:c r="I429" s="65" t="str">
        <x:v>United States Environmental Protection Agency</x:v>
      </x:c>
      <x:c r="J429" s="65" t="str">
        <x:v>The EPA guide discusses portable air cleaners, heating/ventilation and air-conditioning filters, indoor pollutant sources and practical limits. It is technical household guidance and should not be presented as a Jakarta regulation.</x:v>
      </x:c>
      <x:c r="K429" s="65" t="str">
        <x:v>https://www.epa.gov/indoor-air-quality-iaq/guide-air-cleaners-home</x:v>
      </x:c>
      <x:c r="L429" s="65" t="n">
        <x:v>0</x:v>
      </x:c>
      <x:c r="M429" s="65" t="str">
        <x:v>Machine-suggested near-miss; human review required.</x:v>
      </x:c>
    </x:row>
    <x:row r="430" ht="42" customHeight="1">
      <x:c r="A430" s="65" t="str">
        <x:v>gold30-022</x:v>
      </x:c>
      <x:c r="B430" s="65" t="str">
        <x:v>bm25</x:v>
      </x:c>
      <x:c r="C430" s="88" t="n">
        <x:v>5</x:v>
      </x:c>
      <x:c r="D430" s="65" t="str">
        <x:v>exposure-protection</x:v>
      </x:c>
      <x:c r="E430" s="65" t="str">
        <x:v>exposure-protection:structure:0</x:v>
      </x:c>
      <x:c r="F430" s="65" t="str">
        <x:v>p.1</x:v>
      </x:c>
      <x:c r="G430" s="92" t="n">
        <x:v>0</x:v>
      </x:c>
      <x:c r="H430" s="65" t="str">
        <x:v>Reducing personal exposure to air pollution</x:v>
      </x:c>
      <x:c r="I430" s="65" t="str">
        <x:v>World Health Organization</x:v>
      </x:c>
      <x:c r="J430"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430" s="65" t="str">
        <x:v>https://www.who.int/publications/i/item/9789240000278</x:v>
      </x:c>
      <x:c r="L430" s="65" t="n">
        <x:v>0</x:v>
      </x:c>
      <x:c r="M430" s="65" t="str">
        <x:v>Machine-suggested near-miss; human review required.</x:v>
      </x:c>
    </x:row>
    <x:row r="431" ht="42" customHeight="1">
      <x:c r="A431" s="65" t="str">
        <x:v>gold30-022</x:v>
      </x:c>
      <x:c r="B431" s="65" t="str">
        <x:v>dense</x:v>
      </x:c>
      <x:c r="C431" s="88" t="n">
        <x:v>1</x:v>
      </x:c>
      <x:c r="D431" s="65" t="str">
        <x:v>permen-lhk-8-2023-vehicle-emissions</x:v>
      </x:c>
      <x:c r="E431" s="65" t="str">
        <x:v>permen-lhk-8-2023-vehicle-emissions:structure:0</x:v>
      </x:c>
      <x:c r="F431" s="65" t="str">
        <x:v>p.1</x:v>
      </x:c>
      <x:c r="G431" s="92" t="n">
        <x:v>0.15135682</x:v>
      </x:c>
      <x:c r="H431" s="65" t="str">
        <x:v>Permen LHK No. 8 Tahun 2023 — vehicle emission standards and testing</x:v>
      </x:c>
      <x:c r="I431" s="65" t="str">
        <x:v>Kementerian Lingkungan Hidup dan Kehutanan / Database Peraturan BPK</x:v>
      </x:c>
      <x:c r="J431"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431" s="65" t="str">
        <x:v>https://peraturan.bpk.go.id/Details/262504/permen-lhk-no-8-tahun-2023</x:v>
      </x:c>
      <x:c r="L431" s="65" t="n">
        <x:v>0</x:v>
      </x:c>
      <x:c r="M431" s="65" t="str">
        <x:v>Machine-suggested near-miss; human review required.</x:v>
      </x:c>
    </x:row>
    <x:row r="432" ht="42" customHeight="1">
      <x:c r="A432" s="65" t="str">
        <x:v>gold30-022</x:v>
      </x:c>
      <x:c r="B432" s="65" t="str">
        <x:v>dense</x:v>
      </x:c>
      <x:c r="C432" s="88" t="n">
        <x:v>2</x:v>
      </x:c>
      <x:c r="D432" s="65" t="str">
        <x:v>jakarta-historical-city-series</x:v>
      </x:c>
      <x:c r="E432" s="65" t="str">
        <x:v>jakarta-historical-city-series:structure:0</x:v>
      </x:c>
      <x:c r="F432" s="65" t="str">
        <x:v>p.1</x:v>
      </x:c>
      <x:c r="G432" s="92" t="n">
        <x:v>0.13709387</x:v>
      </x:c>
      <x:c r="H432" s="65" t="str">
        <x:v>Jakarta historical PM2.5 and PM10 series: provenance and quality</x:v>
      </x:c>
      <x:c r="I432" s="65" t="str">
        <x:v>Open-Meteo / CAMS Global; deposited dataset by Nitiraj Kulkarni and Jagadish Tawade</x:v>
      </x:c>
      <x:c r="J432" s="65" t="str">
        <x:v>API source: https://air-quality-api.open-meteo.com/v1/air-quality Retrieved: 2026-09-07</x:v>
      </x:c>
      <x:c r="K432" s="65" t="str">
        <x:v>https://zenodo.org/records/18673885</x:v>
      </x:c>
      <x:c r="L432" s="65" t="n">
        <x:v>0</x:v>
      </x:c>
      <x:c r="M432" s="65" t="str">
        <x:v>Machine-suggested near-miss; human review required.</x:v>
      </x:c>
    </x:row>
    <x:row r="433" ht="42" customHeight="1">
      <x:c r="A433" s="65" t="str">
        <x:v>gold30-022</x:v>
      </x:c>
      <x:c r="B433" s="65" t="str">
        <x:v>dense</x:v>
      </x:c>
      <x:c r="C433" s="88" t="n">
        <x:v>3</x:v>
      </x:c>
      <x:c r="D433" s="65" t="str">
        <x:v>pp-22-2021-air-quality</x:v>
      </x:c>
      <x:c r="E433" s="65" t="str">
        <x:v>pp-22-2021-air-quality:structure:0</x:v>
      </x:c>
      <x:c r="F433" s="65" t="str">
        <x:v>p.1</x:v>
      </x:c>
      <x:c r="G433" s="92" t="n">
        <x:v>0.13092482</x:v>
      </x:c>
      <x:c r="H433" s="65" t="str">
        <x:v>PP No. 22 Tahun 2021 — environmental protection and ambient air quality</x:v>
      </x:c>
      <x:c r="I433" s="65" t="str">
        <x:v>Pemerintah Republik Indonesia / Database Peraturan BPK</x:v>
      </x:c>
      <x:c r="J433"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433" s="65" t="str">
        <x:v>https://peraturan.bpk.go.id/Details/161852/pp-no-22tahun-2021</x:v>
      </x:c>
      <x:c r="L433" s="65" t="n">
        <x:v>0</x:v>
      </x:c>
      <x:c r="M433" s="65" t="str">
        <x:v>Machine-suggested near-miss; human review required.</x:v>
      </x:c>
    </x:row>
    <x:row r="434" ht="42" customHeight="1">
      <x:c r="A434" s="65" t="str">
        <x:v>gold30-022</x:v>
      </x:c>
      <x:c r="B434" s="65" t="str">
        <x:v>dense</x:v>
      </x:c>
      <x:c r="C434" s="88" t="n">
        <x:v>4</x:v>
      </x:c>
      <x:c r="D434" s="65" t="str">
        <x:v>pergub-66-2020-vehicle-testing</x:v>
      </x:c>
      <x:c r="E434" s="65" t="str">
        <x:v>pergub-66-2020-vehicle-testing:structure:0</x:v>
      </x:c>
      <x:c r="F434" s="65" t="str">
        <x:v>p.1</x:v>
      </x:c>
      <x:c r="G434" s="92" t="n">
        <x:v>0.12833553</x:v>
      </x:c>
      <x:c r="H434" s="65" t="str">
        <x:v>Pergub DKI Jakarta No. 66 Tahun 2020 — motor-vehicle emission testing</x:v>
      </x:c>
      <x:c r="I434" s="65" t="str">
        <x:v>Pemerintah Provinsi DKI Jakarta / Database Peraturan BPK</x:v>
      </x:c>
      <x:c r="J434" s="65" t="str">
        <x:v>Peraturan Gubernur Provinsi DKI Jakarta Nomor 66 Tahun 2020 is titled Uji Emisi Gas Buang Kendaraan Bermotor. The BPK record gives the adoption date as 22 July 2020, promulgation date as 24 July 2020, and effective date as 24 December 2020.</x:v>
      </x:c>
      <x:c r="K434" s="65" t="str">
        <x:v>https://peraturan.bpk.go.id/Details/153923/pergub-prov-dki-jakarta-no-66-tahun-2020</x:v>
      </x:c>
      <x:c r="L434" s="65" t="n">
        <x:v>0</x:v>
      </x:c>
      <x:c r="M434" s="65" t="str">
        <x:v>Machine-suggested near-miss; human review required.</x:v>
      </x:c>
    </x:row>
    <x:row r="435" ht="42" customHeight="1">
      <x:c r="A435" s="65" t="str">
        <x:v>gold30-022</x:v>
      </x:c>
      <x:c r="B435" s="65" t="str">
        <x:v>dense</x:v>
      </x:c>
      <x:c r="C435" s="88" t="n">
        <x:v>5</x:v>
      </x:c>
      <x:c r="D435" s="65" t="str">
        <x:v>permen-lhk-13-2021-cems</x:v>
      </x:c>
      <x:c r="E435" s="65" t="str">
        <x:v>permen-lhk-13-2021-cems:structure:0</x:v>
      </x:c>
      <x:c r="F435" s="65" t="str">
        <x:v>p.1</x:v>
      </x:c>
      <x:c r="G435" s="92" t="n">
        <x:v>0.11528781</x:v>
      </x:c>
      <x:c r="H435" s="65" t="str">
        <x:v>Permen LHK No. 13 Tahun 2021 — CEMS connectivity and emission monitoring</x:v>
      </x:c>
      <x:c r="I435" s="65" t="str">
        <x:v>Kementerian Lingkungan Hidup dan Kehutanan / Database Peraturan BPK</x:v>
      </x:c>
      <x:c r="J435" s="65" t="str">
        <x:v>The official BPK download URL identifies a 2021 Ministerial Environment and Forestry regulation. The PDF search extract exposes a CEMS connectivity test table with fields for stack code, emission source, CEMS brand, parameters and pass/fail connectivity result.</x:v>
      </x:c>
      <x:c r="K435" s="65" t="str">
        <x:v>https://peraturan.bpk.go.id/Download/288590/Permen%20LHK%20Nomor%2013%20Tahun%202021.pdf</x:v>
      </x:c>
      <x:c r="L435" s="65" t="n">
        <x:v>0</x:v>
      </x:c>
      <x:c r="M435" s="65" t="str">
        <x:v>Machine-suggested near-miss; human review required.</x:v>
      </x:c>
    </x:row>
    <x:row r="436" ht="42" customHeight="1">
      <x:c r="A436" s="65" t="str">
        <x:v>gold30-022</x:v>
      </x:c>
      <x:c r="B436" s="65" t="str">
        <x:v>hybrid</x:v>
      </x:c>
      <x:c r="C436" s="88" t="n">
        <x:v>1</x:v>
      </x:c>
      <x:c r="D436" s="65" t="str">
        <x:v>pergub-66-2020-vehicle-testing</x:v>
      </x:c>
      <x:c r="E436" s="65" t="str">
        <x:v>pergub-66-2020-vehicle-testing:structure:0</x:v>
      </x:c>
      <x:c r="F436" s="65" t="str">
        <x:v>p.1</x:v>
      </x:c>
      <x:c r="G436" s="92" t="n">
        <x:v>0.03233094</x:v>
      </x:c>
      <x:c r="H436" s="65" t="str">
        <x:v>Pergub DKI Jakarta No. 66 Tahun 2020 — motor-vehicle emission testing</x:v>
      </x:c>
      <x:c r="I436" s="65" t="str">
        <x:v>Pemerintah Provinsi DKI Jakarta / Database Peraturan BPK</x:v>
      </x:c>
      <x:c r="J436" s="65" t="str">
        <x:v>Peraturan Gubernur Provinsi DKI Jakarta Nomor 66 Tahun 2020 is titled Uji Emisi Gas Buang Kendaraan Bermotor. The BPK record gives the adoption date as 22 July 2020, promulgation date as 24 July 2020, and effective date as 24 December 2020.</x:v>
      </x:c>
      <x:c r="K436" s="65" t="str">
        <x:v>https://peraturan.bpk.go.id/Details/153923/pergub-prov-dki-jakarta-no-66-tahun-2020</x:v>
      </x:c>
      <x:c r="L436" s="65" t="n">
        <x:v>0</x:v>
      </x:c>
      <x:c r="M436" s="65" t="str">
        <x:v>Machine-suggested near-miss; human review required.</x:v>
      </x:c>
    </x:row>
    <x:row r="437" ht="42" customHeight="1">
      <x:c r="A437" s="65" t="str">
        <x:v>gold30-022</x:v>
      </x:c>
      <x:c r="B437" s="65" t="str">
        <x:v>hybrid</x:v>
      </x:c>
      <x:c r="C437" s="88" t="n">
        <x:v>2</x:v>
      </x:c>
      <x:c r="D437" s="65" t="str">
        <x:v>jakarta-causes</x:v>
      </x:c>
      <x:c r="E437" s="65" t="str">
        <x:v>jakarta-causes:structure:0</x:v>
      </x:c>
      <x:c r="F437" s="65" t="str">
        <x:v>p.1</x:v>
      </x:c>
      <x:c r="G437" s="92" t="n">
        <x:v>0.02927536</x:v>
      </x:c>
      <x:c r="H437" s="65" t="str">
        <x:v>What causes Jakarta air pollution</x:v>
      </x:c>
      <x:c r="I437" s="65" t="str">
        <x:v>Dinas Lingkungan Hidup DKI Jakarta / Vital Strategies / ITB</x:v>
      </x:c>
      <x:c r="J437"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437" s="65" t="str">
        <x:v>https://rendahemisi.jakarta.go.id/learn</x:v>
      </x:c>
      <x:c r="L437" s="65" t="n">
        <x:v>0</x:v>
      </x:c>
      <x:c r="M437" s="65" t="str">
        <x:v>Machine-suggested near-miss; human review required.</x:v>
      </x:c>
    </x:row>
    <x:row r="438" ht="42" customHeight="1">
      <x:c r="A438" s="65" t="str">
        <x:v>gold30-022</x:v>
      </x:c>
      <x:c r="B438" s="65" t="str">
        <x:v>hybrid</x:v>
      </x:c>
      <x:c r="C438" s="88" t="n">
        <x:v>3</x:v>
      </x:c>
      <x:c r="D438" s="65" t="str">
        <x:v>permen-lhk-8-2023-vehicle-emissions</x:v>
      </x:c>
      <x:c r="E438" s="65" t="str">
        <x:v>permen-lhk-8-2023-vehicle-emissions:structure:0</x:v>
      </x:c>
      <x:c r="F438" s="65" t="str">
        <x:v>p.1</x:v>
      </x:c>
      <x:c r="G438" s="92" t="n">
        <x:v>0.01672131</x:v>
      </x:c>
      <x:c r="H438" s="65" t="str">
        <x:v>Permen LHK No. 8 Tahun 2023 — vehicle emission standards and testing</x:v>
      </x:c>
      <x:c r="I438" s="65" t="str">
        <x:v>Kementerian Lingkungan Hidup dan Kehutanan / Database Peraturan BPK</x:v>
      </x:c>
      <x:c r="J438"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438" s="65" t="str">
        <x:v>https://peraturan.bpk.go.id/Details/262504/permen-lhk-no-8-tahun-2023</x:v>
      </x:c>
      <x:c r="L438" s="65" t="n">
        <x:v>0</x:v>
      </x:c>
      <x:c r="M438" s="65" t="str">
        <x:v>Machine-suggested near-miss; human review required.</x:v>
      </x:c>
    </x:row>
    <x:row r="439" ht="42" customHeight="1">
      <x:c r="A439" s="65" t="str">
        <x:v>gold30-022</x:v>
      </x:c>
      <x:c r="B439" s="65" t="str">
        <x:v>hybrid</x:v>
      </x:c>
      <x:c r="C439" s="88" t="n">
        <x:v>4</x:v>
      </x:c>
      <x:c r="D439" s="65" t="str">
        <x:v>jakarta-historical-city-series</x:v>
      </x:c>
      <x:c r="E439" s="65" t="str">
        <x:v>jakarta-historical-city-series:structure:0</x:v>
      </x:c>
      <x:c r="F439" s="65" t="str">
        <x:v>p.1</x:v>
      </x:c>
      <x:c r="G439" s="92" t="n">
        <x:v>0.01645161</x:v>
      </x:c>
      <x:c r="H439" s="65" t="str">
        <x:v>Jakarta historical PM2.5 and PM10 series: provenance and quality</x:v>
      </x:c>
      <x:c r="I439" s="65" t="str">
        <x:v>Open-Meteo / CAMS Global; deposited dataset by Nitiraj Kulkarni and Jagadish Tawade</x:v>
      </x:c>
      <x:c r="J439" s="65" t="str">
        <x:v>API source: https://air-quality-api.open-meteo.com/v1/air-quality Retrieved: 2026-09-07</x:v>
      </x:c>
      <x:c r="K439" s="65" t="str">
        <x:v>https://zenodo.org/records/18673885</x:v>
      </x:c>
      <x:c r="L439" s="65" t="n">
        <x:v>0</x:v>
      </x:c>
      <x:c r="M439" s="65" t="str">
        <x:v>Machine-suggested near-miss; human review required.</x:v>
      </x:c>
    </x:row>
    <x:row r="440" ht="42" customHeight="1">
      <x:c r="A440" s="65" t="str">
        <x:v>gold30-022</x:v>
      </x:c>
      <x:c r="B440" s="65" t="str">
        <x:v>hybrid</x:v>
      </x:c>
      <x:c r="C440" s="88" t="n">
        <x:v>5</x:v>
      </x:c>
      <x:c r="D440" s="65" t="str">
        <x:v>pp-22-2021-air-quality</x:v>
      </x:c>
      <x:c r="E440" s="65" t="str">
        <x:v>pp-22-2021-air-quality:structure:0</x:v>
      </x:c>
      <x:c r="F440" s="65" t="str">
        <x:v>p.1</x:v>
      </x:c>
      <x:c r="G440" s="92" t="n">
        <x:v>0.01619048</x:v>
      </x:c>
      <x:c r="H440" s="65" t="str">
        <x:v>PP No. 22 Tahun 2021 — environmental protection and ambient air quality</x:v>
      </x:c>
      <x:c r="I440" s="65" t="str">
        <x:v>Pemerintah Republik Indonesia / Database Peraturan BPK</x:v>
      </x:c>
      <x:c r="J440"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440" s="65" t="str">
        <x:v>https://peraturan.bpk.go.id/Details/161852/pp-no-22tahun-2021</x:v>
      </x:c>
      <x:c r="L440" s="65" t="n">
        <x:v>0</x:v>
      </x:c>
      <x:c r="M440" s="65" t="str">
        <x:v>Machine-suggested near-miss; human review required.</x:v>
      </x:c>
    </x:row>
    <x:row r="441" ht="42" customHeight="1">
      <x:c r="A441" s="65" t="str">
        <x:v>gold30-022</x:v>
      </x:c>
      <x:c r="B441" s="65" t="str">
        <x:v>hybrid_rerank</x:v>
      </x:c>
      <x:c r="C441" s="88" t="n">
        <x:v>1</x:v>
      </x:c>
      <x:c r="D441" s="65" t="str">
        <x:v>pergub-66-2020-vehicle-testing</x:v>
      </x:c>
      <x:c r="E441" s="65" t="str">
        <x:v>pergub-66-2020-vehicle-testing:structure:0</x:v>
      </x:c>
      <x:c r="F441" s="65" t="str">
        <x:v>p.1</x:v>
      </x:c>
      <x:c r="G441" s="92" t="n">
        <x:v>0.24303262</x:v>
      </x:c>
      <x:c r="H441" s="65" t="str">
        <x:v>Pergub DKI Jakarta No. 66 Tahun 2020 — motor-vehicle emission testing</x:v>
      </x:c>
      <x:c r="I441" s="65" t="str">
        <x:v>Pemerintah Provinsi DKI Jakarta / Database Peraturan BPK</x:v>
      </x:c>
      <x:c r="J441" s="65" t="str">
        <x:v>Peraturan Gubernur Provinsi DKI Jakarta Nomor 66 Tahun 2020 is titled Uji Emisi Gas Buang Kendaraan Bermotor. The BPK record gives the adoption date as 22 July 2020, promulgation date as 24 July 2020, and effective date as 24 December 2020.</x:v>
      </x:c>
      <x:c r="K441" s="65" t="str">
        <x:v>https://peraturan.bpk.go.id/Details/153923/pergub-prov-dki-jakarta-no-66-tahun-2020</x:v>
      </x:c>
      <x:c r="L441" s="65" t="n">
        <x:v>0</x:v>
      </x:c>
      <x:c r="M441" s="65" t="str">
        <x:v>Machine-suggested near-miss; human review required.</x:v>
      </x:c>
    </x:row>
    <x:row r="442" ht="42" customHeight="1">
      <x:c r="A442" s="65" t="str">
        <x:v>gold30-022</x:v>
      </x:c>
      <x:c r="B442" s="65" t="str">
        <x:v>hybrid_rerank</x:v>
      </x:c>
      <x:c r="C442" s="88" t="n">
        <x:v>2</x:v>
      </x:c>
      <x:c r="D442" s="65" t="str">
        <x:v>jakarta-causes</x:v>
      </x:c>
      <x:c r="E442" s="65" t="str">
        <x:v>jakarta-causes:structure:0</x:v>
      </x:c>
      <x:c r="F442" s="65" t="str">
        <x:v>p.1</x:v>
      </x:c>
      <x:c r="G442" s="92" t="n">
        <x:v>0.00878261</x:v>
      </x:c>
      <x:c r="H442" s="65" t="str">
        <x:v>What causes Jakarta air pollution</x:v>
      </x:c>
      <x:c r="I442" s="65" t="str">
        <x:v>Dinas Lingkungan Hidup DKI Jakarta / Vital Strategies / ITB</x:v>
      </x:c>
      <x:c r="J442"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442" s="65" t="str">
        <x:v>https://rendahemisi.jakarta.go.id/learn</x:v>
      </x:c>
      <x:c r="L442" s="65" t="n">
        <x:v>0</x:v>
      </x:c>
      <x:c r="M442" s="65" t="str">
        <x:v>Machine-suggested near-miss; human review required.</x:v>
      </x:c>
    </x:row>
    <x:row r="443" ht="42" customHeight="1">
      <x:c r="A443" s="65" t="str">
        <x:v>gold30-022</x:v>
      </x:c>
      <x:c r="B443" s="65" t="str">
        <x:v>hybrid_rerank</x:v>
      </x:c>
      <x:c r="C443" s="88" t="n">
        <x:v>3</x:v>
      </x:c>
      <x:c r="D443" s="65" t="str">
        <x:v>permen-lhk-8-2023-vehicle-emissions</x:v>
      </x:c>
      <x:c r="E443" s="65" t="str">
        <x:v>permen-lhk-8-2023-vehicle-emissions:structure:0</x:v>
      </x:c>
      <x:c r="F443" s="65" t="str">
        <x:v>p.1</x:v>
      </x:c>
      <x:c r="G443" s="92" t="n">
        <x:v>0.00501639</x:v>
      </x:c>
      <x:c r="H443" s="65" t="str">
        <x:v>Permen LHK No. 8 Tahun 2023 — vehicle emission standards and testing</x:v>
      </x:c>
      <x:c r="I443" s="65" t="str">
        <x:v>Kementerian Lingkungan Hidup dan Kehutanan / Database Peraturan BPK</x:v>
      </x:c>
      <x:c r="J443"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443" s="65" t="str">
        <x:v>https://peraturan.bpk.go.id/Details/262504/permen-lhk-no-8-tahun-2023</x:v>
      </x:c>
      <x:c r="L443" s="65" t="n">
        <x:v>0</x:v>
      </x:c>
      <x:c r="M443" s="65" t="str">
        <x:v>Machine-suggested near-miss; human review required.</x:v>
      </x:c>
    </x:row>
    <x:row r="444" ht="42" customHeight="1">
      <x:c r="A444" s="65" t="str">
        <x:v>gold30-022</x:v>
      </x:c>
      <x:c r="B444" s="65" t="str">
        <x:v>hybrid_rerank</x:v>
      </x:c>
      <x:c r="C444" s="88" t="n">
        <x:v>4</x:v>
      </x:c>
      <x:c r="D444" s="65" t="str">
        <x:v>jakarta-historical-city-series</x:v>
      </x:c>
      <x:c r="E444" s="65" t="str">
        <x:v>jakarta-historical-city-series:structure:0</x:v>
      </x:c>
      <x:c r="F444" s="65" t="str">
        <x:v>p.1</x:v>
      </x:c>
      <x:c r="G444" s="92" t="n">
        <x:v>0.00493548</x:v>
      </x:c>
      <x:c r="H444" s="65" t="str">
        <x:v>Jakarta historical PM2.5 and PM10 series: provenance and quality</x:v>
      </x:c>
      <x:c r="I444" s="65" t="str">
        <x:v>Open-Meteo / CAMS Global; deposited dataset by Nitiraj Kulkarni and Jagadish Tawade</x:v>
      </x:c>
      <x:c r="J444" s="65" t="str">
        <x:v>API source: https://air-quality-api.open-meteo.com/v1/air-quality Retrieved: 2026-09-07</x:v>
      </x:c>
      <x:c r="K444" s="65" t="str">
        <x:v>https://zenodo.org/records/18673885</x:v>
      </x:c>
      <x:c r="L444" s="65" t="n">
        <x:v>0</x:v>
      </x:c>
      <x:c r="M444" s="65" t="str">
        <x:v>Machine-suggested near-miss; human review required.</x:v>
      </x:c>
    </x:row>
    <x:row r="445" ht="42" customHeight="1">
      <x:c r="A445" s="65" t="str">
        <x:v>gold30-022</x:v>
      </x:c>
      <x:c r="B445" s="65" t="str">
        <x:v>hybrid_rerank</x:v>
      </x:c>
      <x:c r="C445" s="88" t="n">
        <x:v>5</x:v>
      </x:c>
      <x:c r="D445" s="65" t="str">
        <x:v>pp-22-2021-air-quality</x:v>
      </x:c>
      <x:c r="E445" s="65" t="str">
        <x:v>pp-22-2021-air-quality:structure:0</x:v>
      </x:c>
      <x:c r="F445" s="65" t="str">
        <x:v>p.1</x:v>
      </x:c>
      <x:c r="G445" s="92" t="n">
        <x:v>0.00485714</x:v>
      </x:c>
      <x:c r="H445" s="65" t="str">
        <x:v>PP No. 22 Tahun 2021 — environmental protection and ambient air quality</x:v>
      </x:c>
      <x:c r="I445" s="65" t="str">
        <x:v>Pemerintah Republik Indonesia / Database Peraturan BPK</x:v>
      </x:c>
      <x:c r="J445"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445" s="65" t="str">
        <x:v>https://peraturan.bpk.go.id/Details/161852/pp-no-22tahun-2021</x:v>
      </x:c>
      <x:c r="L445" s="65" t="n">
        <x:v>0</x:v>
      </x:c>
      <x:c r="M445" s="65" t="str">
        <x:v>Machine-suggested near-miss; human review required.</x:v>
      </x:c>
    </x:row>
    <x:row r="446" ht="42" customHeight="1">
      <x:c r="A446" s="65" t="str">
        <x:v>gold30-023</x:v>
      </x:c>
      <x:c r="B446" s="65" t="str">
        <x:v>bm25</x:v>
      </x:c>
      <x:c r="C446" s="88" t="n">
        <x:v>1</x:v>
      </x:c>
      <x:c r="D446" s="65" t="str">
        <x:v>exposure-protection</x:v>
      </x:c>
      <x:c r="E446" s="65" t="str">
        <x:v>exposure-protection:structure:0</x:v>
      </x:c>
      <x:c r="F446" s="65" t="str">
        <x:v>p.1</x:v>
      </x:c>
      <x:c r="G446" s="92" t="n">
        <x:v>0.75</x:v>
      </x:c>
      <x:c r="H446" s="65" t="str">
        <x:v>Reducing personal exposure to air pollution</x:v>
      </x:c>
      <x:c r="I446" s="65" t="str">
        <x:v>World Health Organization</x:v>
      </x:c>
      <x:c r="J446"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446" s="65" t="str">
        <x:v>https://www.who.int/publications/i/item/9789240000278</x:v>
      </x:c>
      <x:c r="L446" s="65" t="n">
        <x:v>3</x:v>
      </x:c>
      <x:c r="M446" s="65" t="str">
        <x:v>Expected source for this question.</x:v>
      </x:c>
    </x:row>
    <x:row r="447" ht="42" customHeight="1">
      <x:c r="A447" s="65" t="str">
        <x:v>gold30-023</x:v>
      </x:c>
      <x:c r="B447" s="65" t="str">
        <x:v>bm25</x:v>
      </x:c>
      <x:c r="C447" s="88" t="n">
        <x:v>2</x:v>
      </x:c>
      <x:c r="D447" s="65" t="str">
        <x:v>clean-air-room</x:v>
      </x:c>
      <x:c r="E447" s="65" t="str">
        <x:v>clean-air-room:structure:3</x:v>
      </x:c>
      <x:c r="F447" s="65" t="str">
        <x:v>p.4</x:v>
      </x:c>
      <x:c r="G447" s="92" t="n">
        <x:v>0.5</x:v>
      </x:c>
      <x:c r="H447" s="65" t="str">
        <x:v>Indoor filtration and a clean-air room</x:v>
      </x:c>
      <x:c r="I447" s="65" t="str">
        <x:v>United States Environmental Protection Agency</x:v>
      </x:c>
      <x:c r="J447" s="65" t="str">
        <x:v>During a particle episode, close windows and doors when outdoor air is dirtier than indoor air and use filtration. When outdoor air is cleaner, ventilate to remove indoor-generated particles and carbon dioxide. Always control indoor sources: do not smoke or burn incense indoors,…</x:v>
      </x:c>
      <x:c r="K447" s="65" t="str">
        <x:v>https://www.epa.gov/indoor-air-quality-iaq/guide-air-cleaners-home</x:v>
      </x:c>
      <x:c r="L447" s="65" t="n">
        <x:v>3</x:v>
      </x:c>
      <x:c r="M447" s="65" t="str">
        <x:v>Expected source for this question.</x:v>
      </x:c>
    </x:row>
    <x:row r="448" ht="42" customHeight="1">
      <x:c r="A448" s="65" t="str">
        <x:v>gold30-023</x:v>
      </x:c>
      <x:c r="B448" s="65" t="str">
        <x:v>bm25</x:v>
      </x:c>
      <x:c r="C448" s="88" t="n">
        <x:v>3</x:v>
      </x:c>
      <x:c r="D448" s="65" t="str">
        <x:v>who-personal-interventions-2024</x:v>
      </x:c>
      <x:c r="E448" s="65" t="str">
        <x:v>who-personal-interventions-2024:structure:1</x:v>
      </x:c>
      <x:c r="F448" s="65" t="str">
        <x:v>p.2</x:v>
      </x:c>
      <x:c r="G448" s="92" t="n">
        <x:v>0.5</x:v>
      </x:c>
      <x:c r="H448" s="65" t="str">
        <x:v>WHO personal interventions and risk communication (2024)</x:v>
      </x:c>
      <x:c r="I448" s="65" t="str">
        <x:v>World Health Organization</x:v>
      </x:c>
      <x:c r="J448" s="65" t="str">
        <x:v>The guidance emphasizes checking air-quality information and reducing exposure during pollution episodes, including adjusting strenuous outdoor activity when conditions are poor. The appropriate action depends on the pollutant, duration, activity and vulnerability of the person.</x:v>
      </x:c>
      <x:c r="K448" s="65" t="str">
        <x:v>https://www.who.int/news-room/questions-and-answers/item/air-pollution-personal-interventions-and-risk-communication</x:v>
      </x:c>
      <x:c r="L448" s="65" t="n">
        <x:v>0</x:v>
      </x:c>
      <x:c r="M448" s="65" t="str">
        <x:v>Machine-suggested near-miss; human review required.</x:v>
      </x:c>
    </x:row>
    <x:row r="449" ht="42" customHeight="1">
      <x:c r="A449" s="65" t="str">
        <x:v>gold30-023</x:v>
      </x:c>
      <x:c r="B449" s="65" t="str">
        <x:v>bm25</x:v>
      </x:c>
      <x:c r="C449" s="88" t="n">
        <x:v>4</x:v>
      </x:c>
      <x:c r="D449" s="65" t="str">
        <x:v>bad-air-day-protection</x:v>
      </x:c>
      <x:c r="E449" s="65" t="str">
        <x:v>bad-air-day-protection:structure:0</x:v>
      </x:c>
      <x:c r="F449" s="65" t="str">
        <x:v>p.1</x:v>
      </x:c>
      <x:c r="G449" s="92" t="n">
        <x:v>0.375</x:v>
      </x:c>
      <x:c r="H449" s="65" t="str">
        <x:v>Bad-air-day protection playbook</x:v>
      </x:c>
      <x:c r="I449" s="65" t="str">
        <x:v>World Health Organization, Regional Office for Europe</x:v>
      </x:c>
      <x:c r="J449" s="65" t="str">
        <x:v>Published: 2024-10-04 Status as of: 2026-09-07 (health guidance; not Indonesian law) Document type: health_guidance Tags: topic=exposure-protection; audience=Jakarta-resident; action=protect-now; pollutant=ambient-particles</x:v>
      </x:c>
      <x:c r="K449" s="65" t="str">
        <x:v>https://www.who.int/news-room/questions-and-answers/item/air-pollution-personal-interventions-and-risk-communication</x:v>
      </x:c>
      <x:c r="L449" s="65" t="n">
        <x:v>3</x:v>
      </x:c>
      <x:c r="M449" s="65" t="str">
        <x:v>Expected source for this question.</x:v>
      </x:c>
    </x:row>
    <x:row r="450" ht="42" customHeight="1">
      <x:c r="A450" s="65" t="str">
        <x:v>gold30-023</x:v>
      </x:c>
      <x:c r="B450" s="65" t="str">
        <x:v>bm25</x:v>
      </x:c>
      <x:c r="C450" s="88" t="n">
        <x:v>5</x:v>
      </x:c>
      <x:c r="D450" s="65" t="str">
        <x:v>individual-emission-actions</x:v>
      </x:c>
      <x:c r="E450" s="65" t="str">
        <x:v>individual-emission-actions:structure:3</x:v>
      </x:c>
      <x:c r="F450" s="65" t="str">
        <x:v>p.4</x:v>
      </x:c>
      <x:c r="G450" s="92" t="n">
        <x:v>0.375</x:v>
      </x:c>
      <x:c r="H450" s="65" t="str">
        <x:v>What an individual can do to reduce emissions and improve accountability</x:v>
      </x:c>
      <x:c r="I450" s="65" t="str">
        <x:v>World Health Organization; Pemerintah Provinsi DKI Jakarta</x:v>
      </x:c>
      <x:c r="J450"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450" s="65" t="str">
        <x:v>https://www.who.int/europe/publications/m/item/personal-level-actions-to-reduce-air-pollution-exposure</x:v>
      </x:c>
      <x:c r="L450" s="65" t="n">
        <x:v>0</x:v>
      </x:c>
      <x:c r="M450" s="65" t="str">
        <x:v>Machine-suggested near-miss; human review required.</x:v>
      </x:c>
    </x:row>
    <x:row r="451" ht="42" customHeight="1">
      <x:c r="A451" s="65" t="str">
        <x:v>gold30-023</x:v>
      </x:c>
      <x:c r="B451" s="65" t="str">
        <x:v>dense</x:v>
      </x:c>
      <x:c r="C451" s="88" t="n">
        <x:v>1</x:v>
      </x:c>
      <x:c r="D451" s="65" t="str">
        <x:v>exposure-protection</x:v>
      </x:c>
      <x:c r="E451" s="65" t="str">
        <x:v>exposure-protection:structure:0</x:v>
      </x:c>
      <x:c r="F451" s="65" t="str">
        <x:v>p.1</x:v>
      </x:c>
      <x:c r="G451" s="92" t="n">
        <x:v>0.49731003</x:v>
      </x:c>
      <x:c r="H451" s="65" t="str">
        <x:v>Reducing personal exposure to air pollution</x:v>
      </x:c>
      <x:c r="I451" s="65" t="str">
        <x:v>World Health Organization</x:v>
      </x:c>
      <x:c r="J451"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451" s="65" t="str">
        <x:v>https://www.who.int/publications/i/item/9789240000278</x:v>
      </x:c>
      <x:c r="L451" s="65" t="n">
        <x:v>3</x:v>
      </x:c>
      <x:c r="M451" s="65" t="str">
        <x:v>Expected source for this question.</x:v>
      </x:c>
    </x:row>
    <x:row r="452" ht="42" customHeight="1">
      <x:c r="A452" s="65" t="str">
        <x:v>gold30-023</x:v>
      </x:c>
      <x:c r="B452" s="65" t="str">
        <x:v>dense</x:v>
      </x:c>
      <x:c r="C452" s="88" t="n">
        <x:v>2</x:v>
      </x:c>
      <x:c r="D452" s="65" t="str">
        <x:v>who-personal-interventions-2024</x:v>
      </x:c>
      <x:c r="E452" s="65" t="str">
        <x:v>who-personal-interventions-2024:structure:1</x:v>
      </x:c>
      <x:c r="F452" s="65" t="str">
        <x:v>p.2</x:v>
      </x:c>
      <x:c r="G452" s="92" t="n">
        <x:v>0.42219449</x:v>
      </x:c>
      <x:c r="H452" s="65" t="str">
        <x:v>WHO personal interventions and risk communication (2024)</x:v>
      </x:c>
      <x:c r="I452" s="65" t="str">
        <x:v>World Health Organization</x:v>
      </x:c>
      <x:c r="J452" s="65" t="str">
        <x:v>The guidance emphasizes checking air-quality information and reducing exposure during pollution episodes, including adjusting strenuous outdoor activity when conditions are poor. The appropriate action depends on the pollutant, duration, activity and vulnerability of the person.</x:v>
      </x:c>
      <x:c r="K452" s="65" t="str">
        <x:v>https://www.who.int/news-room/questions-and-answers/item/air-pollution-personal-interventions-and-risk-communication</x:v>
      </x:c>
      <x:c r="L452" s="65" t="n">
        <x:v>0</x:v>
      </x:c>
      <x:c r="M452" s="65" t="str">
        <x:v>Machine-suggested near-miss; human review required.</x:v>
      </x:c>
    </x:row>
    <x:row r="453" ht="42" customHeight="1">
      <x:c r="A453" s="65" t="str">
        <x:v>gold30-023</x:v>
      </x:c>
      <x:c r="B453" s="65" t="str">
        <x:v>dense</x:v>
      </x:c>
      <x:c r="C453" s="88" t="n">
        <x:v>3</x:v>
      </x:c>
      <x:c r="D453" s="65" t="str">
        <x:v>bad-air-day-protection</x:v>
      </x:c>
      <x:c r="E453" s="65" t="str">
        <x:v>bad-air-day-protection:structure:0</x:v>
      </x:c>
      <x:c r="F453" s="65" t="str">
        <x:v>p.1</x:v>
      </x:c>
      <x:c r="G453" s="92" t="n">
        <x:v>0.34651888</x:v>
      </x:c>
      <x:c r="H453" s="65" t="str">
        <x:v>Bad-air-day protection playbook</x:v>
      </x:c>
      <x:c r="I453" s="65" t="str">
        <x:v>World Health Organization, Regional Office for Europe</x:v>
      </x:c>
      <x:c r="J453" s="65" t="str">
        <x:v>Published: 2024-10-04 Status as of: 2026-09-07 (health guidance; not Indonesian law) Document type: health_guidance Tags: topic=exposure-protection; audience=Jakarta-resident; action=protect-now; pollutant=ambient-particles</x:v>
      </x:c>
      <x:c r="K453" s="65" t="str">
        <x:v>https://www.who.int/news-room/questions-and-answers/item/air-pollution-personal-interventions-and-risk-communication</x:v>
      </x:c>
      <x:c r="L453" s="65" t="n">
        <x:v>3</x:v>
      </x:c>
      <x:c r="M453" s="65" t="str">
        <x:v>Expected source for this question.</x:v>
      </x:c>
    </x:row>
    <x:row r="454" ht="42" customHeight="1">
      <x:c r="A454" s="65" t="str">
        <x:v>gold30-023</x:v>
      </x:c>
      <x:c r="B454" s="65" t="str">
        <x:v>dense</x:v>
      </x:c>
      <x:c r="C454" s="88" t="n">
        <x:v>4</x:v>
      </x:c>
      <x:c r="D454" s="65" t="str">
        <x:v>individual-emission-actions</x:v>
      </x:c>
      <x:c r="E454" s="65" t="str">
        <x:v>individual-emission-actions:structure:3</x:v>
      </x:c>
      <x:c r="F454" s="65" t="str">
        <x:v>p.4</x:v>
      </x:c>
      <x:c r="G454" s="92" t="n">
        <x:v>0.33896894</x:v>
      </x:c>
      <x:c r="H454" s="65" t="str">
        <x:v>What an individual can do to reduce emissions and improve accountability</x:v>
      </x:c>
      <x:c r="I454" s="65" t="str">
        <x:v>World Health Organization; Pemerintah Provinsi DKI Jakarta</x:v>
      </x:c>
      <x:c r="J454"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454" s="65" t="str">
        <x:v>https://www.who.int/europe/publications/m/item/personal-level-actions-to-reduce-air-pollution-exposure</x:v>
      </x:c>
      <x:c r="L454" s="65" t="n">
        <x:v>0</x:v>
      </x:c>
      <x:c r="M454" s="65" t="str">
        <x:v>Machine-suggested near-miss; human review required.</x:v>
      </x:c>
    </x:row>
    <x:row r="455" ht="42" customHeight="1">
      <x:c r="A455" s="65" t="str">
        <x:v>gold30-023</x:v>
      </x:c>
      <x:c r="B455" s="65" t="str">
        <x:v>dense</x:v>
      </x:c>
      <x:c r="C455" s="88" t="n">
        <x:v>5</x:v>
      </x:c>
      <x:c r="D455" s="65" t="str">
        <x:v>epa-air-cleaners-home-2026</x:v>
      </x:c>
      <x:c r="E455" s="65" t="str">
        <x:v>epa-air-cleaners-home-2026:structure:0</x:v>
      </x:c>
      <x:c r="F455" s="65" t="str">
        <x:v>p.1</x:v>
      </x:c>
      <x:c r="G455" s="92" t="n">
        <x:v>0.3196547</x:v>
      </x:c>
      <x:c r="H455" s="65" t="str">
        <x:v>US EPA Guide to Air Cleaners in the Home (2nd edition)</x:v>
      </x:c>
      <x:c r="I455" s="65" t="str">
        <x:v>United States Environmental Protection Agency</x:v>
      </x:c>
      <x:c r="J455" s="65" t="str">
        <x:v>The EPA guide discusses portable air cleaners, heating/ventilation and air-conditioning filters, indoor pollutant sources and practical limits. It is technical household guidance and should not be presented as a Jakarta regulation.</x:v>
      </x:c>
      <x:c r="K455" s="65" t="str">
        <x:v>https://www.epa.gov/indoor-air-quality-iaq/guide-air-cleaners-home</x:v>
      </x:c>
      <x:c r="L455" s="65" t="n">
        <x:v>0</x:v>
      </x:c>
      <x:c r="M455" s="65" t="str">
        <x:v>Machine-suggested near-miss; human review required.</x:v>
      </x:c>
    </x:row>
    <x:row r="456" ht="42" customHeight="1">
      <x:c r="A456" s="65" t="str">
        <x:v>gold30-023</x:v>
      </x:c>
      <x:c r="B456" s="65" t="str">
        <x:v>hybrid</x:v>
      </x:c>
      <x:c r="C456" s="88" t="n">
        <x:v>1</x:v>
      </x:c>
      <x:c r="D456" s="65" t="str">
        <x:v>exposure-protection</x:v>
      </x:c>
      <x:c r="E456" s="65" t="str">
        <x:v>exposure-protection:structure:0</x:v>
      </x:c>
      <x:c r="F456" s="65" t="str">
        <x:v>p.1</x:v>
      </x:c>
      <x:c r="G456" s="92" t="n">
        <x:v>0.03311475</x:v>
      </x:c>
      <x:c r="H456" s="65" t="str">
        <x:v>Reducing personal exposure to air pollution</x:v>
      </x:c>
      <x:c r="I456" s="65" t="str">
        <x:v>World Health Organization</x:v>
      </x:c>
      <x:c r="J456"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456" s="65" t="str">
        <x:v>https://www.who.int/publications/i/item/9789240000278</x:v>
      </x:c>
      <x:c r="L456" s="65" t="n">
        <x:v>3</x:v>
      </x:c>
      <x:c r="M456" s="65" t="str">
        <x:v>Expected source for this question.</x:v>
      </x:c>
    </x:row>
    <x:row r="457" ht="42" customHeight="1">
      <x:c r="A457" s="65" t="str">
        <x:v>gold30-023</x:v>
      </x:c>
      <x:c r="B457" s="65" t="str">
        <x:v>hybrid</x:v>
      </x:c>
      <x:c r="C457" s="88" t="n">
        <x:v>2</x:v>
      </x:c>
      <x:c r="D457" s="65" t="str">
        <x:v>who-personal-interventions-2024</x:v>
      </x:c>
      <x:c r="E457" s="65" t="str">
        <x:v>who-personal-interventions-2024:structure:1</x:v>
      </x:c>
      <x:c r="F457" s="65" t="str">
        <x:v>p.2</x:v>
      </x:c>
      <x:c r="G457" s="92" t="n">
        <x:v>0.03232463</x:v>
      </x:c>
      <x:c r="H457" s="65" t="str">
        <x:v>WHO personal interventions and risk communication (2024)</x:v>
      </x:c>
      <x:c r="I457" s="65" t="str">
        <x:v>World Health Organization</x:v>
      </x:c>
      <x:c r="J457" s="65" t="str">
        <x:v>The guidance emphasizes checking air-quality information and reducing exposure during pollution episodes, including adjusting strenuous outdoor activity when conditions are poor. The appropriate action depends on the pollutant, duration, activity and vulnerability of the person.</x:v>
      </x:c>
      <x:c r="K457" s="65" t="str">
        <x:v>https://www.who.int/news-room/questions-and-answers/item/air-pollution-personal-interventions-and-risk-communication</x:v>
      </x:c>
      <x:c r="L457" s="65" t="n">
        <x:v>0</x:v>
      </x:c>
      <x:c r="M457" s="65" t="str">
        <x:v>Machine-suggested near-miss; human review required.</x:v>
      </x:c>
    </x:row>
    <x:row r="458" ht="42" customHeight="1">
      <x:c r="A458" s="65" t="str">
        <x:v>gold30-023</x:v>
      </x:c>
      <x:c r="B458" s="65" t="str">
        <x:v>hybrid</x:v>
      </x:c>
      <x:c r="C458" s="88" t="n">
        <x:v>3</x:v>
      </x:c>
      <x:c r="D458" s="65" t="str">
        <x:v>bad-air-day-protection</x:v>
      </x:c>
      <x:c r="E458" s="65" t="str">
        <x:v>bad-air-day-protection:structure:0</x:v>
      </x:c>
      <x:c r="F458" s="65" t="str">
        <x:v>p.1</x:v>
      </x:c>
      <x:c r="G458" s="92" t="n">
        <x:v>0.03181548</x:v>
      </x:c>
      <x:c r="H458" s="65" t="str">
        <x:v>Bad-air-day protection playbook</x:v>
      </x:c>
      <x:c r="I458" s="65" t="str">
        <x:v>World Health Organization, Regional Office for Europe</x:v>
      </x:c>
      <x:c r="J458" s="65" t="str">
        <x:v>Published: 2024-10-04 Status as of: 2026-09-07 (health guidance; not Indonesian law) Document type: health_guidance Tags: topic=exposure-protection; audience=Jakarta-resident; action=protect-now; pollutant=ambient-particles</x:v>
      </x:c>
      <x:c r="K458" s="65" t="str">
        <x:v>https://www.who.int/news-room/questions-and-answers/item/air-pollution-personal-interventions-and-risk-communication</x:v>
      </x:c>
      <x:c r="L458" s="65" t="n">
        <x:v>3</x:v>
      </x:c>
      <x:c r="M458" s="65" t="str">
        <x:v>Expected source for this question.</x:v>
      </x:c>
    </x:row>
    <x:row r="459" ht="42" customHeight="1">
      <x:c r="A459" s="65" t="str">
        <x:v>gold30-023</x:v>
      </x:c>
      <x:c r="B459" s="65" t="str">
        <x:v>hybrid</x:v>
      </x:c>
      <x:c r="C459" s="88" t="n">
        <x:v>4</x:v>
      </x:c>
      <x:c r="D459" s="65" t="str">
        <x:v>individual-emission-actions</x:v>
      </x:c>
      <x:c r="E459" s="65" t="str">
        <x:v>individual-emission-actions:structure:3</x:v>
      </x:c>
      <x:c r="F459" s="65" t="str">
        <x:v>p.4</x:v>
      </x:c>
      <x:c r="G459" s="92" t="n">
        <x:v>0.03132212</x:v>
      </x:c>
      <x:c r="H459" s="65" t="str">
        <x:v>What an individual can do to reduce emissions and improve accountability</x:v>
      </x:c>
      <x:c r="I459" s="65" t="str">
        <x:v>World Health Organization; Pemerintah Provinsi DKI Jakarta</x:v>
      </x:c>
      <x:c r="J459"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459" s="65" t="str">
        <x:v>https://www.who.int/europe/publications/m/item/personal-level-actions-to-reduce-air-pollution-exposure</x:v>
      </x:c>
      <x:c r="L459" s="65" t="n">
        <x:v>0</x:v>
      </x:c>
      <x:c r="M459" s="65" t="str">
        <x:v>Machine-suggested near-miss; human review required.</x:v>
      </x:c>
    </x:row>
    <x:row r="460" ht="42" customHeight="1">
      <x:c r="A460" s="65" t="str">
        <x:v>gold30-023</x:v>
      </x:c>
      <x:c r="B460" s="65" t="str">
        <x:v>hybrid</x:v>
      </x:c>
      <x:c r="C460" s="88" t="n">
        <x:v>5</x:v>
      </x:c>
      <x:c r="D460" s="65" t="str">
        <x:v>clean-air-room</x:v>
      </x:c>
      <x:c r="E460" s="65" t="str">
        <x:v>clean-air-room:structure:3</x:v>
      </x:c>
      <x:c r="F460" s="65" t="str">
        <x:v>p.4</x:v>
      </x:c>
      <x:c r="G460" s="92" t="n">
        <x:v>0.03091164</x:v>
      </x:c>
      <x:c r="H460" s="65" t="str">
        <x:v>Indoor filtration and a clean-air room</x:v>
      </x:c>
      <x:c r="I460" s="65" t="str">
        <x:v>United States Environmental Protection Agency</x:v>
      </x:c>
      <x:c r="J460" s="65" t="str">
        <x:v>During a particle episode, close windows and doors when outdoor air is dirtier than indoor air and use filtration. When outdoor air is cleaner, ventilate to remove indoor-generated particles and carbon dioxide. Always control indoor sources: do not smoke or burn incense indoors,…</x:v>
      </x:c>
      <x:c r="K460" s="65" t="str">
        <x:v>https://www.epa.gov/indoor-air-quality-iaq/guide-air-cleaners-home</x:v>
      </x:c>
      <x:c r="L460" s="65" t="n">
        <x:v>3</x:v>
      </x:c>
      <x:c r="M460" s="65" t="str">
        <x:v>Expected source for this question.</x:v>
      </x:c>
    </x:row>
    <x:row r="461" ht="42" customHeight="1">
      <x:c r="A461" s="65" t="str">
        <x:v>gold30-023</x:v>
      </x:c>
      <x:c r="B461" s="65" t="str">
        <x:v>hybrid_rerank</x:v>
      </x:c>
      <x:c r="C461" s="88" t="n">
        <x:v>1</x:v>
      </x:c>
      <x:c r="D461" s="65" t="str">
        <x:v>exposure-protection</x:v>
      </x:c>
      <x:c r="E461" s="65" t="str">
        <x:v>exposure-protection:structure:0</x:v>
      </x:c>
      <x:c r="F461" s="65" t="str">
        <x:v>p.1</x:v>
      </x:c>
      <x:c r="G461" s="92" t="n">
        <x:v>0.53493443</x:v>
      </x:c>
      <x:c r="H461" s="65" t="str">
        <x:v>Reducing personal exposure to air pollution</x:v>
      </x:c>
      <x:c r="I461" s="65" t="str">
        <x:v>World Health Organization</x:v>
      </x:c>
      <x:c r="J461"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461" s="65" t="str">
        <x:v>https://www.who.int/publications/i/item/9789240000278</x:v>
      </x:c>
      <x:c r="L461" s="65" t="n">
        <x:v>3</x:v>
      </x:c>
      <x:c r="M461" s="65" t="str">
        <x:v>Expected source for this question.</x:v>
      </x:c>
    </x:row>
    <x:row r="462" ht="42" customHeight="1">
      <x:c r="A462" s="65" t="str">
        <x:v>gold30-023</x:v>
      </x:c>
      <x:c r="B462" s="65" t="str">
        <x:v>hybrid_rerank</x:v>
      </x:c>
      <x:c r="C462" s="88" t="n">
        <x:v>2</x:v>
      </x:c>
      <x:c r="D462" s="65" t="str">
        <x:v>who-personal-interventions-2024</x:v>
      </x:c>
      <x:c r="E462" s="65" t="str">
        <x:v>who-personal-interventions-2024:structure:1</x:v>
      </x:c>
      <x:c r="F462" s="65" t="str">
        <x:v>p.2</x:v>
      </x:c>
      <x:c r="G462" s="92" t="n">
        <x:v>0.35969739</x:v>
      </x:c>
      <x:c r="H462" s="65" t="str">
        <x:v>WHO personal interventions and risk communication (2024)</x:v>
      </x:c>
      <x:c r="I462" s="65" t="str">
        <x:v>World Health Organization</x:v>
      </x:c>
      <x:c r="J462" s="65" t="str">
        <x:v>The guidance emphasizes checking air-quality information and reducing exposure during pollution episodes, including adjusting strenuous outdoor activity when conditions are poor. The appropriate action depends on the pollutant, duration, activity and vulnerability of the person.</x:v>
      </x:c>
      <x:c r="K462" s="65" t="str">
        <x:v>https://www.who.int/news-room/questions-and-answers/item/air-pollution-personal-interventions-and-risk-communication</x:v>
      </x:c>
      <x:c r="L462" s="65" t="n">
        <x:v>0</x:v>
      </x:c>
      <x:c r="M462" s="65" t="str">
        <x:v>Machine-suggested near-miss; human review required.</x:v>
      </x:c>
    </x:row>
    <x:row r="463" ht="42" customHeight="1">
      <x:c r="A463" s="65" t="str">
        <x:v>gold30-023</x:v>
      </x:c>
      <x:c r="B463" s="65" t="str">
        <x:v>hybrid_rerank</x:v>
      </x:c>
      <x:c r="C463" s="88" t="n">
        <x:v>3</x:v>
      </x:c>
      <x:c r="D463" s="65" t="str">
        <x:v>clean-air-room</x:v>
      </x:c>
      <x:c r="E463" s="65" t="str">
        <x:v>clean-air-room:structure:3</x:v>
      </x:c>
      <x:c r="F463" s="65" t="str">
        <x:v>p.4</x:v>
      </x:c>
      <x:c r="G463" s="92" t="n">
        <x:v>0.35927349</x:v>
      </x:c>
      <x:c r="H463" s="65" t="str">
        <x:v>Indoor filtration and a clean-air room</x:v>
      </x:c>
      <x:c r="I463" s="65" t="str">
        <x:v>United States Environmental Protection Agency</x:v>
      </x:c>
      <x:c r="J463" s="65" t="str">
        <x:v>During a particle episode, close windows and doors when outdoor air is dirtier than indoor air and use filtration. When outdoor air is cleaner, ventilate to remove indoor-generated particles and carbon dioxide. Always control indoor sources: do not smoke or burn incense indoors,…</x:v>
      </x:c>
      <x:c r="K463" s="65" t="str">
        <x:v>https://www.epa.gov/indoor-air-quality-iaq/guide-air-cleaners-home</x:v>
      </x:c>
      <x:c r="L463" s="65" t="n">
        <x:v>3</x:v>
      </x:c>
      <x:c r="M463" s="65" t="str">
        <x:v>Expected source for this question.</x:v>
      </x:c>
    </x:row>
    <x:row r="464" ht="42" customHeight="1">
      <x:c r="A464" s="65" t="str">
        <x:v>gold30-023</x:v>
      </x:c>
      <x:c r="B464" s="65" t="str">
        <x:v>hybrid_rerank</x:v>
      </x:c>
      <x:c r="C464" s="88" t="n">
        <x:v>4</x:v>
      </x:c>
      <x:c r="D464" s="65" t="str">
        <x:v>bad-air-day-protection</x:v>
      </x:c>
      <x:c r="E464" s="65" t="str">
        <x:v>bad-air-day-protection:structure:0</x:v>
      </x:c>
      <x:c r="F464" s="65" t="str">
        <x:v>p.1</x:v>
      </x:c>
      <x:c r="G464" s="92" t="n">
        <x:v>0.27204464</x:v>
      </x:c>
      <x:c r="H464" s="65" t="str">
        <x:v>Bad-air-day protection playbook</x:v>
      </x:c>
      <x:c r="I464" s="65" t="str">
        <x:v>World Health Organization, Regional Office for Europe</x:v>
      </x:c>
      <x:c r="J464" s="65" t="str">
        <x:v>Published: 2024-10-04 Status as of: 2026-09-07 (health guidance; not Indonesian law) Document type: health_guidance Tags: topic=exposure-protection; audience=Jakarta-resident; action=protect-now; pollutant=ambient-particles</x:v>
      </x:c>
      <x:c r="K464" s="65" t="str">
        <x:v>https://www.who.int/news-room/questions-and-answers/item/air-pollution-personal-interventions-and-risk-communication</x:v>
      </x:c>
      <x:c r="L464" s="65" t="n">
        <x:v>3</x:v>
      </x:c>
      <x:c r="M464" s="65" t="str">
        <x:v>Expected source for this question.</x:v>
      </x:c>
    </x:row>
    <x:row r="465" ht="42" customHeight="1">
      <x:c r="A465" s="65" t="str">
        <x:v>gold30-023</x:v>
      </x:c>
      <x:c r="B465" s="65" t="str">
        <x:v>hybrid_rerank</x:v>
      </x:c>
      <x:c r="C465" s="88" t="n">
        <x:v>5</x:v>
      </x:c>
      <x:c r="D465" s="65" t="str">
        <x:v>individual-emission-actions</x:v>
      </x:c>
      <x:c r="E465" s="65" t="str">
        <x:v>individual-emission-actions:structure:3</x:v>
      </x:c>
      <x:c r="F465" s="65" t="str">
        <x:v>p.4</x:v>
      </x:c>
      <x:c r="G465" s="92" t="n">
        <x:v>0.27189663</x:v>
      </x:c>
      <x:c r="H465" s="65" t="str">
        <x:v>What an individual can do to reduce emissions and improve accountability</x:v>
      </x:c>
      <x:c r="I465" s="65" t="str">
        <x:v>World Health Organization; Pemerintah Provinsi DKI Jakarta</x:v>
      </x:c>
      <x:c r="J465" s="65" t="str">
        <x:v>WHO's hierarchy is important: personal interventions can reduce short-term exposure, but public policies that reduce emissions are more effective, sustainable, and equitable. Protecting yourself on a bad day and reducing your own emissions are different goals; neither makes an i…</x:v>
      </x:c>
      <x:c r="K465" s="65" t="str">
        <x:v>https://www.who.int/europe/publications/m/item/personal-level-actions-to-reduce-air-pollution-exposure</x:v>
      </x:c>
      <x:c r="L465" s="65" t="n">
        <x:v>0</x:v>
      </x:c>
      <x:c r="M465" s="65" t="str">
        <x:v>Machine-suggested near-miss; human review required.</x:v>
      </x:c>
    </x:row>
    <x:row r="466" ht="42" customHeight="1">
      <x:c r="A466" s="65" t="str">
        <x:v>gold30-024</x:v>
      </x:c>
      <x:c r="B466" s="65" t="str">
        <x:v>bm25</x:v>
      </x:c>
      <x:c r="C466" s="88" t="n">
        <x:v>1</x:v>
      </x:c>
      <x:c r="D466" s="65" t="str">
        <x:v>jakarta-improvements</x:v>
      </x:c>
      <x:c r="E466" s="65" t="str">
        <x:v>jakarta-improvements:structure:0</x:v>
      </x:c>
      <x:c r="F466" s="65" t="str">
        <x:v>p.1</x:v>
      </x:c>
      <x:c r="G466" s="92" t="n">
        <x:v>0.42857143</x:v>
      </x:c>
      <x:c r="H466" s="65" t="str">
        <x:v>Ways to improve Jakarta air quality</x:v>
      </x:c>
      <x:c r="I466" s="65" t="str">
        <x:v>Pemerintah Provinsi DKI Jakarta / Dinas Lingkungan Hidup</x:v>
      </x:c>
      <x:c r="J466"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466" s="65" t="str">
        <x:v>https://www.jakarta.go.id/page/upaya-bersama-jaga-kualitas-udara-jakarta</x:v>
      </x:c>
      <x:c r="L466" s="65" t="n">
        <x:v>0</x:v>
      </x:c>
      <x:c r="M466" s="65" t="str">
        <x:v>Machine-suggested near-miss; human review required.</x:v>
      </x:c>
    </x:row>
    <x:row r="467" ht="42" customHeight="1">
      <x:c r="A467" s="65" t="str">
        <x:v>gold30-024</x:v>
      </x:c>
      <x:c r="B467" s="65" t="str">
        <x:v>bm25</x:v>
      </x:c>
      <x:c r="C467" s="88" t="n">
        <x:v>2</x:v>
      </x:c>
      <x:c r="D467" s="65" t="str">
        <x:v>jakarta-seasonal-exposure</x:v>
      </x:c>
      <x:c r="E467" s="65" t="str">
        <x:v>jakarta-seasonal-exposure:structure:0</x:v>
      </x:c>
      <x:c r="F467" s="65" t="str">
        <x:v>p.1</x:v>
      </x:c>
      <x:c r="G467" s="92" t="n">
        <x:v>0.42857143</x:v>
      </x:c>
      <x:c r="H467" s="65" t="str">
        <x:v>Jakarta timing and local exposure context</x:v>
      </x:c>
      <x:c r="I467" s="65" t="str">
        <x:v>Dinas Lingkungan Hidup DKI Jakarta</x:v>
      </x:c>
      <x:c r="J467" s="65" t="str">
        <x:v>Published: 2024-04-06 Status as of: 2026-09-07 (official seasonal notice; not a current forecast) Document type: official_public_guidance Tags: topic=exposure-protection; audience=Jakarta-resident; action=protect-now; pollutant=PM2.5</x:v>
      </x:c>
      <x:c r="K467" s="65" t="str">
        <x:v>https://lingkunganhidup.jakarta.go.id/detail-artikel/masuki-musim-kemarau-pemprov-dki-minta-masyarakat-waspadai-penurunan-kualitas-udara</x:v>
      </x:c>
      <x:c r="L467" s="65" t="n">
        <x:v>0</x:v>
      </x:c>
      <x:c r="M467" s="65" t="str">
        <x:v>Machine-suggested near-miss; human review required.</x:v>
      </x:c>
    </x:row>
    <x:row r="468" ht="42" customHeight="1">
      <x:c r="A468" s="65" t="str">
        <x:v>gold30-024</x:v>
      </x:c>
      <x:c r="B468" s="65" t="str">
        <x:v>bm25</x:v>
      </x:c>
      <x:c r="C468" s="88" t="n">
        <x:v>3</x:v>
      </x:c>
      <x:c r="D468" s="65" t="str">
        <x:v>jakarta-emission-testing</x:v>
      </x:c>
      <x:c r="E468" s="65" t="str">
        <x:v>jakarta-emission-testing:structure:0</x:v>
      </x:c>
      <x:c r="F468" s="65" t="str">
        <x:v>p.1</x:v>
      </x:c>
      <x:c r="G468" s="92" t="n">
        <x:v>0.28571429</x:v>
      </x:c>
      <x:c r="H468" s="65" t="str">
        <x:v>Jakarta vehicle-emissions testing obligation</x:v>
      </x:c>
      <x:c r="I468" s="65" t="str">
        <x:v>Dinas Lingkungan Hidup DKI Jakarta</x:v>
      </x:c>
      <x:c r="J468" s="65" t="str">
        <x:v>Published: page accessed 2026-09-07 (FAQ date not stated) Status as of: 2026-09-07; Pergub 66/2020 is listed as berlaku Document type: official_faq Tags: topic=regulation-implementation; audience=vehicle-owner; action=compliance</x:v>
      </x:c>
      <x:c r="K468" s="65" t="str">
        <x:v>https://lingkunganhidup.jakarta.go.id/faq/ujiemisi</x:v>
      </x:c>
      <x:c r="L468" s="65" t="n">
        <x:v>0</x:v>
      </x:c>
      <x:c r="M468" s="65" t="str">
        <x:v>Machine-suggested near-miss; human review required.</x:v>
      </x:c>
    </x:row>
    <x:row r="469" ht="42" customHeight="1">
      <x:c r="A469" s="65" t="str">
        <x:v>gold30-024</x:v>
      </x:c>
      <x:c r="B469" s="65" t="str">
        <x:v>bm25</x:v>
      </x:c>
      <x:c r="C469" s="88" t="n">
        <x:v>4</x:v>
      </x:c>
      <x:c r="D469" s="65" t="str">
        <x:v>jakarta-policy-implementation</x:v>
      </x:c>
      <x:c r="E469" s="65" t="str">
        <x:v>jakarta-policy-implementation:structure:0</x:v>
      </x:c>
      <x:c r="F469" s="65" t="str">
        <x:v>p.1</x:v>
      </x:c>
      <x:c r="G469" s="92" t="n">
        <x:v>0.28571429</x:v>
      </x:c>
      <x:c r="H469" s="65" t="str">
        <x:v>Why rules can coexist with poor air: implementation evidence</x:v>
      </x:c>
      <x:c r="I469" s="65" t="str">
        <x:v>Pemerintah Provinsi DKI Jakarta; Dinas Lingkungan Hidup DKI Jakarta; Mahkamah Agung</x:v>
      </x:c>
      <x:c r="J469" s="65" t="str">
        <x:v>Published: 2024-06-19; court record dated 2021-09-16 Status as of: 2026-09-07 (status is date-bounded; verify later changes in JDIH) Document type: implementation_evidence Tags: topic=regulation-implementation; audience=Jakarta-resident; action=accountability; status=implementat…</x:v>
      </x:c>
      <x:c r="K469" s="65" t="str">
        <x:v>https://www.jakarta.go.id/siaran-pers/4802-SP-HMS-06-2024</x:v>
      </x:c>
      <x:c r="L469" s="65" t="n">
        <x:v>0</x:v>
      </x:c>
      <x:c r="M469" s="65" t="str">
        <x:v>Machine-suggested near-miss; human review required.</x:v>
      </x:c>
    </x:row>
    <x:row r="470" ht="42" customHeight="1">
      <x:c r="A470" s="65" t="str">
        <x:v>gold30-024</x:v>
      </x:c>
      <x:c r="B470" s="65" t="str">
        <x:v>bm25</x:v>
      </x:c>
      <x:c r="C470" s="88" t="n">
        <x:v>5</x:v>
      </x:c>
      <x:c r="D470" s="65" t="str">
        <x:v>pergub-66-2020-vehicle-testing</x:v>
      </x:c>
      <x:c r="E470" s="65" t="str">
        <x:v>pergub-66-2020-vehicle-testing:structure:0</x:v>
      </x:c>
      <x:c r="F470" s="65" t="str">
        <x:v>p.1</x:v>
      </x:c>
      <x:c r="G470" s="92" t="n">
        <x:v>0.28571429</x:v>
      </x:c>
      <x:c r="H470" s="65" t="str">
        <x:v>Pergub DKI Jakarta No. 66 Tahun 2020 — motor-vehicle emission testing</x:v>
      </x:c>
      <x:c r="I470" s="65" t="str">
        <x:v>Pemerintah Provinsi DKI Jakarta / Database Peraturan BPK</x:v>
      </x:c>
      <x:c r="J470" s="65" t="str">
        <x:v>Peraturan Gubernur Provinsi DKI Jakarta Nomor 66 Tahun 2020 is titled Uji Emisi Gas Buang Kendaraan Bermotor. The BPK record gives the adoption date as 22 July 2020, promulgation date as 24 July 2020, and effective date as 24 December 2020.</x:v>
      </x:c>
      <x:c r="K470" s="65" t="str">
        <x:v>https://peraturan.bpk.go.id/Details/153923/pergub-prov-dki-jakarta-no-66-tahun-2020</x:v>
      </x:c>
      <x:c r="L470" s="65" t="n">
        <x:v>0</x:v>
      </x:c>
      <x:c r="M470" s="65" t="str">
        <x:v>Machine-suggested near-miss; human review required.</x:v>
      </x:c>
    </x:row>
    <x:row r="471" ht="42" customHeight="1">
      <x:c r="A471" s="65" t="str">
        <x:v>gold30-024</x:v>
      </x:c>
      <x:c r="B471" s="65" t="str">
        <x:v>dense</x:v>
      </x:c>
      <x:c r="C471" s="88" t="n">
        <x:v>1</x:v>
      </x:c>
      <x:c r="D471" s="65" t="str">
        <x:v>jakarta-monitoring</x:v>
      </x:c>
      <x:c r="E471" s="65" t="str">
        <x:v>jakarta-monitoring:structure:0</x:v>
      </x:c>
      <x:c r="F471" s="65" t="str">
        <x:v>p.1</x:v>
      </x:c>
      <x:c r="G471" s="92" t="n">
        <x:v>0.21367029</x:v>
      </x:c>
      <x:c r="H471" s="65" t="str">
        <x:v>Jakarta monitoring stations</x:v>
      </x:c>
      <x:c r="I471" s="65" t="str">
        <x:v>Dinas Lingkungan Hidup Provinsi DKI Jakarta</x:v>
      </x:c>
      <x:c r="J471" s="65" t="str">
        <x:v>Jakarta's official monitoring portal publishes station locations, pollutant parameters, current readings, and timestamps. A station observation describes that station and observation time; it should not automatically be generalized to all of Jakarta.</x:v>
      </x:c>
      <x:c r="K471" s="65" t="str">
        <x:v>https://udara.jakarta.go.id/lokasi-spku</x:v>
      </x:c>
      <x:c r="L471" s="65" t="n">
        <x:v>0</x:v>
      </x:c>
      <x:c r="M471" s="65" t="str">
        <x:v>Machine-suggested near-miss; human review required.</x:v>
      </x:c>
    </x:row>
    <x:row r="472" ht="42" customHeight="1">
      <x:c r="A472" s="65" t="str">
        <x:v>gold30-024</x:v>
      </x:c>
      <x:c r="B472" s="65" t="str">
        <x:v>dense</x:v>
      </x:c>
      <x:c r="C472" s="88" t="n">
        <x:v>2</x:v>
      </x:c>
      <x:c r="D472" s="65" t="str">
        <x:v>jakarta-improvements</x:v>
      </x:c>
      <x:c r="E472" s="65" t="str">
        <x:v>jakarta-improvements:structure:0</x:v>
      </x:c>
      <x:c r="F472" s="65" t="str">
        <x:v>p.1</x:v>
      </x:c>
      <x:c r="G472" s="92" t="n">
        <x:v>0.19090091</x:v>
      </x:c>
      <x:c r="H472" s="65" t="str">
        <x:v>Ways to improve Jakarta air quality</x:v>
      </x:c>
      <x:c r="I472" s="65" t="str">
        <x:v>Pemerintah Provinsi DKI Jakarta / Dinas Lingkungan Hidup</x:v>
      </x:c>
      <x:c r="J472"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472" s="65" t="str">
        <x:v>https://www.jakarta.go.id/page/upaya-bersama-jaga-kualitas-udara-jakarta</x:v>
      </x:c>
      <x:c r="L472" s="65" t="n">
        <x:v>0</x:v>
      </x:c>
      <x:c r="M472" s="65" t="str">
        <x:v>Machine-suggested near-miss; human review required.</x:v>
      </x:c>
    </x:row>
    <x:row r="473" ht="42" customHeight="1">
      <x:c r="A473" s="65" t="str">
        <x:v>gold30-024</x:v>
      </x:c>
      <x:c r="B473" s="65" t="str">
        <x:v>dense</x:v>
      </x:c>
      <x:c r="C473" s="88" t="n">
        <x:v>3</x:v>
      </x:c>
      <x:c r="D473" s="65" t="str">
        <x:v>jakarta-seasonal-exposure</x:v>
      </x:c>
      <x:c r="E473" s="65" t="str">
        <x:v>jakarta-seasonal-exposure:structure:0</x:v>
      </x:c>
      <x:c r="F473" s="65" t="str">
        <x:v>p.1</x:v>
      </x:c>
      <x:c r="G473" s="92" t="n">
        <x:v>0.17901226</x:v>
      </x:c>
      <x:c r="H473" s="65" t="str">
        <x:v>Jakarta timing and local exposure context</x:v>
      </x:c>
      <x:c r="I473" s="65" t="str">
        <x:v>Dinas Lingkungan Hidup DKI Jakarta</x:v>
      </x:c>
      <x:c r="J473" s="65" t="str">
        <x:v>Published: 2024-04-06 Status as of: 2026-09-07 (official seasonal notice; not a current forecast) Document type: official_public_guidance Tags: topic=exposure-protection; audience=Jakarta-resident; action=protect-now; pollutant=PM2.5</x:v>
      </x:c>
      <x:c r="K473" s="65" t="str">
        <x:v>https://lingkunganhidup.jakarta.go.id/detail-artikel/masuki-musim-kemarau-pemprov-dki-minta-masyarakat-waspadai-penurunan-kualitas-udara</x:v>
      </x:c>
      <x:c r="L473" s="65" t="n">
        <x:v>0</x:v>
      </x:c>
      <x:c r="M473" s="65" t="str">
        <x:v>Machine-suggested near-miss; human review required.</x:v>
      </x:c>
    </x:row>
    <x:row r="474" ht="42" customHeight="1">
      <x:c r="A474" s="65" t="str">
        <x:v>gold30-024</x:v>
      </x:c>
      <x:c r="B474" s="65" t="str">
        <x:v>dense</x:v>
      </x:c>
      <x:c r="C474" s="88" t="n">
        <x:v>4</x:v>
      </x:c>
      <x:c r="D474" s="65" t="str">
        <x:v>pergub-66-2020-vehicle-testing</x:v>
      </x:c>
      <x:c r="E474" s="65" t="str">
        <x:v>pergub-66-2020-vehicle-testing:structure:0</x:v>
      </x:c>
      <x:c r="F474" s="65" t="str">
        <x:v>p.1</x:v>
      </x:c>
      <x:c r="G474" s="92" t="n">
        <x:v>0.17662234</x:v>
      </x:c>
      <x:c r="H474" s="65" t="str">
        <x:v>Pergub DKI Jakarta No. 66 Tahun 2020 — motor-vehicle emission testing</x:v>
      </x:c>
      <x:c r="I474" s="65" t="str">
        <x:v>Pemerintah Provinsi DKI Jakarta / Database Peraturan BPK</x:v>
      </x:c>
      <x:c r="J474" s="65" t="str">
        <x:v>Peraturan Gubernur Provinsi DKI Jakarta Nomor 66 Tahun 2020 is titled Uji Emisi Gas Buang Kendaraan Bermotor. The BPK record gives the adoption date as 22 July 2020, promulgation date as 24 July 2020, and effective date as 24 December 2020.</x:v>
      </x:c>
      <x:c r="K474" s="65" t="str">
        <x:v>https://peraturan.bpk.go.id/Details/153923/pergub-prov-dki-jakarta-no-66-tahun-2020</x:v>
      </x:c>
      <x:c r="L474" s="65" t="n">
        <x:v>0</x:v>
      </x:c>
      <x:c r="M474" s="65" t="str">
        <x:v>Machine-suggested near-miss; human review required.</x:v>
      </x:c>
    </x:row>
    <x:row r="475" ht="42" customHeight="1">
      <x:c r="A475" s="65" t="str">
        <x:v>gold30-024</x:v>
      </x:c>
      <x:c r="B475" s="65" t="str">
        <x:v>dense</x:v>
      </x:c>
      <x:c r="C475" s="88" t="n">
        <x:v>5</x:v>
      </x:c>
      <x:c r="D475" s="65" t="str">
        <x:v>jakarta-court-air-quality</x:v>
      </x:c>
      <x:c r="E475" s="65" t="str">
        <x:v>jakarta-court-air-quality:structure:1</x:v>
      </x:c>
      <x:c r="F475" s="65" t="str">
        <x:v>p.2</x:v>
      </x:c>
      <x:c r="G475" s="92" t="n">
        <x:v>0.15991132</x:v>
      </x:c>
      <x:c r="H475" s="65" t="str">
        <x:v>Jakarta air-pollution citizen lawsuit: what the court record establishes</x:v>
      </x:c>
      <x:c r="I475" s="65" t="str">
        <x:v>Mahkamah Agung Republik Indonesia</x:v>
      </x:c>
      <x:c r="J475"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475" s="65" t="str">
        <x:v>https://putusan3.mahkamahagung.go.id/pengadilan/profil/pengadilan/pn-jakarta-pusat.html</x:v>
      </x:c>
      <x:c r="L475" s="65" t="n">
        <x:v>0</x:v>
      </x:c>
      <x:c r="M475" s="65" t="str">
        <x:v>Machine-suggested near-miss; human review required.</x:v>
      </x:c>
    </x:row>
    <x:row r="476" ht="42" customHeight="1">
      <x:c r="A476" s="65" t="str">
        <x:v>gold30-024</x:v>
      </x:c>
      <x:c r="B476" s="65" t="str">
        <x:v>hybrid</x:v>
      </x:c>
      <x:c r="C476" s="88" t="n">
        <x:v>1</x:v>
      </x:c>
      <x:c r="D476" s="65" t="str">
        <x:v>jakarta-improvements</x:v>
      </x:c>
      <x:c r="E476" s="65" t="str">
        <x:v>jakarta-improvements:structure:0</x:v>
      </x:c>
      <x:c r="F476" s="65" t="str">
        <x:v>p.1</x:v>
      </x:c>
      <x:c r="G476" s="92" t="n">
        <x:v>0.03284506</x:v>
      </x:c>
      <x:c r="H476" s="65" t="str">
        <x:v>Ways to improve Jakarta air quality</x:v>
      </x:c>
      <x:c r="I476" s="65" t="str">
        <x:v>Pemerintah Provinsi DKI Jakarta / Dinas Lingkungan Hidup</x:v>
      </x:c>
      <x:c r="J476"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476" s="65" t="str">
        <x:v>https://www.jakarta.go.id/page/upaya-bersama-jaga-kualitas-udara-jakarta</x:v>
      </x:c>
      <x:c r="L476" s="65" t="n">
        <x:v>0</x:v>
      </x:c>
      <x:c r="M476" s="65" t="str">
        <x:v>Machine-suggested near-miss; human review required.</x:v>
      </x:c>
    </x:row>
    <x:row r="477" ht="42" customHeight="1">
      <x:c r="A477" s="65" t="str">
        <x:v>gold30-024</x:v>
      </x:c>
      <x:c r="B477" s="65" t="str">
        <x:v>hybrid</x:v>
      </x:c>
      <x:c r="C477" s="88" t="n">
        <x:v>2</x:v>
      </x:c>
      <x:c r="D477" s="65" t="str">
        <x:v>jakarta-seasonal-exposure</x:v>
      </x:c>
      <x:c r="E477" s="65" t="str">
        <x:v>jakarta-seasonal-exposure:structure:0</x:v>
      </x:c>
      <x:c r="F477" s="65" t="str">
        <x:v>p.1</x:v>
      </x:c>
      <x:c r="G477" s="92" t="n">
        <x:v>0.03231951</x:v>
      </x:c>
      <x:c r="H477" s="65" t="str">
        <x:v>Jakarta timing and local exposure context</x:v>
      </x:c>
      <x:c r="I477" s="65" t="str">
        <x:v>Dinas Lingkungan Hidup DKI Jakarta</x:v>
      </x:c>
      <x:c r="J477" s="65" t="str">
        <x:v>Published: 2024-04-06 Status as of: 2026-09-07 (official seasonal notice; not a current forecast) Document type: official_public_guidance Tags: topic=exposure-protection; audience=Jakarta-resident; action=protect-now; pollutant=PM2.5</x:v>
      </x:c>
      <x:c r="K477" s="65" t="str">
        <x:v>https://lingkunganhidup.jakarta.go.id/detail-artikel/masuki-musim-kemarau-pemprov-dki-minta-masyarakat-waspadai-penurunan-kualitas-udara</x:v>
      </x:c>
      <x:c r="L477" s="65" t="n">
        <x:v>0</x:v>
      </x:c>
      <x:c r="M477" s="65" t="str">
        <x:v>Machine-suggested near-miss; human review required.</x:v>
      </x:c>
    </x:row>
    <x:row r="478" ht="42" customHeight="1">
      <x:c r="A478" s="65" t="str">
        <x:v>gold30-024</x:v>
      </x:c>
      <x:c r="B478" s="65" t="str">
        <x:v>hybrid</x:v>
      </x:c>
      <x:c r="C478" s="88" t="n">
        <x:v>3</x:v>
      </x:c>
      <x:c r="D478" s="65" t="str">
        <x:v>pergub-66-2020-vehicle-testing</x:v>
      </x:c>
      <x:c r="E478" s="65" t="str">
        <x:v>pergub-66-2020-vehicle-testing:structure:0</x:v>
      </x:c>
      <x:c r="F478" s="65" t="str">
        <x:v>p.1</x:v>
      </x:c>
      <x:c r="G478" s="92" t="n">
        <x:v>0.03132212</x:v>
      </x:c>
      <x:c r="H478" s="65" t="str">
        <x:v>Pergub DKI Jakarta No. 66 Tahun 2020 — motor-vehicle emission testing</x:v>
      </x:c>
      <x:c r="I478" s="65" t="str">
        <x:v>Pemerintah Provinsi DKI Jakarta / Database Peraturan BPK</x:v>
      </x:c>
      <x:c r="J478" s="65" t="str">
        <x:v>Peraturan Gubernur Provinsi DKI Jakarta Nomor 66 Tahun 2020 is titled Uji Emisi Gas Buang Kendaraan Bermotor. The BPK record gives the adoption date as 22 July 2020, promulgation date as 24 July 2020, and effective date as 24 December 2020.</x:v>
      </x:c>
      <x:c r="K478" s="65" t="str">
        <x:v>https://peraturan.bpk.go.id/Details/153923/pergub-prov-dki-jakarta-no-66-tahun-2020</x:v>
      </x:c>
      <x:c r="L478" s="65" t="n">
        <x:v>0</x:v>
      </x:c>
      <x:c r="M478" s="65" t="str">
        <x:v>Machine-suggested near-miss; human review required.</x:v>
      </x:c>
    </x:row>
    <x:row r="479" ht="42" customHeight="1">
      <x:c r="A479" s="65" t="str">
        <x:v>gold30-024</x:v>
      </x:c>
      <x:c r="B479" s="65" t="str">
        <x:v>hybrid</x:v>
      </x:c>
      <x:c r="C479" s="88" t="n">
        <x:v>4</x:v>
      </x:c>
      <x:c r="D479" s="65" t="str">
        <x:v>jakarta-emission-testing</x:v>
      </x:c>
      <x:c r="E479" s="65" t="str">
        <x:v>jakarta-emission-testing:structure:0</x:v>
      </x:c>
      <x:c r="F479" s="65" t="str">
        <x:v>p.1</x:v>
      </x:c>
      <x:c r="G479" s="92" t="n">
        <x:v>0.0310969</x:v>
      </x:c>
      <x:c r="H479" s="65" t="str">
        <x:v>Jakarta vehicle-emissions testing obligation</x:v>
      </x:c>
      <x:c r="I479" s="65" t="str">
        <x:v>Dinas Lingkungan Hidup DKI Jakarta</x:v>
      </x:c>
      <x:c r="J479" s="65" t="str">
        <x:v>Published: page accessed 2026-09-07 (FAQ date not stated) Status as of: 2026-09-07; Pergub 66/2020 is listed as berlaku Document type: official_faq Tags: topic=regulation-implementation; audience=vehicle-owner; action=compliance</x:v>
      </x:c>
      <x:c r="K479" s="65" t="str">
        <x:v>https://lingkunganhidup.jakarta.go.id/faq/ujiemisi</x:v>
      </x:c>
      <x:c r="L479" s="65" t="n">
        <x:v>0</x:v>
      </x:c>
      <x:c r="M479" s="65" t="str">
        <x:v>Machine-suggested near-miss; human review required.</x:v>
      </x:c>
    </x:row>
    <x:row r="480" ht="42" customHeight="1">
      <x:c r="A480" s="65" t="str">
        <x:v>gold30-024</x:v>
      </x:c>
      <x:c r="B480" s="65" t="str">
        <x:v>hybrid</x:v>
      </x:c>
      <x:c r="C480" s="88" t="n">
        <x:v>5</x:v>
      </x:c>
      <x:c r="D480" s="65" t="str">
        <x:v>pp-22-2021-air-quality</x:v>
      </x:c>
      <x:c r="E480" s="65" t="str">
        <x:v>pp-22-2021-air-quality:structure:5</x:v>
      </x:c>
      <x:c r="F480" s="65" t="str">
        <x:v>p.6</x:v>
      </x:c>
      <x:c r="G480" s="92" t="n">
        <x:v>0.02970798</x:v>
      </x:c>
      <x:c r="H480" s="65" t="str">
        <x:v>PP No. 22 Tahun 2021 — environmental protection and ambient air quality</x:v>
      </x:c>
      <x:c r="I480" s="65" t="str">
        <x:v>Pemerintah Republik Indonesia / Database Peraturan BPK</x:v>
      </x:c>
      <x:c r="J480" s="65" t="str">
        <x:v>This is a rule-on-paper source. It does not establish that Jakarta inspected every regulated source, that a sanction was imposed in a particular case, or that implementation changed a measured concentration. Those claims require dated implementation records.</x:v>
      </x:c>
      <x:c r="K480" s="65" t="str">
        <x:v>https://peraturan.bpk.go.id/Details/161852/pp-no-22tahun-2021</x:v>
      </x:c>
      <x:c r="L480" s="65" t="n">
        <x:v>0</x:v>
      </x:c>
      <x:c r="M480" s="65" t="str">
        <x:v>Machine-suggested near-miss; human review required.</x:v>
      </x:c>
    </x:row>
    <x:row r="481" ht="42" customHeight="1">
      <x:c r="A481" s="65" t="str">
        <x:v>gold30-024</x:v>
      </x:c>
      <x:c r="B481" s="65" t="str">
        <x:v>hybrid_rerank</x:v>
      </x:c>
      <x:c r="C481" s="88" t="n">
        <x:v>1</x:v>
      </x:c>
      <x:c r="D481" s="65" t="str">
        <x:v>jakarta-improvements</x:v>
      </x:c>
      <x:c r="E481" s="65" t="str">
        <x:v>jakarta-improvements:structure:0</x:v>
      </x:c>
      <x:c r="F481" s="65" t="str">
        <x:v>p.1</x:v>
      </x:c>
      <x:c r="G481" s="92" t="n">
        <x:v>0.30985352</x:v>
      </x:c>
      <x:c r="H481" s="65" t="str">
        <x:v>Ways to improve Jakarta air quality</x:v>
      </x:c>
      <x:c r="I481" s="65" t="str">
        <x:v>Pemerintah Provinsi DKI Jakarta / Dinas Lingkungan Hidup</x:v>
      </x:c>
      <x:c r="J481"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481" s="65" t="str">
        <x:v>https://www.jakarta.go.id/page/upaya-bersama-jaga-kualitas-udara-jakarta</x:v>
      </x:c>
      <x:c r="L481" s="65" t="n">
        <x:v>0</x:v>
      </x:c>
      <x:c r="M481" s="65" t="str">
        <x:v>Machine-suggested near-miss; human review required.</x:v>
      </x:c>
    </x:row>
    <x:row r="482" ht="42" customHeight="1">
      <x:c r="A482" s="65" t="str">
        <x:v>gold30-024</x:v>
      </x:c>
      <x:c r="B482" s="65" t="str">
        <x:v>hybrid_rerank</x:v>
      </x:c>
      <x:c r="C482" s="88" t="n">
        <x:v>2</x:v>
      </x:c>
      <x:c r="D482" s="65" t="str">
        <x:v>jakarta-seasonal-exposure</x:v>
      </x:c>
      <x:c r="E482" s="65" t="str">
        <x:v>jakarta-seasonal-exposure:structure:0</x:v>
      </x:c>
      <x:c r="F482" s="65" t="str">
        <x:v>p.1</x:v>
      </x:c>
      <x:c r="G482" s="92" t="n">
        <x:v>0.30969585</x:v>
      </x:c>
      <x:c r="H482" s="65" t="str">
        <x:v>Jakarta timing and local exposure context</x:v>
      </x:c>
      <x:c r="I482" s="65" t="str">
        <x:v>Dinas Lingkungan Hidup DKI Jakarta</x:v>
      </x:c>
      <x:c r="J482" s="65" t="str">
        <x:v>Published: 2024-04-06 Status as of: 2026-09-07 (official seasonal notice; not a current forecast) Document type: official_public_guidance Tags: topic=exposure-protection; audience=Jakarta-resident; action=protect-now; pollutant=PM2.5</x:v>
      </x:c>
      <x:c r="K482" s="65" t="str">
        <x:v>https://lingkunganhidup.jakarta.go.id/detail-artikel/masuki-musim-kemarau-pemprov-dki-minta-masyarakat-waspadai-penurunan-kualitas-udara</x:v>
      </x:c>
      <x:c r="L482" s="65" t="n">
        <x:v>0</x:v>
      </x:c>
      <x:c r="M482" s="65" t="str">
        <x:v>Machine-suggested near-miss; human review required.</x:v>
      </x:c>
    </x:row>
    <x:row r="483" ht="42" customHeight="1">
      <x:c r="A483" s="65" t="str">
        <x:v>gold30-024</x:v>
      </x:c>
      <x:c r="B483" s="65" t="str">
        <x:v>hybrid_rerank</x:v>
      </x:c>
      <x:c r="C483" s="88" t="n">
        <x:v>3</x:v>
      </x:c>
      <x:c r="D483" s="65" t="str">
        <x:v>pergub-66-2020-vehicle-testing</x:v>
      </x:c>
      <x:c r="E483" s="65" t="str">
        <x:v>pergub-66-2020-vehicle-testing:structure:0</x:v>
      </x:c>
      <x:c r="F483" s="65" t="str">
        <x:v>p.1</x:v>
      </x:c>
      <x:c r="G483" s="92" t="n">
        <x:v>0.20939663</x:v>
      </x:c>
      <x:c r="H483" s="65" t="str">
        <x:v>Pergub DKI Jakarta No. 66 Tahun 2020 — motor-vehicle emission testing</x:v>
      </x:c>
      <x:c r="I483" s="65" t="str">
        <x:v>Pemerintah Provinsi DKI Jakarta / Database Peraturan BPK</x:v>
      </x:c>
      <x:c r="J483" s="65" t="str">
        <x:v>Peraturan Gubernur Provinsi DKI Jakarta Nomor 66 Tahun 2020 is titled Uji Emisi Gas Buang Kendaraan Bermotor. The BPK record gives the adoption date as 22 July 2020, promulgation date as 24 July 2020, and effective date as 24 December 2020.</x:v>
      </x:c>
      <x:c r="K483" s="65" t="str">
        <x:v>https://peraturan.bpk.go.id/Details/153923/pergub-prov-dki-jakarta-no-66-tahun-2020</x:v>
      </x:c>
      <x:c r="L483" s="65" t="n">
        <x:v>0</x:v>
      </x:c>
      <x:c r="M483" s="65" t="str">
        <x:v>Machine-suggested near-miss; human review required.</x:v>
      </x:c>
    </x:row>
    <x:row r="484" ht="42" customHeight="1">
      <x:c r="A484" s="65" t="str">
        <x:v>gold30-024</x:v>
      </x:c>
      <x:c r="B484" s="65" t="str">
        <x:v>hybrid_rerank</x:v>
      </x:c>
      <x:c r="C484" s="88" t="n">
        <x:v>4</x:v>
      </x:c>
      <x:c r="D484" s="65" t="str">
        <x:v>jakarta-emission-testing</x:v>
      </x:c>
      <x:c r="E484" s="65" t="str">
        <x:v>jakarta-emission-testing:structure:0</x:v>
      </x:c>
      <x:c r="F484" s="65" t="str">
        <x:v>p.1</x:v>
      </x:c>
      <x:c r="G484" s="92" t="n">
        <x:v>0.20932907</x:v>
      </x:c>
      <x:c r="H484" s="65" t="str">
        <x:v>Jakarta vehicle-emissions testing obligation</x:v>
      </x:c>
      <x:c r="I484" s="65" t="str">
        <x:v>Dinas Lingkungan Hidup DKI Jakarta</x:v>
      </x:c>
      <x:c r="J484" s="65" t="str">
        <x:v>Published: page accessed 2026-09-07 (FAQ date not stated) Status as of: 2026-09-07; Pergub 66/2020 is listed as berlaku Document type: official_faq Tags: topic=regulation-implementation; audience=vehicle-owner; action=compliance</x:v>
      </x:c>
      <x:c r="K484" s="65" t="str">
        <x:v>https://lingkunganhidup.jakarta.go.id/faq/ujiemisi</x:v>
      </x:c>
      <x:c r="L484" s="65" t="n">
        <x:v>0</x:v>
      </x:c>
      <x:c r="M484" s="65" t="str">
        <x:v>Machine-suggested near-miss; human review required.</x:v>
      </x:c>
    </x:row>
    <x:row r="485" ht="42" customHeight="1">
      <x:c r="A485" s="65" t="str">
        <x:v>gold30-024</x:v>
      </x:c>
      <x:c r="B485" s="65" t="str">
        <x:v>hybrid_rerank</x:v>
      </x:c>
      <x:c r="C485" s="88" t="n">
        <x:v>5</x:v>
      </x:c>
      <x:c r="D485" s="65" t="str">
        <x:v>pp-22-2021-air-quality</x:v>
      </x:c>
      <x:c r="E485" s="65" t="str">
        <x:v>pp-22-2021-air-quality:structure:5</x:v>
      </x:c>
      <x:c r="F485" s="65" t="str">
        <x:v>p.6</x:v>
      </x:c>
      <x:c r="G485" s="92" t="n">
        <x:v>0.20891239</x:v>
      </x:c>
      <x:c r="H485" s="65" t="str">
        <x:v>PP No. 22 Tahun 2021 — environmental protection and ambient air quality</x:v>
      </x:c>
      <x:c r="I485" s="65" t="str">
        <x:v>Pemerintah Republik Indonesia / Database Peraturan BPK</x:v>
      </x:c>
      <x:c r="J485" s="65" t="str">
        <x:v>This is a rule-on-paper source. It does not establish that Jakarta inspected every regulated source, that a sanction was imposed in a particular case, or that implementation changed a measured concentration. Those claims require dated implementation records.</x:v>
      </x:c>
      <x:c r="K485" s="65" t="str">
        <x:v>https://peraturan.bpk.go.id/Details/161852/pp-no-22tahun-2021</x:v>
      </x:c>
      <x:c r="L485" s="65" t="n">
        <x:v>0</x:v>
      </x:c>
      <x:c r="M485" s="65" t="str">
        <x:v>Machine-suggested near-miss; human review required.</x:v>
      </x:c>
    </x:row>
    <x:row r="486" ht="42" customHeight="1">
      <x:c r="A486" s="65" t="str">
        <x:v>gold30-025</x:v>
      </x:c>
      <x:c r="B486" s="65" t="str">
        <x:v>bm25</x:v>
      </x:c>
      <x:c r="C486" s="88" t="n">
        <x:v>1</x:v>
      </x:c>
      <x:c r="D486" s="65" t="str">
        <x:v>clean-air-room</x:v>
      </x:c>
      <x:c r="E486" s="65" t="str">
        <x:v>clean-air-room:structure:1</x:v>
      </x:c>
      <x:c r="F486" s="65" t="str">
        <x:v>p.2</x:v>
      </x:c>
      <x:c r="G486" s="92" t="n">
        <x:v>0.38461538</x:v>
      </x:c>
      <x:c r="H486" s="65" t="str">
        <x:v>Indoor filtration and a clean-air room</x:v>
      </x:c>
      <x:c r="I486" s="65" t="str">
        <x:v>United States Environmental Protection Agency</x:v>
      </x:c>
      <x:c r="J486"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486" s="65" t="str">
        <x:v>https://www.epa.gov/indoor-air-quality-iaq/guide-air-cleaners-home</x:v>
      </x:c>
      <x:c r="L486" s="65" t="n">
        <x:v>0</x:v>
      </x:c>
      <x:c r="M486" s="65" t="str">
        <x:v>Machine-suggested near-miss; human review required.</x:v>
      </x:c>
    </x:row>
    <x:row r="487" ht="42" customHeight="1">
      <x:c r="A487" s="65" t="str">
        <x:v>gold30-025</x:v>
      </x:c>
      <x:c r="B487" s="65" t="str">
        <x:v>bm25</x:v>
      </x:c>
      <x:c r="C487" s="88" t="n">
        <x:v>2</x:v>
      </x:c>
      <x:c r="D487" s="65" t="str">
        <x:v>jakarta-policy-implementation</x:v>
      </x:c>
      <x:c r="E487" s="65" t="str">
        <x:v>jakarta-policy-implementation:structure:2</x:v>
      </x:c>
      <x:c r="F487" s="65" t="str">
        <x:v>p.3</x:v>
      </x:c>
      <x:c r="G487" s="92" t="n">
        <x:v>0.38461538</x:v>
      </x:c>
      <x:c r="H487" s="65" t="str">
        <x:v>Why rules can coexist with poor air: implementation evidence</x:v>
      </x:c>
      <x:c r="I487" s="65" t="str">
        <x:v>Pemerintah Provinsi DKI Jakarta; Dinas Lingkungan Hidup DKI Jakarta; Mahkamah Agung</x:v>
      </x:c>
      <x:c r="J487"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487" s="65" t="str">
        <x:v>https://www.jakarta.go.id/siaran-pers/4802-SP-HMS-06-2024</x:v>
      </x:c>
      <x:c r="L487" s="65" t="n">
        <x:v>0</x:v>
      </x:c>
      <x:c r="M487" s="65" t="str">
        <x:v>Machine-suggested near-miss; human review required.</x:v>
      </x:c>
    </x:row>
    <x:row r="488" ht="42" customHeight="1">
      <x:c r="A488" s="65" t="str">
        <x:v>gold30-025</x:v>
      </x:c>
      <x:c r="B488" s="65" t="str">
        <x:v>bm25</x:v>
      </x:c>
      <x:c r="C488" s="88" t="n">
        <x:v>3</x:v>
      </x:c>
      <x:c r="D488" s="65" t="str">
        <x:v>jakarta-historical-city-series</x:v>
      </x:c>
      <x:c r="E488" s="65" t="str">
        <x:v>jakarta-historical-city-series:structure:1</x:v>
      </x:c>
      <x:c r="F488" s="65" t="str">
        <x:v>p.2</x:v>
      </x:c>
      <x:c r="G488" s="92" t="n">
        <x:v>0.30769231</x:v>
      </x:c>
      <x:c r="H488" s="65" t="str">
        <x:v>Jakarta historical PM2.5 and PM10 series: provenance and quality</x:v>
      </x:c>
      <x:c r="I488" s="65" t="str">
        <x:v>Open-Meteo / CAMS Global; deposited dataset by Nitiraj Kulkarni and Jagadish Tawade</x:v>
      </x:c>
      <x:c r="J488"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488" s="65" t="str">
        <x:v>https://zenodo.org/records/18673885</x:v>
      </x:c>
      <x:c r="L488" s="65" t="n">
        <x:v>0</x:v>
      </x:c>
      <x:c r="M488" s="65" t="str">
        <x:v>Machine-suggested near-miss; human review required.</x:v>
      </x:c>
    </x:row>
    <x:row r="489" ht="42" customHeight="1">
      <x:c r="A489" s="65" t="str">
        <x:v>gold30-025</x:v>
      </x:c>
      <x:c r="B489" s="65" t="str">
        <x:v>bm25</x:v>
      </x:c>
      <x:c r="C489" s="88" t="n">
        <x:v>4</x:v>
      </x:c>
      <x:c r="D489" s="65" t="str">
        <x:v>bad-air-day-protection</x:v>
      </x:c>
      <x:c r="E489" s="65" t="str">
        <x:v>bad-air-day-protection:structure:3</x:v>
      </x:c>
      <x:c r="F489" s="65" t="str">
        <x:v>p.4</x:v>
      </x:c>
      <x:c r="G489" s="92" t="n">
        <x:v>0.23076923</x:v>
      </x:c>
      <x:c r="H489" s="65" t="str">
        <x:v>Bad-air-day protection playbook</x:v>
      </x:c>
      <x:c r="I489" s="65" t="str">
        <x:v>World Health Organization, Regional Office for Europe</x:v>
      </x:c>
      <x:c r="J489" s="65" t="str">
        <x:v>Personal protection reduces a person's dose. It does not reduce Jakarta's emissions and cannot replace enforcement or clean-air policy. [bad-air-day-protection]</x:v>
      </x:c>
      <x:c r="K489" s="65" t="str">
        <x:v>https://www.who.int/news-room/questions-and-answers/item/air-pollution-personal-interventions-and-risk-communication</x:v>
      </x:c>
      <x:c r="L489" s="65" t="n">
        <x:v>0</x:v>
      </x:c>
      <x:c r="M489" s="65" t="str">
        <x:v>Machine-suggested near-miss; human review required.</x:v>
      </x:c>
    </x:row>
    <x:row r="490" ht="42" customHeight="1">
      <x:c r="A490" s="65" t="str">
        <x:v>gold30-025</x:v>
      </x:c>
      <x:c r="B490" s="65" t="str">
        <x:v>bm25</x:v>
      </x:c>
      <x:c r="C490" s="88" t="n">
        <x:v>5</x:v>
      </x:c>
      <x:c r="D490" s="65" t="str">
        <x:v>individual-emission-actions</x:v>
      </x:c>
      <x:c r="E490" s="65" t="str">
        <x:v>individual-emission-actions:structure:0</x:v>
      </x:c>
      <x:c r="F490" s="65" t="str">
        <x:v>p.1</x:v>
      </x:c>
      <x:c r="G490" s="92" t="n">
        <x:v>0.23076923</x:v>
      </x:c>
      <x:c r="H490" s="65" t="str">
        <x:v>What an individual can do to reduce emissions and improve accountability</x:v>
      </x:c>
      <x:c r="I490" s="65" t="str">
        <x:v>World Health Organization; Pemerintah Provinsi DKI Jakarta</x:v>
      </x:c>
      <x:c r="J490" s="65" t="str">
        <x:v>Published: 2024-11-15 (WHO practical briefs); DKI programme guidance accessed 2026-09-07 Status as of: 2026-09-07 (recommendations and programmes; not a substitute for enforcement) Document type: civic_and_emissions_guidance Tags: topic=individual-contribution; audience=Jakarta-…</x:v>
      </x:c>
      <x:c r="K490" s="65" t="str">
        <x:v>https://www.who.int/europe/publications/m/item/personal-level-actions-to-reduce-air-pollution-exposure</x:v>
      </x:c>
      <x:c r="L490" s="65" t="n">
        <x:v>0</x:v>
      </x:c>
      <x:c r="M490" s="65" t="str">
        <x:v>Machine-suggested near-miss; human review required.</x:v>
      </x:c>
    </x:row>
    <x:row r="491" ht="42" customHeight="1">
      <x:c r="A491" s="65" t="str">
        <x:v>gold30-025</x:v>
      </x:c>
      <x:c r="B491" s="65" t="str">
        <x:v>dense</x:v>
      </x:c>
      <x:c r="C491" s="88" t="n">
        <x:v>1</x:v>
      </x:c>
      <x:c r="D491" s="65" t="str">
        <x:v>ma-jakarta-air-lawsuit-record</x:v>
      </x:c>
      <x:c r="E491" s="65" t="str">
        <x:v>ma-jakarta-air-lawsuit-record:structure:0</x:v>
      </x:c>
      <x:c r="F491" s="65" t="str">
        <x:v>p.1</x:v>
      </x:c>
      <x:c r="G491" s="92" t="n">
        <x:v>0.2623521</x:v>
      </x:c>
      <x:c r="H491" s="65" t="str">
        <x:v>Mahkamah Agung record — Jakarta air-pollution citizen lawsuit</x:v>
      </x:c>
      <x:c r="I491" s="65" t="str">
        <x:v>Mahkamah Agung Republik Indonesia</x:v>
      </x:c>
      <x:c r="J491"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491" s="65" t="str">
        <x:v>https://putusan3.mahkamahagung.go.id/pengadilan/profil/pengadilan/pn-jakarta-pusat.html</x:v>
      </x:c>
      <x:c r="L491" s="65" t="n">
        <x:v>0</x:v>
      </x:c>
      <x:c r="M491" s="65" t="str">
        <x:v>Machine-suggested near-miss; human review required.</x:v>
      </x:c>
    </x:row>
    <x:row r="492" ht="42" customHeight="1">
      <x:c r="A492" s="65" t="str">
        <x:v>gold30-025</x:v>
      </x:c>
      <x:c r="B492" s="65" t="str">
        <x:v>dense</x:v>
      </x:c>
      <x:c r="C492" s="88" t="n">
        <x:v>2</x:v>
      </x:c>
      <x:c r="D492" s="65" t="str">
        <x:v>jakarta-seasonal-exposure</x:v>
      </x:c>
      <x:c r="E492" s="65" t="str">
        <x:v>jakarta-seasonal-exposure:structure:0</x:v>
      </x:c>
      <x:c r="F492" s="65" t="str">
        <x:v>p.1</x:v>
      </x:c>
      <x:c r="G492" s="92" t="n">
        <x:v>0.25395954</x:v>
      </x:c>
      <x:c r="H492" s="65" t="str">
        <x:v>Jakarta timing and local exposure context</x:v>
      </x:c>
      <x:c r="I492" s="65" t="str">
        <x:v>Dinas Lingkungan Hidup DKI Jakarta</x:v>
      </x:c>
      <x:c r="J492" s="65" t="str">
        <x:v>Published: 2024-04-06 Status as of: 2026-09-07 (official seasonal notice; not a current forecast) Document type: official_public_guidance Tags: topic=exposure-protection; audience=Jakarta-resident; action=protect-now; pollutant=PM2.5</x:v>
      </x:c>
      <x:c r="K492" s="65" t="str">
        <x:v>https://lingkunganhidup.jakarta.go.id/detail-artikel/masuki-musim-kemarau-pemprov-dki-minta-masyarakat-waspadai-penurunan-kualitas-udara</x:v>
      </x:c>
      <x:c r="L492" s="65" t="n">
        <x:v>0</x:v>
      </x:c>
      <x:c r="M492" s="65" t="str">
        <x:v>Machine-suggested near-miss; human review required.</x:v>
      </x:c>
    </x:row>
    <x:row r="493" ht="42" customHeight="1">
      <x:c r="A493" s="65" t="str">
        <x:v>gold30-025</x:v>
      </x:c>
      <x:c r="B493" s="65" t="str">
        <x:v>dense</x:v>
      </x:c>
      <x:c r="C493" s="88" t="n">
        <x:v>3</x:v>
      </x:c>
      <x:c r="D493" s="65" t="str">
        <x:v>jakarta-historical-city-series</x:v>
      </x:c>
      <x:c r="E493" s="65" t="str">
        <x:v>jakarta-historical-city-series:structure:1</x:v>
      </x:c>
      <x:c r="F493" s="65" t="str">
        <x:v>p.2</x:v>
      </x:c>
      <x:c r="G493" s="92" t="n">
        <x:v>0.24894138</x:v>
      </x:c>
      <x:c r="H493" s="65" t="str">
        <x:v>Jakarta historical PM2.5 and PM10 series: provenance and quality</x:v>
      </x:c>
      <x:c r="I493" s="65" t="str">
        <x:v>Open-Meteo / CAMS Global; deposited dataset by Nitiraj Kulkarni and Jagadish Tawade</x:v>
      </x:c>
      <x:c r="J493"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493" s="65" t="str">
        <x:v>https://zenodo.org/records/18673885</x:v>
      </x:c>
      <x:c r="L493" s="65" t="n">
        <x:v>0</x:v>
      </x:c>
      <x:c r="M493" s="65" t="str">
        <x:v>Machine-suggested near-miss; human review required.</x:v>
      </x:c>
    </x:row>
    <x:row r="494" ht="42" customHeight="1">
      <x:c r="A494" s="65" t="str">
        <x:v>gold30-025</x:v>
      </x:c>
      <x:c r="B494" s="65" t="str">
        <x:v>dense</x:v>
      </x:c>
      <x:c r="C494" s="88" t="n">
        <x:v>4</x:v>
      </x:c>
      <x:c r="D494" s="65" t="str">
        <x:v>jakarta-court-air-quality</x:v>
      </x:c>
      <x:c r="E494" s="65" t="str">
        <x:v>jakarta-court-air-quality:structure:1</x:v>
      </x:c>
      <x:c r="F494" s="65" t="str">
        <x:v>p.2</x:v>
      </x:c>
      <x:c r="G494" s="92" t="n">
        <x:v>0.24550774</x:v>
      </x:c>
      <x:c r="H494" s="65" t="str">
        <x:v>Jakarta air-pollution citizen lawsuit: what the court record establishes</x:v>
      </x:c>
      <x:c r="I494" s="65" t="str">
        <x:v>Mahkamah Agung Republik Indonesia</x:v>
      </x:c>
      <x:c r="J494"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494" s="65" t="str">
        <x:v>https://putusan3.mahkamahagung.go.id/pengadilan/profil/pengadilan/pn-jakarta-pusat.html</x:v>
      </x:c>
      <x:c r="L494" s="65" t="n">
        <x:v>0</x:v>
      </x:c>
      <x:c r="M494" s="65" t="str">
        <x:v>Machine-suggested near-miss; human review required.</x:v>
      </x:c>
    </x:row>
    <x:row r="495" ht="42" customHeight="1">
      <x:c r="A495" s="65" t="str">
        <x:v>gold30-025</x:v>
      </x:c>
      <x:c r="B495" s="65" t="str">
        <x:v>dense</x:v>
      </x:c>
      <x:c r="C495" s="88" t="n">
        <x:v>5</x:v>
      </x:c>
      <x:c r="D495" s="65" t="str">
        <x:v>clean-air-room</x:v>
      </x:c>
      <x:c r="E495" s="65" t="str">
        <x:v>clean-air-room:structure:1</x:v>
      </x:c>
      <x:c r="F495" s="65" t="str">
        <x:v>p.2</x:v>
      </x:c>
      <x:c r="G495" s="92" t="n">
        <x:v>0.24306423</x:v>
      </x:c>
      <x:c r="H495" s="65" t="str">
        <x:v>Indoor filtration and a clean-air room</x:v>
      </x:c>
      <x:c r="I495" s="65" t="str">
        <x:v>United States Environmental Protection Agency</x:v>
      </x:c>
      <x:c r="J495"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495" s="65" t="str">
        <x:v>https://www.epa.gov/indoor-air-quality-iaq/guide-air-cleaners-home</x:v>
      </x:c>
      <x:c r="L495" s="65" t="n">
        <x:v>0</x:v>
      </x:c>
      <x:c r="M495" s="65" t="str">
        <x:v>Machine-suggested near-miss; human review required.</x:v>
      </x:c>
    </x:row>
    <x:row r="496" ht="42" customHeight="1">
      <x:c r="A496" s="65" t="str">
        <x:v>gold30-025</x:v>
      </x:c>
      <x:c r="B496" s="65" t="str">
        <x:v>hybrid</x:v>
      </x:c>
      <x:c r="C496" s="88" t="n">
        <x:v>1</x:v>
      </x:c>
      <x:c r="D496" s="65" t="str">
        <x:v>clean-air-room</x:v>
      </x:c>
      <x:c r="E496" s="65" t="str">
        <x:v>clean-air-room:structure:1</x:v>
      </x:c>
      <x:c r="F496" s="65" t="str">
        <x:v>p.2</x:v>
      </x:c>
      <x:c r="G496" s="92" t="n">
        <x:v>0.03208575</x:v>
      </x:c>
      <x:c r="H496" s="65" t="str">
        <x:v>Indoor filtration and a clean-air room</x:v>
      </x:c>
      <x:c r="I496" s="65" t="str">
        <x:v>United States Environmental Protection Agency</x:v>
      </x:c>
      <x:c r="J496"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496" s="65" t="str">
        <x:v>https://www.epa.gov/indoor-air-quality-iaq/guide-air-cleaners-home</x:v>
      </x:c>
      <x:c r="L496" s="65" t="n">
        <x:v>0</x:v>
      </x:c>
      <x:c r="M496" s="65" t="str">
        <x:v>Machine-suggested near-miss; human review required.</x:v>
      </x:c>
    </x:row>
    <x:row r="497" ht="42" customHeight="1">
      <x:c r="A497" s="65" t="str">
        <x:v>gold30-025</x:v>
      </x:c>
      <x:c r="B497" s="65" t="str">
        <x:v>hybrid</x:v>
      </x:c>
      <x:c r="C497" s="88" t="n">
        <x:v>2</x:v>
      </x:c>
      <x:c r="D497" s="65" t="str">
        <x:v>jakarta-historical-city-series</x:v>
      </x:c>
      <x:c r="E497" s="65" t="str">
        <x:v>jakarta-historical-city-series:structure:1</x:v>
      </x:c>
      <x:c r="F497" s="65" t="str">
        <x:v>p.2</x:v>
      </x:c>
      <x:c r="G497" s="92" t="n">
        <x:v>0.03206349</x:v>
      </x:c>
      <x:c r="H497" s="65" t="str">
        <x:v>Jakarta historical PM2.5 and PM10 series: provenance and quality</x:v>
      </x:c>
      <x:c r="I497" s="65" t="str">
        <x:v>Open-Meteo / CAMS Global; deposited dataset by Nitiraj Kulkarni and Jagadish Tawade</x:v>
      </x:c>
      <x:c r="J497"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497" s="65" t="str">
        <x:v>https://zenodo.org/records/18673885</x:v>
      </x:c>
      <x:c r="L497" s="65" t="n">
        <x:v>0</x:v>
      </x:c>
      <x:c r="M497" s="65" t="str">
        <x:v>Machine-suggested near-miss; human review required.</x:v>
      </x:c>
    </x:row>
    <x:row r="498" ht="42" customHeight="1">
      <x:c r="A498" s="65" t="str">
        <x:v>gold30-025</x:v>
      </x:c>
      <x:c r="B498" s="65" t="str">
        <x:v>hybrid</x:v>
      </x:c>
      <x:c r="C498" s="88" t="n">
        <x:v>3</x:v>
      </x:c>
      <x:c r="D498" s="65" t="str">
        <x:v>jakarta-policy-implementation</x:v>
      </x:c>
      <x:c r="E498" s="65" t="str">
        <x:v>jakarta-policy-implementation:structure:2</x:v>
      </x:c>
      <x:c r="F498" s="65" t="str">
        <x:v>p.3</x:v>
      </x:c>
      <x:c r="G498" s="92" t="n">
        <x:v>0.03158358</x:v>
      </x:c>
      <x:c r="H498" s="65" t="str">
        <x:v>Why rules can coexist with poor air: implementation evidence</x:v>
      </x:c>
      <x:c r="I498" s="65" t="str">
        <x:v>Pemerintah Provinsi DKI Jakarta; Dinas Lingkungan Hidup DKI Jakarta; Mahkamah Agung</x:v>
      </x:c>
      <x:c r="J498"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498" s="65" t="str">
        <x:v>https://www.jakarta.go.id/siaran-pers/4802-SP-HMS-06-2024</x:v>
      </x:c>
      <x:c r="L498" s="65" t="n">
        <x:v>0</x:v>
      </x:c>
      <x:c r="M498" s="65" t="str">
        <x:v>Machine-suggested near-miss; human review required.</x:v>
      </x:c>
    </x:row>
    <x:row r="499" ht="42" customHeight="1">
      <x:c r="A499" s="65" t="str">
        <x:v>gold30-025</x:v>
      </x:c>
      <x:c r="B499" s="65" t="str">
        <x:v>hybrid</x:v>
      </x:c>
      <x:c r="C499" s="88" t="n">
        <x:v>4</x:v>
      </x:c>
      <x:c r="D499" s="65" t="str">
        <x:v>ma-jakarta-air-lawsuit-record</x:v>
      </x:c>
      <x:c r="E499" s="65" t="str">
        <x:v>ma-jakarta-air-lawsuit-record:structure:0</x:v>
      </x:c>
      <x:c r="F499" s="65" t="str">
        <x:v>p.1</x:v>
      </x:c>
      <x:c r="G499" s="92" t="n">
        <x:v>0.03121407</x:v>
      </x:c>
      <x:c r="H499" s="65" t="str">
        <x:v>Mahkamah Agung record — Jakarta air-pollution citizen lawsuit</x:v>
      </x:c>
      <x:c r="I499" s="65" t="str">
        <x:v>Mahkamah Agung Republik Indonesia</x:v>
      </x:c>
      <x:c r="J499"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499" s="65" t="str">
        <x:v>https://putusan3.mahkamahagung.go.id/pengadilan/profil/pengadilan/pn-jakarta-pusat.html</x:v>
      </x:c>
      <x:c r="L499" s="65" t="n">
        <x:v>0</x:v>
      </x:c>
      <x:c r="M499" s="65" t="str">
        <x:v>Machine-suggested near-miss; human review required.</x:v>
      </x:c>
    </x:row>
    <x:row r="500" ht="42" customHeight="1">
      <x:c r="A500" s="65" t="str">
        <x:v>gold30-025</x:v>
      </x:c>
      <x:c r="B500" s="65" t="str">
        <x:v>hybrid</x:v>
      </x:c>
      <x:c r="C500" s="88" t="n">
        <x:v>5</x:v>
      </x:c>
      <x:c r="D500" s="65" t="str">
        <x:v>jakarta-court-air-quality</x:v>
      </x:c>
      <x:c r="E500" s="65" t="str">
        <x:v>jakarta-court-air-quality:structure:1</x:v>
      </x:c>
      <x:c r="F500" s="65" t="str">
        <x:v>p.2</x:v>
      </x:c>
      <x:c r="G500" s="92" t="n">
        <x:v>0.03086287</x:v>
      </x:c>
      <x:c r="H500" s="65" t="str">
        <x:v>Jakarta air-pollution citizen lawsuit: what the court record establishes</x:v>
      </x:c>
      <x:c r="I500" s="65" t="str">
        <x:v>Mahkamah Agung Republik Indonesia</x:v>
      </x:c>
      <x:c r="J500"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500" s="65" t="str">
        <x:v>https://putusan3.mahkamahagung.go.id/pengadilan/profil/pengadilan/pn-jakarta-pusat.html</x:v>
      </x:c>
      <x:c r="L500" s="65" t="n">
        <x:v>0</x:v>
      </x:c>
      <x:c r="M500" s="65" t="str">
        <x:v>Machine-suggested near-miss; human review required.</x:v>
      </x:c>
    </x:row>
    <x:row r="501" ht="42" customHeight="1">
      <x:c r="A501" s="65" t="str">
        <x:v>gold30-025</x:v>
      </x:c>
      <x:c r="B501" s="65" t="str">
        <x:v>hybrid_rerank</x:v>
      </x:c>
      <x:c r="C501" s="88" t="n">
        <x:v>1</x:v>
      </x:c>
      <x:c r="D501" s="65" t="str">
        <x:v>clean-air-room</x:v>
      </x:c>
      <x:c r="E501" s="65" t="str">
        <x:v>clean-air-room:structure:1</x:v>
      </x:c>
      <x:c r="F501" s="65" t="str">
        <x:v>p.2</x:v>
      </x:c>
      <x:c r="G501" s="92" t="n">
        <x:v>0.27885649</x:v>
      </x:c>
      <x:c r="H501" s="65" t="str">
        <x:v>Indoor filtration and a clean-air room</x:v>
      </x:c>
      <x:c r="I501" s="65" t="str">
        <x:v>United States Environmental Protection Agency</x:v>
      </x:c>
      <x:c r="J501"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501" s="65" t="str">
        <x:v>https://www.epa.gov/indoor-air-quality-iaq/guide-air-cleaners-home</x:v>
      </x:c>
      <x:c r="L501" s="65" t="n">
        <x:v>0</x:v>
      </x:c>
      <x:c r="M501" s="65" t="str">
        <x:v>Machine-suggested near-miss; human review required.</x:v>
      </x:c>
    </x:row>
    <x:row r="502" ht="42" customHeight="1">
      <x:c r="A502" s="65" t="str">
        <x:v>gold30-025</x:v>
      </x:c>
      <x:c r="B502" s="65" t="str">
        <x:v>hybrid_rerank</x:v>
      </x:c>
      <x:c r="C502" s="88" t="n">
        <x:v>2</x:v>
      </x:c>
      <x:c r="D502" s="65" t="str">
        <x:v>jakarta-policy-implementation</x:v>
      </x:c>
      <x:c r="E502" s="65" t="str">
        <x:v>jakarta-policy-implementation:structure:2</x:v>
      </x:c>
      <x:c r="F502" s="65" t="str">
        <x:v>p.3</x:v>
      </x:c>
      <x:c r="G502" s="92" t="n">
        <x:v>0.27870584</x:v>
      </x:c>
      <x:c r="H502" s="65" t="str">
        <x:v>Why rules can coexist with poor air: implementation evidence</x:v>
      </x:c>
      <x:c r="I502" s="65" t="str">
        <x:v>Pemerintah Provinsi DKI Jakarta; Dinas Lingkungan Hidup DKI Jakarta; Mahkamah Agung</x:v>
      </x:c>
      <x:c r="J502"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502" s="65" t="str">
        <x:v>https://www.jakarta.go.id/siaran-pers/4802-SP-HMS-06-2024</x:v>
      </x:c>
      <x:c r="L502" s="65" t="n">
        <x:v>0</x:v>
      </x:c>
      <x:c r="M502" s="65" t="str">
        <x:v>Machine-suggested near-miss; human review required.</x:v>
      </x:c>
    </x:row>
    <x:row r="503" ht="42" customHeight="1">
      <x:c r="A503" s="65" t="str">
        <x:v>gold30-025</x:v>
      </x:c>
      <x:c r="B503" s="65" t="str">
        <x:v>hybrid_rerank</x:v>
      </x:c>
      <x:c r="C503" s="88" t="n">
        <x:v>3</x:v>
      </x:c>
      <x:c r="D503" s="65" t="str">
        <x:v>jakarta-historical-city-series</x:v>
      </x:c>
      <x:c r="E503" s="65" t="str">
        <x:v>jakarta-historical-city-series:structure:1</x:v>
      </x:c>
      <x:c r="F503" s="65" t="str">
        <x:v>p.2</x:v>
      </x:c>
      <x:c r="G503" s="92" t="n">
        <x:v>0.22500366</x:v>
      </x:c>
      <x:c r="H503" s="65" t="str">
        <x:v>Jakarta historical PM2.5 and PM10 series: provenance and quality</x:v>
      </x:c>
      <x:c r="I503" s="65" t="str">
        <x:v>Open-Meteo / CAMS Global; deposited dataset by Nitiraj Kulkarni and Jagadish Tawade</x:v>
      </x:c>
      <x:c r="J503" s="65" t="str">
        <x:v>`pm2_5` and `pm10` are separate Open-Meteo Air Quality API variables, both in µg/m³. They are CAMS global model concentrations near the surface at the Jakarta coordinate (-6.2088, 106.8456), not DKI station measurements or ISPU values. The CAMS global product is a roughly 0.4° (…</x:v>
      </x:c>
      <x:c r="K503" s="65" t="str">
        <x:v>https://zenodo.org/records/18673885</x:v>
      </x:c>
      <x:c r="L503" s="65" t="n">
        <x:v>0</x:v>
      </x:c>
      <x:c r="M503" s="65" t="str">
        <x:v>Machine-suggested near-miss; human review required.</x:v>
      </x:c>
    </x:row>
    <x:row r="504" ht="42" customHeight="1">
      <x:c r="A504" s="65" t="str">
        <x:v>gold30-025</x:v>
      </x:c>
      <x:c r="B504" s="65" t="str">
        <x:v>hybrid_rerank</x:v>
      </x:c>
      <x:c r="C504" s="88" t="n">
        <x:v>4</x:v>
      </x:c>
      <x:c r="D504" s="65" t="str">
        <x:v>ma-jakarta-air-lawsuit-record</x:v>
      </x:c>
      <x:c r="E504" s="65" t="str">
        <x:v>ma-jakarta-air-lawsuit-record:structure:0</x:v>
      </x:c>
      <x:c r="F504" s="65" t="str">
        <x:v>p.1</x:v>
      </x:c>
      <x:c r="G504" s="92" t="n">
        <x:v>0.17090268</x:v>
      </x:c>
      <x:c r="H504" s="65" t="str">
        <x:v>Mahkamah Agung record — Jakarta air-pollution citizen lawsuit</x:v>
      </x:c>
      <x:c r="I504" s="65" t="str">
        <x:v>Mahkamah Agung Republik Indonesia</x:v>
      </x:c>
      <x:c r="J504"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504" s="65" t="str">
        <x:v>https://putusan3.mahkamahagung.go.id/pengadilan/profil/pengadilan/pn-jakarta-pusat.html</x:v>
      </x:c>
      <x:c r="L504" s="65" t="n">
        <x:v>0</x:v>
      </x:c>
      <x:c r="M504" s="65" t="str">
        <x:v>Machine-suggested near-miss; human review required.</x:v>
      </x:c>
    </x:row>
    <x:row r="505" ht="42" customHeight="1">
      <x:c r="A505" s="65" t="str">
        <x:v>gold30-025</x:v>
      </x:c>
      <x:c r="B505" s="65" t="str">
        <x:v>hybrid_rerank</x:v>
      </x:c>
      <x:c r="C505" s="88" t="n">
        <x:v>5</x:v>
      </x:c>
      <x:c r="D505" s="65" t="str">
        <x:v>jakarta-court-air-quality</x:v>
      </x:c>
      <x:c r="E505" s="65" t="str">
        <x:v>jakarta-court-air-quality:structure:1</x:v>
      </x:c>
      <x:c r="F505" s="65" t="str">
        <x:v>p.2</x:v>
      </x:c>
      <x:c r="G505" s="92" t="n">
        <x:v>0.17079732</x:v>
      </x:c>
      <x:c r="H505" s="65" t="str">
        <x:v>Jakarta air-pollution citizen lawsuit: what the court record establishes</x:v>
      </x:c>
      <x:c r="I505" s="65" t="str">
        <x:v>Mahkamah Agung Republik Indonesia</x:v>
      </x:c>
      <x:c r="J505"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505" s="65" t="str">
        <x:v>https://putusan3.mahkamahagung.go.id/pengadilan/profil/pengadilan/pn-jakarta-pusat.html</x:v>
      </x:c>
      <x:c r="L505" s="65" t="n">
        <x:v>0</x:v>
      </x:c>
      <x:c r="M505" s="65" t="str">
        <x:v>Machine-suggested near-miss; human review required.</x:v>
      </x:c>
    </x:row>
    <x:row r="506" ht="42" customHeight="1">
      <x:c r="A506" s="65" t="str">
        <x:v>gold30-026</x:v>
      </x:c>
      <x:c r="B506" s="65" t="str">
        <x:v>bm25</x:v>
      </x:c>
      <x:c r="C506" s="88" t="n">
        <x:v>1</x:v>
      </x:c>
      <x:c r="D506" s="65" t="str">
        <x:v>who-aqg-2021-extract</x:v>
      </x:c>
      <x:c r="E506" s="65" t="str">
        <x:v>who-aqg-2021-extract:structure:2</x:v>
      </x:c>
      <x:c r="F506" s="65" t="str">
        <x:v>p.3</x:v>
      </x:c>
      <x:c r="G506" s="92" t="n">
        <x:v>0.21428571</x:v>
      </x:c>
      <x:c r="H506" s="65" t="str">
        <x:v>WHO Global Air Quality Guidelines (2021) — particulate matter targets</x:v>
      </x:c>
      <x:c r="I506" s="65" t="str">
        <x:v>World Health Organization</x:v>
      </x:c>
      <x:c r="J506"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506" s="65" t="str">
        <x:v>https://www.who.int/publications/i/item/9789240034228</x:v>
      </x:c>
      <x:c r="L506" s="65" t="n">
        <x:v>3</x:v>
      </x:c>
      <x:c r="M506" s="65" t="str">
        <x:v>Expected source for this question.</x:v>
      </x:c>
    </x:row>
    <x:row r="507" ht="42" customHeight="1">
      <x:c r="A507" s="65" t="str">
        <x:v>gold30-026</x:v>
      </x:c>
      <x:c r="B507" s="65" t="str">
        <x:v>bm25</x:v>
      </x:c>
      <x:c r="C507" s="88" t="n">
        <x:v>2</x:v>
      </x:c>
      <x:c r="D507" s="65" t="str">
        <x:v>bad-air-day-protection</x:v>
      </x:c>
      <x:c r="E507" s="65" t="str">
        <x:v>bad-air-day-protection:structure:1</x:v>
      </x:c>
      <x:c r="F507" s="65" t="str">
        <x:v>p.2</x:v>
      </x:c>
      <x:c r="G507" s="92" t="n">
        <x:v>0.14285714</x:v>
      </x:c>
      <x:c r="H507" s="65" t="str">
        <x:v>Bad-air-day protection playbook</x:v>
      </x:c>
      <x:c r="I507" s="65" t="str">
        <x:v>World Health Organization, Regional Office for Europe</x:v>
      </x:c>
      <x:c r="J507"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507" s="65" t="str">
        <x:v>https://www.who.int/news-room/questions-and-answers/item/air-pollution-personal-interventions-and-risk-communication</x:v>
      </x:c>
      <x:c r="L507" s="65" t="n">
        <x:v>0</x:v>
      </x:c>
      <x:c r="M507" s="65" t="str">
        <x:v>Machine-suggested near-miss; human review required.</x:v>
      </x:c>
    </x:row>
    <x:row r="508" ht="42" customHeight="1">
      <x:c r="A508" s="65" t="str">
        <x:v>gold30-026</x:v>
      </x:c>
      <x:c r="B508" s="65" t="str">
        <x:v>bm25</x:v>
      </x:c>
      <x:c r="C508" s="88" t="n">
        <x:v>3</x:v>
      </x:c>
      <x:c r="D508" s="65" t="str">
        <x:v>jakarta-causes</x:v>
      </x:c>
      <x:c r="E508" s="65" t="str">
        <x:v>jakarta-causes:structure:0</x:v>
      </x:c>
      <x:c r="F508" s="65" t="str">
        <x:v>p.1</x:v>
      </x:c>
      <x:c r="G508" s="92" t="n">
        <x:v>0.14285714</x:v>
      </x:c>
      <x:c r="H508" s="65" t="str">
        <x:v>What causes Jakarta air pollution</x:v>
      </x:c>
      <x:c r="I508" s="65" t="str">
        <x:v>Dinas Lingkungan Hidup DKI Jakarta / Vital Strategies / ITB</x:v>
      </x:c>
      <x:c r="J508"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508" s="65" t="str">
        <x:v>https://rendahemisi.jakarta.go.id/learn</x:v>
      </x:c>
      <x:c r="L508" s="65" t="n">
        <x:v>0</x:v>
      </x:c>
      <x:c r="M508" s="65" t="str">
        <x:v>Machine-suggested near-miss; human review required.</x:v>
      </x:c>
    </x:row>
    <x:row r="509" ht="42" customHeight="1">
      <x:c r="A509" s="65" t="str">
        <x:v>gold30-026</x:v>
      </x:c>
      <x:c r="B509" s="65" t="str">
        <x:v>bm25</x:v>
      </x:c>
      <x:c r="C509" s="88" t="n">
        <x:v>4</x:v>
      </x:c>
      <x:c r="D509" s="65" t="str">
        <x:v>jakarta-court-air-quality</x:v>
      </x:c>
      <x:c r="E509" s="65" t="str">
        <x:v>jakarta-court-air-quality:structure:1</x:v>
      </x:c>
      <x:c r="F509" s="65" t="str">
        <x:v>p.2</x:v>
      </x:c>
      <x:c r="G509" s="92" t="n">
        <x:v>0.14285714</x:v>
      </x:c>
      <x:c r="H509" s="65" t="str">
        <x:v>Jakarta air-pollution citizen lawsuit: what the court record establishes</x:v>
      </x:c>
      <x:c r="I509" s="65" t="str">
        <x:v>Mahkamah Agung Republik Indonesia</x:v>
      </x:c>
      <x:c r="J509"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509" s="65" t="str">
        <x:v>https://putusan3.mahkamahagung.go.id/pengadilan/profil/pengadilan/pn-jakarta-pusat.html</x:v>
      </x:c>
      <x:c r="L509" s="65" t="n">
        <x:v>0</x:v>
      </x:c>
      <x:c r="M509" s="65" t="str">
        <x:v>Machine-suggested near-miss; human review required.</x:v>
      </x:c>
    </x:row>
    <x:row r="510" ht="42" customHeight="1">
      <x:c r="A510" s="65" t="str">
        <x:v>gold30-026</x:v>
      </x:c>
      <x:c r="B510" s="65" t="str">
        <x:v>bm25</x:v>
      </x:c>
      <x:c r="C510" s="88" t="n">
        <x:v>5</x:v>
      </x:c>
      <x:c r="D510" s="65" t="str">
        <x:v>jakarta-historical-city-series</x:v>
      </x:c>
      <x:c r="E510" s="65" t="str">
        <x:v>jakarta-historical-city-series:structure:2</x:v>
      </x:c>
      <x:c r="F510" s="65" t="str">
        <x:v>p.3</x:v>
      </x:c>
      <x:c r="G510" s="92" t="n">
        <x:v>0.14285714</x:v>
      </x:c>
      <x:c r="H510" s="65" t="str">
        <x:v>Jakarta historical PM2.5 and PM10 series: provenance and quality</x:v>
      </x:c>
      <x:c r="I510" s="65" t="str">
        <x:v>Open-Meteo / CAMS Global; deposited dataset by Nitiraj Kulkarni and Jagadish Tawade</x:v>
      </x:c>
      <x:c r="J510"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510" s="65" t="str">
        <x:v>https://zenodo.org/records/18673885</x:v>
      </x:c>
      <x:c r="L510" s="65" t="n">
        <x:v>0</x:v>
      </x:c>
      <x:c r="M510" s="65" t="str">
        <x:v>Machine-suggested near-miss; human review required.</x:v>
      </x:c>
    </x:row>
    <x:row r="511" ht="42" customHeight="1">
      <x:c r="A511" s="65" t="str">
        <x:v>gold30-026</x:v>
      </x:c>
      <x:c r="B511" s="65" t="str">
        <x:v>dense</x:v>
      </x:c>
      <x:c r="C511" s="88" t="n">
        <x:v>1</x:v>
      </x:c>
      <x:c r="D511" s="65" t="str">
        <x:v>jakarta-seasonal-exposure</x:v>
      </x:c>
      <x:c r="E511" s="65" t="str">
        <x:v>jakarta-seasonal-exposure:structure:0</x:v>
      </x:c>
      <x:c r="F511" s="65" t="str">
        <x:v>p.1</x:v>
      </x:c>
      <x:c r="G511" s="92" t="n">
        <x:v>0.21588209</x:v>
      </x:c>
      <x:c r="H511" s="65" t="str">
        <x:v>Jakarta timing and local exposure context</x:v>
      </x:c>
      <x:c r="I511" s="65" t="str">
        <x:v>Dinas Lingkungan Hidup DKI Jakarta</x:v>
      </x:c>
      <x:c r="J511" s="65" t="str">
        <x:v>Published: 2024-04-06 Status as of: 2026-09-07 (official seasonal notice; not a current forecast) Document type: official_public_guidance Tags: topic=exposure-protection; audience=Jakarta-resident; action=protect-now; pollutant=PM2.5</x:v>
      </x:c>
      <x:c r="K511" s="65" t="str">
        <x:v>https://lingkunganhidup.jakarta.go.id/detail-artikel/masuki-musim-kemarau-pemprov-dki-minta-masyarakat-waspadai-penurunan-kualitas-udara</x:v>
      </x:c>
      <x:c r="L511" s="65" t="n">
        <x:v>0</x:v>
      </x:c>
      <x:c r="M511" s="65" t="str">
        <x:v>Machine-suggested near-miss; human review required.</x:v>
      </x:c>
    </x:row>
    <x:row r="512" ht="42" customHeight="1">
      <x:c r="A512" s="65" t="str">
        <x:v>gold30-026</x:v>
      </x:c>
      <x:c r="B512" s="65" t="str">
        <x:v>dense</x:v>
      </x:c>
      <x:c r="C512" s="88" t="n">
        <x:v>2</x:v>
      </x:c>
      <x:c r="D512" s="65" t="str">
        <x:v>jakarta-court-air-quality</x:v>
      </x:c>
      <x:c r="E512" s="65" t="str">
        <x:v>jakarta-court-air-quality:structure:1</x:v>
      </x:c>
      <x:c r="F512" s="65" t="str">
        <x:v>p.2</x:v>
      </x:c>
      <x:c r="G512" s="92" t="n">
        <x:v>0.20457848</x:v>
      </x:c>
      <x:c r="H512" s="65" t="str">
        <x:v>Jakarta air-pollution citizen lawsuit: what the court record establishes</x:v>
      </x:c>
      <x:c r="I512" s="65" t="str">
        <x:v>Mahkamah Agung Republik Indonesia</x:v>
      </x:c>
      <x:c r="J512"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512" s="65" t="str">
        <x:v>https://putusan3.mahkamahagung.go.id/pengadilan/profil/pengadilan/pn-jakarta-pusat.html</x:v>
      </x:c>
      <x:c r="L512" s="65" t="n">
        <x:v>0</x:v>
      </x:c>
      <x:c r="M512" s="65" t="str">
        <x:v>Machine-suggested near-miss; human review required.</x:v>
      </x:c>
    </x:row>
    <x:row r="513" ht="42" customHeight="1">
      <x:c r="A513" s="65" t="str">
        <x:v>gold30-026</x:v>
      </x:c>
      <x:c r="B513" s="65" t="str">
        <x:v>dense</x:v>
      </x:c>
      <x:c r="C513" s="88" t="n">
        <x:v>3</x:v>
      </x:c>
      <x:c r="D513" s="65" t="str">
        <x:v>jakarta-monitoring</x:v>
      </x:c>
      <x:c r="E513" s="65" t="str">
        <x:v>jakarta-monitoring:structure:0</x:v>
      </x:c>
      <x:c r="F513" s="65" t="str">
        <x:v>p.1</x:v>
      </x:c>
      <x:c r="G513" s="92" t="n">
        <x:v>0.20393116</x:v>
      </x:c>
      <x:c r="H513" s="65" t="str">
        <x:v>Jakarta monitoring stations</x:v>
      </x:c>
      <x:c r="I513" s="65" t="str">
        <x:v>Dinas Lingkungan Hidup Provinsi DKI Jakarta</x:v>
      </x:c>
      <x:c r="J513" s="65" t="str">
        <x:v>Jakarta's official monitoring portal publishes station locations, pollutant parameters, current readings, and timestamps. A station observation describes that station and observation time; it should not automatically be generalized to all of Jakarta.</x:v>
      </x:c>
      <x:c r="K513" s="65" t="str">
        <x:v>https://udara.jakarta.go.id/lokasi-spku</x:v>
      </x:c>
      <x:c r="L513" s="65" t="n">
        <x:v>3</x:v>
      </x:c>
      <x:c r="M513" s="65" t="str">
        <x:v>Expected source for this question.</x:v>
      </x:c>
    </x:row>
    <x:row r="514" ht="42" customHeight="1">
      <x:c r="A514" s="65" t="str">
        <x:v>gold30-026</x:v>
      </x:c>
      <x:c r="B514" s="65" t="str">
        <x:v>dense</x:v>
      </x:c>
      <x:c r="C514" s="88" t="n">
        <x:v>4</x:v>
      </x:c>
      <x:c r="D514" s="65" t="str">
        <x:v>ma-jakarta-air-lawsuit-record</x:v>
      </x:c>
      <x:c r="E514" s="65" t="str">
        <x:v>ma-jakarta-air-lawsuit-record:structure:0</x:v>
      </x:c>
      <x:c r="F514" s="65" t="str">
        <x:v>p.1</x:v>
      </x:c>
      <x:c r="G514" s="92" t="n">
        <x:v>0.16595252</x:v>
      </x:c>
      <x:c r="H514" s="65" t="str">
        <x:v>Mahkamah Agung record — Jakarta air-pollution citizen lawsuit</x:v>
      </x:c>
      <x:c r="I514" s="65" t="str">
        <x:v>Mahkamah Agung Republik Indonesia</x:v>
      </x:c>
      <x:c r="J514" s="65" t="str">
        <x:v>The Mahkamah Agung court portal is the authoritative starting point for locating Indonesian court records. The Jakarta air-pollution citizen lawsuit concerns duties across Jakarta and the surrounding regional authorities; a court-profile URL alone is not the complete judgment.</x:v>
      </x:c>
      <x:c r="K514" s="65" t="str">
        <x:v>https://putusan3.mahkamahagung.go.id/pengadilan/profil/pengadilan/pn-jakarta-pusat.html</x:v>
      </x:c>
      <x:c r="L514" s="65" t="n">
        <x:v>0</x:v>
      </x:c>
      <x:c r="M514" s="65" t="str">
        <x:v>Machine-suggested near-miss; human review required.</x:v>
      </x:c>
    </x:row>
    <x:row r="515" ht="42" customHeight="1">
      <x:c r="A515" s="65" t="str">
        <x:v>gold30-026</x:v>
      </x:c>
      <x:c r="B515" s="65" t="str">
        <x:v>dense</x:v>
      </x:c>
      <x:c r="C515" s="88" t="n">
        <x:v>5</x:v>
      </x:c>
      <x:c r="D515" s="65" t="str">
        <x:v>jakarta-historical-city-series</x:v>
      </x:c>
      <x:c r="E515" s="65" t="str">
        <x:v>jakarta-historical-city-series:structure:2</x:v>
      </x:c>
      <x:c r="F515" s="65" t="str">
        <x:v>p.3</x:v>
      </x:c>
      <x:c r="G515" s="92" t="n">
        <x:v>0.16249256</x:v>
      </x:c>
      <x:c r="H515" s="65" t="str">
        <x:v>Jakarta historical PM2.5 and PM10 series: provenance and quality</x:v>
      </x:c>
      <x:c r="I515" s="65" t="str">
        <x:v>Open-Meteo / CAMS Global; deposited dataset by Nitiraj Kulkarni and Jagadish Tawade</x:v>
      </x:c>
      <x:c r="J515"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515" s="65" t="str">
        <x:v>https://zenodo.org/records/18673885</x:v>
      </x:c>
      <x:c r="L515" s="65" t="n">
        <x:v>0</x:v>
      </x:c>
      <x:c r="M515" s="65" t="str">
        <x:v>Machine-suggested near-miss; human review required.</x:v>
      </x:c>
    </x:row>
    <x:row r="516" ht="42" customHeight="1">
      <x:c r="A516" s="65" t="str">
        <x:v>gold30-026</x:v>
      </x:c>
      <x:c r="B516" s="65" t="str">
        <x:v>hybrid</x:v>
      </x:c>
      <x:c r="C516" s="88" t="n">
        <x:v>1</x:v>
      </x:c>
      <x:c r="D516" s="65" t="str">
        <x:v>jakarta-court-air-quality</x:v>
      </x:c>
      <x:c r="E516" s="65" t="str">
        <x:v>jakarta-court-air-quality:structure:1</x:v>
      </x:c>
      <x:c r="F516" s="65" t="str">
        <x:v>p.2</x:v>
      </x:c>
      <x:c r="G516" s="92" t="n">
        <x:v>0.03207661</x:v>
      </x:c>
      <x:c r="H516" s="65" t="str">
        <x:v>Jakarta air-pollution citizen lawsuit: what the court record establishes</x:v>
      </x:c>
      <x:c r="I516" s="65" t="str">
        <x:v>Mahkamah Agung Republik Indonesia</x:v>
      </x:c>
      <x:c r="J516"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516" s="65" t="str">
        <x:v>https://putusan3.mahkamahagung.go.id/pengadilan/profil/pengadilan/pn-jakarta-pusat.html</x:v>
      </x:c>
      <x:c r="L516" s="65" t="n">
        <x:v>0</x:v>
      </x:c>
      <x:c r="M516" s="65" t="str">
        <x:v>Machine-suggested near-miss; human review required.</x:v>
      </x:c>
    </x:row>
    <x:row r="517" ht="42" customHeight="1">
      <x:c r="A517" s="65" t="str">
        <x:v>gold30-026</x:v>
      </x:c>
      <x:c r="B517" s="65" t="str">
        <x:v>hybrid</x:v>
      </x:c>
      <x:c r="C517" s="88" t="n">
        <x:v>2</x:v>
      </x:c>
      <x:c r="D517" s="65" t="str">
        <x:v>jakarta-seasonal-exposure</x:v>
      </x:c>
      <x:c r="E517" s="65" t="str">
        <x:v>jakarta-seasonal-exposure:structure:0</x:v>
      </x:c>
      <x:c r="F517" s="65" t="str">
        <x:v>p.1</x:v>
      </x:c>
      <x:c r="G517" s="92" t="n">
        <x:v>0.03187283</x:v>
      </x:c>
      <x:c r="H517" s="65" t="str">
        <x:v>Jakarta timing and local exposure context</x:v>
      </x:c>
      <x:c r="I517" s="65" t="str">
        <x:v>Dinas Lingkungan Hidup DKI Jakarta</x:v>
      </x:c>
      <x:c r="J517" s="65" t="str">
        <x:v>Published: 2024-04-06 Status as of: 2026-09-07 (official seasonal notice; not a current forecast) Document type: official_public_guidance Tags: topic=exposure-protection; audience=Jakarta-resident; action=protect-now; pollutant=PM2.5</x:v>
      </x:c>
      <x:c r="K517" s="65" t="str">
        <x:v>https://lingkunganhidup.jakarta.go.id/detail-artikel/masuki-musim-kemarau-pemprov-dki-minta-masyarakat-waspadai-penurunan-kualitas-udara</x:v>
      </x:c>
      <x:c r="L517" s="65" t="n">
        <x:v>0</x:v>
      </x:c>
      <x:c r="M517" s="65" t="str">
        <x:v>Machine-suggested near-miss; human review required.</x:v>
      </x:c>
    </x:row>
    <x:row r="518" ht="42" customHeight="1">
      <x:c r="A518" s="65" t="str">
        <x:v>gold30-026</x:v>
      </x:c>
      <x:c r="B518" s="65" t="str">
        <x:v>hybrid</x:v>
      </x:c>
      <x:c r="C518" s="88" t="n">
        <x:v>3</x:v>
      </x:c>
      <x:c r="D518" s="65" t="str">
        <x:v>jakarta-historical-city-series</x:v>
      </x:c>
      <x:c r="E518" s="65" t="str">
        <x:v>jakarta-historical-city-series:structure:2</x:v>
      </x:c>
      <x:c r="F518" s="65" t="str">
        <x:v>p.3</x:v>
      </x:c>
      <x:c r="G518" s="92" t="n">
        <x:v>0.03107692</x:v>
      </x:c>
      <x:c r="H518" s="65" t="str">
        <x:v>Jakarta historical PM2.5 and PM10 series: provenance and quality</x:v>
      </x:c>
      <x:c r="I518" s="65" t="str">
        <x:v>Open-Meteo / CAMS Global; deposited dataset by Nitiraj Kulkarni and Jagadish Tawade</x:v>
      </x:c>
      <x:c r="J518"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518" s="65" t="str">
        <x:v>https://zenodo.org/records/18673885</x:v>
      </x:c>
      <x:c r="L518" s="65" t="n">
        <x:v>0</x:v>
      </x:c>
      <x:c r="M518" s="65" t="str">
        <x:v>Machine-suggested near-miss; human review required.</x:v>
      </x:c>
    </x:row>
    <x:row r="519" ht="42" customHeight="1">
      <x:c r="A519" s="65" t="str">
        <x:v>gold30-026</x:v>
      </x:c>
      <x:c r="B519" s="65" t="str">
        <x:v>hybrid</x:v>
      </x:c>
      <x:c r="C519" s="88" t="n">
        <x:v>4</x:v>
      </x:c>
      <x:c r="D519" s="65" t="str">
        <x:v>jakarta-causes</x:v>
      </x:c>
      <x:c r="E519" s="65" t="str">
        <x:v>jakarta-causes:structure:0</x:v>
      </x:c>
      <x:c r="F519" s="65" t="str">
        <x:v>p.1</x:v>
      </x:c>
      <x:c r="G519" s="92" t="n">
        <x:v>0.03044444</x:v>
      </x:c>
      <x:c r="H519" s="65" t="str">
        <x:v>What causes Jakarta air pollution</x:v>
      </x:c>
      <x:c r="I519" s="65" t="str">
        <x:v>Dinas Lingkungan Hidup DKI Jakarta / Vital Strategies / ITB</x:v>
      </x:c>
      <x:c r="J519"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519" s="65" t="str">
        <x:v>https://rendahemisi.jakarta.go.id/learn</x:v>
      </x:c>
      <x:c r="L519" s="65" t="n">
        <x:v>0</x:v>
      </x:c>
      <x:c r="M519" s="65" t="str">
        <x:v>Machine-suggested near-miss; human review required.</x:v>
      </x:c>
    </x:row>
    <x:row r="520" ht="42" customHeight="1">
      <x:c r="A520" s="65" t="str">
        <x:v>gold30-026</x:v>
      </x:c>
      <x:c r="B520" s="65" t="str">
        <x:v>hybrid</x:v>
      </x:c>
      <x:c r="C520" s="88" t="n">
        <x:v>5</x:v>
      </x:c>
      <x:c r="D520" s="65" t="str">
        <x:v>pergub-66-2020-vehicle-testing</x:v>
      </x:c>
      <x:c r="E520" s="65" t="str">
        <x:v>pergub-66-2020-vehicle-testing:structure:0</x:v>
      </x:c>
      <x:c r="F520" s="65" t="str">
        <x:v>p.1</x:v>
      </x:c>
      <x:c r="G520" s="92" t="n">
        <x:v>0.02970798</x:v>
      </x:c>
      <x:c r="H520" s="65" t="str">
        <x:v>Pergub DKI Jakarta No. 66 Tahun 2020 — motor-vehicle emission testing</x:v>
      </x:c>
      <x:c r="I520" s="65" t="str">
        <x:v>Pemerintah Provinsi DKI Jakarta / Database Peraturan BPK</x:v>
      </x:c>
      <x:c r="J520" s="65" t="str">
        <x:v>Peraturan Gubernur Provinsi DKI Jakarta Nomor 66 Tahun 2020 is titled Uji Emisi Gas Buang Kendaraan Bermotor. The BPK record gives the adoption date as 22 July 2020, promulgation date as 24 July 2020, and effective date as 24 December 2020.</x:v>
      </x:c>
      <x:c r="K520" s="65" t="str">
        <x:v>https://peraturan.bpk.go.id/Details/153923/pergub-prov-dki-jakarta-no-66-tahun-2020</x:v>
      </x:c>
      <x:c r="L520" s="65" t="n">
        <x:v>0</x:v>
      </x:c>
      <x:c r="M520" s="65" t="str">
        <x:v>Machine-suggested near-miss; human review required.</x:v>
      </x:c>
    </x:row>
    <x:row r="521" ht="42" customHeight="1">
      <x:c r="A521" s="65" t="str">
        <x:v>gold30-026</x:v>
      </x:c>
      <x:c r="B521" s="65" t="str">
        <x:v>hybrid_rerank</x:v>
      </x:c>
      <x:c r="C521" s="88" t="n">
        <x:v>1</x:v>
      </x:c>
      <x:c r="D521" s="65" t="str">
        <x:v>who-aqg-2021-extract</x:v>
      </x:c>
      <x:c r="E521" s="65" t="str">
        <x:v>who-aqg-2021-extract:structure:2</x:v>
      </x:c>
      <x:c r="F521" s="65" t="str">
        <x:v>p.3</x:v>
      </x:c>
      <x:c r="G521" s="92" t="n">
        <x:v>0.15491803</x:v>
      </x:c>
      <x:c r="H521" s="65" t="str">
        <x:v>WHO Global Air Quality Guidelines (2021) — particulate matter targets</x:v>
      </x:c>
      <x:c r="I521" s="65" t="str">
        <x:v>World Health Organization</x:v>
      </x:c>
      <x:c r="J521" s="65" t="str">
        <x:v>The WHO table reports a PM2.5 annual guideline level of 5 micrograms per cubic metre and a 24-hour guideline level of 15 micrograms per cubic metre. The 24-hour recommendation is defined at the 99th percentile, equivalent to approximately three to four exceedance days per year.</x:v>
      </x:c>
      <x:c r="K521" s="65" t="str">
        <x:v>https://www.who.int/publications/i/item/9789240034228</x:v>
      </x:c>
      <x:c r="L521" s="65" t="n">
        <x:v>3</x:v>
      </x:c>
      <x:c r="M521" s="65" t="str">
        <x:v>Expected source for this question.</x:v>
      </x:c>
    </x:row>
    <x:row r="522" ht="42" customHeight="1">
      <x:c r="A522" s="65" t="str">
        <x:v>gold30-026</x:v>
      </x:c>
      <x:c r="B522" s="65" t="str">
        <x:v>hybrid_rerank</x:v>
      </x:c>
      <x:c r="C522" s="88" t="n">
        <x:v>2</x:v>
      </x:c>
      <x:c r="D522" s="65" t="str">
        <x:v>jakarta-court-air-quality</x:v>
      </x:c>
      <x:c r="E522" s="65" t="str">
        <x:v>jakarta-court-air-quality:structure:1</x:v>
      </x:c>
      <x:c r="F522" s="65" t="str">
        <x:v>p.2</x:v>
      </x:c>
      <x:c r="G522" s="92" t="n">
        <x:v>0.10962298</x:v>
      </x:c>
      <x:c r="H522" s="65" t="str">
        <x:v>Jakarta air-pollution citizen lawsuit: what the court record establishes</x:v>
      </x:c>
      <x:c r="I522" s="65" t="str">
        <x:v>Mahkamah Agung Republik Indonesia</x:v>
      </x:c>
      <x:c r="J522"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522" s="65" t="str">
        <x:v>https://putusan3.mahkamahagung.go.id/pengadilan/profil/pengadilan/pn-jakarta-pusat.html</x:v>
      </x:c>
      <x:c r="L522" s="65" t="n">
        <x:v>0</x:v>
      </x:c>
      <x:c r="M522" s="65" t="str">
        <x:v>Machine-suggested near-miss; human review required.</x:v>
      </x:c>
    </x:row>
    <x:row r="523" ht="42" customHeight="1">
      <x:c r="A523" s="65" t="str">
        <x:v>gold30-026</x:v>
      </x:c>
      <x:c r="B523" s="65" t="str">
        <x:v>hybrid_rerank</x:v>
      </x:c>
      <x:c r="C523" s="88" t="n">
        <x:v>3</x:v>
      </x:c>
      <x:c r="D523" s="65" t="str">
        <x:v>jakarta-seasonal-exposure</x:v>
      </x:c>
      <x:c r="E523" s="65" t="str">
        <x:v>jakarta-seasonal-exposure:structure:0</x:v>
      </x:c>
      <x:c r="F523" s="65" t="str">
        <x:v>p.1</x:v>
      </x:c>
      <x:c r="G523" s="92" t="n">
        <x:v>0.10956185</x:v>
      </x:c>
      <x:c r="H523" s="65" t="str">
        <x:v>Jakarta timing and local exposure context</x:v>
      </x:c>
      <x:c r="I523" s="65" t="str">
        <x:v>Dinas Lingkungan Hidup DKI Jakarta</x:v>
      </x:c>
      <x:c r="J523" s="65" t="str">
        <x:v>Published: 2024-04-06 Status as of: 2026-09-07 (official seasonal notice; not a current forecast) Document type: official_public_guidance Tags: topic=exposure-protection; audience=Jakarta-resident; action=protect-now; pollutant=PM2.5</x:v>
      </x:c>
      <x:c r="K523" s="65" t="str">
        <x:v>https://lingkunganhidup.jakarta.go.id/detail-artikel/masuki-musim-kemarau-pemprov-dki-minta-masyarakat-waspadai-penurunan-kualitas-udara</x:v>
      </x:c>
      <x:c r="L523" s="65" t="n">
        <x:v>0</x:v>
      </x:c>
      <x:c r="M523" s="65" t="str">
        <x:v>Machine-suggested near-miss; human review required.</x:v>
      </x:c>
    </x:row>
    <x:row r="524" ht="42" customHeight="1">
      <x:c r="A524" s="65" t="str">
        <x:v>gold30-026</x:v>
      </x:c>
      <x:c r="B524" s="65" t="str">
        <x:v>hybrid_rerank</x:v>
      </x:c>
      <x:c r="C524" s="88" t="n">
        <x:v>4</x:v>
      </x:c>
      <x:c r="D524" s="65" t="str">
        <x:v>jakarta-historical-city-series</x:v>
      </x:c>
      <x:c r="E524" s="65" t="str">
        <x:v>jakarta-historical-city-series:structure:2</x:v>
      </x:c>
      <x:c r="F524" s="65" t="str">
        <x:v>p.3</x:v>
      </x:c>
      <x:c r="G524" s="92" t="n">
        <x:v>0.10932308</x:v>
      </x:c>
      <x:c r="H524" s="65" t="str">
        <x:v>Jakarta historical PM2.5 and PM10 series: provenance and quality</x:v>
      </x:c>
      <x:c r="I524" s="65" t="str">
        <x:v>Open-Meteo / CAMS Global; deposited dataset by Nitiraj Kulkarni and Jagadish Tawade</x:v>
      </x:c>
      <x:c r="J524"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524" s="65" t="str">
        <x:v>https://zenodo.org/records/18673885</x:v>
      </x:c>
      <x:c r="L524" s="65" t="n">
        <x:v>0</x:v>
      </x:c>
      <x:c r="M524" s="65" t="str">
        <x:v>Machine-suggested near-miss; human review required.</x:v>
      </x:c>
    </x:row>
    <x:row r="525" ht="42" customHeight="1">
      <x:c r="A525" s="65" t="str">
        <x:v>gold30-026</x:v>
      </x:c>
      <x:c r="B525" s="65" t="str">
        <x:v>hybrid_rerank</x:v>
      </x:c>
      <x:c r="C525" s="88" t="n">
        <x:v>5</x:v>
      </x:c>
      <x:c r="D525" s="65" t="str">
        <x:v>jakarta-causes</x:v>
      </x:c>
      <x:c r="E525" s="65" t="str">
        <x:v>jakarta-causes:structure:0</x:v>
      </x:c>
      <x:c r="F525" s="65" t="str">
        <x:v>p.1</x:v>
      </x:c>
      <x:c r="G525" s="92" t="n">
        <x:v>0.10913333</x:v>
      </x:c>
      <x:c r="H525" s="65" t="str">
        <x:v>What causes Jakarta air pollution</x:v>
      </x:c>
      <x:c r="I525" s="65" t="str">
        <x:v>Dinas Lingkungan Hidup DKI Jakarta / Vital Strategies / ITB</x:v>
      </x:c>
      <x:c r="J525"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525" s="65" t="str">
        <x:v>https://rendahemisi.jakarta.go.id/learn</x:v>
      </x:c>
      <x:c r="L525" s="65" t="n">
        <x:v>0</x:v>
      </x:c>
      <x:c r="M525" s="65" t="str">
        <x:v>Machine-suggested near-miss; human review required.</x:v>
      </x:c>
    </x:row>
    <x:row r="526" ht="42" customHeight="1">
      <x:c r="A526" s="65" t="str">
        <x:v>gold30-027</x:v>
      </x:c>
      <x:c r="B526" s="65" t="str">
        <x:v>bm25</x:v>
      </x:c>
      <x:c r="C526" s="88" t="n">
        <x:v>1</x:v>
      </x:c>
      <x:c r="D526" s="65" t="str">
        <x:v>jakarta-policy-implementation</x:v>
      </x:c>
      <x:c r="E526" s="65" t="str">
        <x:v>jakarta-policy-implementation:structure:4</x:v>
      </x:c>
      <x:c r="F526" s="65" t="str">
        <x:v>p.5</x:v>
      </x:c>
      <x:c r="G526" s="92" t="n">
        <x:v>0.5</x:v>
      </x:c>
      <x:c r="H526" s="65" t="str">
        <x:v>Why rules can coexist with poor air: implementation evidence</x:v>
      </x:c>
      <x:c r="I526" s="65" t="str">
        <x:v>Pemerintah Provinsi DKI Jakarta; Dinas Lingkungan Hidup DKI Jakarta; Mahkamah Agung</x:v>
      </x:c>
      <x:c r="J526" s="65" t="str">
        <x:v>The official Supreme Court case directory records citizen lawsuit 374/Pdt.G/LH/2019/PN Jkt.Pst (decision 2021-09-16). [jakarta-court-air-quality] It is evidence of a court finding about public duties and regional coordination; it is not evidence that every ordered action was com…</x:v>
      </x:c>
      <x:c r="K526" s="65" t="str">
        <x:v>https://www.jakarta.go.id/siaran-pers/4802-SP-HMS-06-2024</x:v>
      </x:c>
      <x:c r="L526" s="65" t="n">
        <x:v>0</x:v>
      </x:c>
      <x:c r="M526" s="65" t="str">
        <x:v>Machine-suggested near-miss; human review required.</x:v>
      </x:c>
    </x:row>
    <x:row r="527" ht="42" customHeight="1">
      <x:c r="A527" s="65" t="str">
        <x:v>gold30-027</x:v>
      </x:c>
      <x:c r="B527" s="65" t="str">
        <x:v>bm25</x:v>
      </x:c>
      <x:c r="C527" s="88" t="n">
        <x:v>2</x:v>
      </x:c>
      <x:c r="D527" s="65" t="str">
        <x:v>policy-improvements-evidence</x:v>
      </x:c>
      <x:c r="E527" s="65" t="str">
        <x:v>policy-improvements-evidence:structure:2</x:v>
      </x:c>
      <x:c r="F527" s="65" t="str">
        <x:v>p.3</x:v>
      </x:c>
      <x:c r="G527" s="92" t="n">
        <x:v>0.5</x:v>
      </x:c>
      <x:c r="H527" s="65" t="str">
        <x:v>Evidence-based policy improvements for Jakarta</x:v>
      </x:c>
      <x:c r="I527" s="65" t="str">
        <x:v>Dinas Lingkungan Hidup DKI Jakarta; World Health Organization</x:v>
      </x:c>
      <x:c r="J527"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527" s="65" t="str">
        <x:v>https://www.jakarta.go.id/siaran-pers/4802-SP-HMS-06-2024</x:v>
      </x:c>
      <x:c r="L527" s="65" t="n">
        <x:v>0</x:v>
      </x:c>
      <x:c r="M527" s="65" t="str">
        <x:v>Machine-suggested near-miss; human review required.</x:v>
      </x:c>
    </x:row>
    <x:row r="528" ht="42" customHeight="1">
      <x:c r="A528" s="65" t="str">
        <x:v>gold30-027</x:v>
      </x:c>
      <x:c r="B528" s="65" t="str">
        <x:v>bm25</x:v>
      </x:c>
      <x:c r="C528" s="88" t="n">
        <x:v>3</x:v>
      </x:c>
      <x:c r="D528" s="65" t="str">
        <x:v>individual-emission-actions</x:v>
      </x:c>
      <x:c r="E528" s="65" t="str">
        <x:v>individual-emission-actions:structure:1</x:v>
      </x:c>
      <x:c r="F528" s="65" t="str">
        <x:v>p.2</x:v>
      </x:c>
      <x:c r="G528" s="92" t="n">
        <x:v>0.4</x:v>
      </x:c>
      <x:c r="H528" s="65" t="str">
        <x:v>What an individual can do to reduce emissions and improve accountability</x:v>
      </x:c>
      <x:c r="I528" s="65" t="str">
        <x:v>World Health Organization; Pemerintah Provinsi DKI Jakarta</x:v>
      </x:c>
      <x:c r="J528" s="65" t="str">
        <x:v>Use public transport, shared trips, walking, or cycling where current air quality, heat, safety, and mobility needs make that reasonable. Avoid needless idling, maintain the engine and tyres, repair visible smoke, and complete the required emissions test; a passing test is a com…</x:v>
      </x:c>
      <x:c r="K528" s="65" t="str">
        <x:v>https://www.who.int/europe/publications/m/item/personal-level-actions-to-reduce-air-pollution-exposure</x:v>
      </x:c>
      <x:c r="L528" s="65" t="n">
        <x:v>0</x:v>
      </x:c>
      <x:c r="M528" s="65" t="str">
        <x:v>Machine-suggested near-miss; human review required.</x:v>
      </x:c>
    </x:row>
    <x:row r="529" ht="42" customHeight="1">
      <x:c r="A529" s="65" t="str">
        <x:v>gold30-027</x:v>
      </x:c>
      <x:c r="B529" s="65" t="str">
        <x:v>bm25</x:v>
      </x:c>
      <x:c r="C529" s="88" t="n">
        <x:v>4</x:v>
      </x:c>
      <x:c r="D529" s="65" t="str">
        <x:v>jakarta-causes</x:v>
      </x:c>
      <x:c r="E529" s="65" t="str">
        <x:v>jakarta-causes:structure:2</x:v>
      </x:c>
      <x:c r="F529" s="65" t="str">
        <x:v>p.3</x:v>
      </x:c>
      <x:c r="G529" s="92" t="n">
        <x:v>0.4</x:v>
      </x:c>
      <x:c r="H529" s="65" t="str">
        <x:v>What causes Jakarta air pollution</x:v>
      </x:c>
      <x:c r="I529" s="65" t="str">
        <x:v>Dinas Lingkungan Hidup DKI Jakarta / Vital Strategies / ITB</x:v>
      </x:c>
      <x:c r="J529" s="65" t="str">
        <x:v>The evidence supports statements about likely contributors, not a claim that a single source caused one station's reading. Current station observations are descriptive and should be interpreted with their timestamp, location, and quality metadata.</x:v>
      </x:c>
      <x:c r="K529" s="65" t="str">
        <x:v>https://rendahemisi.jakarta.go.id/learn</x:v>
      </x:c>
      <x:c r="L529" s="65" t="n">
        <x:v>3</x:v>
      </x:c>
      <x:c r="M529" s="65" t="str">
        <x:v>Expected source for this question.</x:v>
      </x:c>
    </x:row>
    <x:row r="530" ht="42" customHeight="1">
      <x:c r="A530" s="65" t="str">
        <x:v>gold30-027</x:v>
      </x:c>
      <x:c r="B530" s="65" t="str">
        <x:v>bm25</x:v>
      </x:c>
      <x:c r="C530" s="88" t="n">
        <x:v>5</x:v>
      </x:c>
      <x:c r="D530" s="65" t="str">
        <x:v>jakarta-historical-city-series</x:v>
      </x:c>
      <x:c r="E530" s="65" t="str">
        <x:v>jakarta-historical-city-series:structure:2</x:v>
      </x:c>
      <x:c r="F530" s="65" t="str">
        <x:v>p.3</x:v>
      </x:c>
      <x:c r="G530" s="92" t="n">
        <x:v>0.4</x:v>
      </x:c>
      <x:c r="H530" s="65" t="str">
        <x:v>Jakarta historical PM2.5 and PM10 series: provenance and quality</x:v>
      </x:c>
      <x:c r="I530" s="65" t="str">
        <x:v>Open-Meteo / CAMS Global; deposited dataset by Nitiraj Kulkarni and Jagadish Tawade</x:v>
      </x:c>
      <x:c r="J530"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530" s="65" t="str">
        <x:v>https://zenodo.org/records/18673885</x:v>
      </x:c>
      <x:c r="L530" s="65" t="n">
        <x:v>0</x:v>
      </x:c>
      <x:c r="M530" s="65" t="str">
        <x:v>Machine-suggested near-miss; human review required.</x:v>
      </x:c>
    </x:row>
    <x:row r="531" ht="42" customHeight="1">
      <x:c r="A531" s="65" t="str">
        <x:v>gold30-027</x:v>
      </x:c>
      <x:c r="B531" s="65" t="str">
        <x:v>dense</x:v>
      </x:c>
      <x:c r="C531" s="88" t="n">
        <x:v>1</x:v>
      </x:c>
      <x:c r="D531" s="65" t="str">
        <x:v>permen-lhk-8-2023-vehicle-emissions</x:v>
      </x:c>
      <x:c r="E531" s="65" t="str">
        <x:v>permen-lhk-8-2023-vehicle-emissions:structure:5</x:v>
      </x:c>
      <x:c r="F531" s="65" t="str">
        <x:v>p.6</x:v>
      </x:c>
      <x:c r="G531" s="92" t="n">
        <x:v>0.35775247</x:v>
      </x:c>
      <x:c r="H531" s="65" t="str">
        <x:v>Permen LHK No. 8 Tahun 2023 — vehicle emission standards and testing</x:v>
      </x:c>
      <x:c r="I531" s="65" t="str">
        <x:v>Kementerian Lingkungan Hidup dan Kehutanan / Database Peraturan BPK</x:v>
      </x:c>
      <x:c r="J531" s="65" t="str">
        <x:v>The BPK page is evidence of the instrument's identity, scope and status. It does not provide a denominator for Jakarta testing coverage or proof that all eligible vehicles complied. Those implementation claims need DKI enforcement records and dated statistics.</x:v>
      </x:c>
      <x:c r="K531" s="65" t="str">
        <x:v>https://peraturan.bpk.go.id/Details/262504/permen-lhk-no-8-tahun-2023</x:v>
      </x:c>
      <x:c r="L531" s="65" t="n">
        <x:v>0</x:v>
      </x:c>
      <x:c r="M531" s="65" t="str">
        <x:v>Machine-suggested near-miss; human review required.</x:v>
      </x:c>
    </x:row>
    <x:row r="532" ht="42" customHeight="1">
      <x:c r="A532" s="65" t="str">
        <x:v>gold30-027</x:v>
      </x:c>
      <x:c r="B532" s="65" t="str">
        <x:v>dense</x:v>
      </x:c>
      <x:c r="C532" s="88" t="n">
        <x:v>2</x:v>
      </x:c>
      <x:c r="D532" s="65" t="str">
        <x:v>jakarta-policy-implementation</x:v>
      </x:c>
      <x:c r="E532" s="65" t="str">
        <x:v>jakarta-policy-implementation:structure:4</x:v>
      </x:c>
      <x:c r="F532" s="65" t="str">
        <x:v>p.5</x:v>
      </x:c>
      <x:c r="G532" s="92" t="n">
        <x:v>0.32615271</x:v>
      </x:c>
      <x:c r="H532" s="65" t="str">
        <x:v>Why rules can coexist with poor air: implementation evidence</x:v>
      </x:c>
      <x:c r="I532" s="65" t="str">
        <x:v>Pemerintah Provinsi DKI Jakarta; Dinas Lingkungan Hidup DKI Jakarta; Mahkamah Agung</x:v>
      </x:c>
      <x:c r="J532" s="65" t="str">
        <x:v>The official Supreme Court case directory records citizen lawsuit 374/Pdt.G/LH/2019/PN Jkt.Pst (decision 2021-09-16). [jakarta-court-air-quality] It is evidence of a court finding about public duties and regional coordination; it is not evidence that every ordered action was com…</x:v>
      </x:c>
      <x:c r="K532" s="65" t="str">
        <x:v>https://www.jakarta.go.id/siaran-pers/4802-SP-HMS-06-2024</x:v>
      </x:c>
      <x:c r="L532" s="65" t="n">
        <x:v>0</x:v>
      </x:c>
      <x:c r="M532" s="65" t="str">
        <x:v>Machine-suggested near-miss; human review required.</x:v>
      </x:c>
    </x:row>
    <x:row r="533" ht="42" customHeight="1">
      <x:c r="A533" s="65" t="str">
        <x:v>gold30-027</x:v>
      </x:c>
      <x:c r="B533" s="65" t="str">
        <x:v>dense</x:v>
      </x:c>
      <x:c r="C533" s="88" t="n">
        <x:v>3</x:v>
      </x:c>
      <x:c r="D533" s="65" t="str">
        <x:v>clean-air-room</x:v>
      </x:c>
      <x:c r="E533" s="65" t="str">
        <x:v>clean-air-room:structure:1</x:v>
      </x:c>
      <x:c r="F533" s="65" t="str">
        <x:v>p.2</x:v>
      </x:c>
      <x:c r="G533" s="92" t="n">
        <x:v>0.31614534</x:v>
      </x:c>
      <x:c r="H533" s="65" t="str">
        <x:v>Indoor filtration and a clean-air room</x:v>
      </x:c>
      <x:c r="I533" s="65" t="str">
        <x:v>United States Environmental Protection Agency</x:v>
      </x:c>
      <x:c r="J533" s="65" t="str">
        <x:v>Choose a portable cleaner with a clean-air delivery rate (CADR) appropriate to the room; a larger room or higher ceiling needs more clean-air delivery. EPA's example sizing table for an eight-foot ceiling is 65 cfm for 100 square feet, 130 cfm for 200, 195 cfm for 300, and 390 c…</x:v>
      </x:c>
      <x:c r="K533" s="65" t="str">
        <x:v>https://www.epa.gov/indoor-air-quality-iaq/guide-air-cleaners-home</x:v>
      </x:c>
      <x:c r="L533" s="65" t="n">
        <x:v>0</x:v>
      </x:c>
      <x:c r="M533" s="65" t="str">
        <x:v>Machine-suggested near-miss; human review required.</x:v>
      </x:c>
    </x:row>
    <x:row r="534" ht="42" customHeight="1">
      <x:c r="A534" s="65" t="str">
        <x:v>gold30-027</x:v>
      </x:c>
      <x:c r="B534" s="65" t="str">
        <x:v>dense</x:v>
      </x:c>
      <x:c r="C534" s="88" t="n">
        <x:v>4</x:v>
      </x:c>
      <x:c r="D534" s="65" t="str">
        <x:v>jakarta-emission-testing</x:v>
      </x:c>
      <x:c r="E534" s="65" t="str">
        <x:v>jakarta-emission-testing:structure:1</x:v>
      </x:c>
      <x:c r="F534" s="65" t="str">
        <x:v>p.2</x:v>
      </x:c>
      <x:c r="G534" s="92" t="n">
        <x:v>0.31443816</x:v>
      </x:c>
      <x:c r="H534" s="65" t="str">
        <x:v>Jakarta vehicle-emissions testing obligation</x:v>
      </x:c>
      <x:c r="I534" s="65" t="str">
        <x:v>Dinas Lingkungan Hidup DKI Jakarta</x:v>
      </x:c>
      <x:c r="J534" s="65" t="str">
        <x:v>DLH DKI's FAQ says emissions testing is mandatory for individual passenger cars and motorcycles older than three years under Pergub 66/2020. It also describes a traffic-ticket consequence for vehicles that fail, under the national traffic-law framework. The rule, a test result,…</x:v>
      </x:c>
      <x:c r="K534" s="65" t="str">
        <x:v>https://lingkunganhidup.jakarta.go.id/faq/ujiemisi</x:v>
      </x:c>
      <x:c r="L534" s="65" t="n">
        <x:v>0</x:v>
      </x:c>
      <x:c r="M534" s="65" t="str">
        <x:v>Machine-suggested near-miss; human review required.</x:v>
      </x:c>
    </x:row>
    <x:row r="535" ht="42" customHeight="1">
      <x:c r="A535" s="65" t="str">
        <x:v>gold30-027</x:v>
      </x:c>
      <x:c r="B535" s="65" t="str">
        <x:v>dense</x:v>
      </x:c>
      <x:c r="C535" s="88" t="n">
        <x:v>5</x:v>
      </x:c>
      <x:c r="D535" s="65" t="str">
        <x:v>epa-air-cleaners-home-2026</x:v>
      </x:c>
      <x:c r="E535" s="65" t="str">
        <x:v>epa-air-cleaners-home-2026:structure:1</x:v>
      </x:c>
      <x:c r="F535" s="65" t="str">
        <x:v>p.2</x:v>
      </x:c>
      <x:c r="G535" s="92" t="n">
        <x:v>0.30662194</x:v>
      </x:c>
      <x:c r="H535" s="65" t="str">
        <x:v>US EPA Guide to Air Cleaners in the Home (2nd edition)</x:v>
      </x:c>
      <x:c r="I535" s="65" t="str">
        <x:v>United States Environmental Protection Agency</x:v>
      </x:c>
      <x:c r="J535" s="65" t="str">
        <x:v>The guide explains that a portable cleaner's clean air delivery rate (CADR) and the room size determine how much filtered air is delivered. A product recommendation therefore needs room dimensions and a stated particle CADR, rather than only a marketing label.</x:v>
      </x:c>
      <x:c r="K535" s="65" t="str">
        <x:v>https://www.epa.gov/indoor-air-quality-iaq/guide-air-cleaners-home</x:v>
      </x:c>
      <x:c r="L535" s="65" t="n">
        <x:v>0</x:v>
      </x:c>
      <x:c r="M535" s="65" t="str">
        <x:v>Machine-suggested near-miss; human review required.</x:v>
      </x:c>
    </x:row>
    <x:row r="536" ht="42" customHeight="1">
      <x:c r="A536" s="65" t="str">
        <x:v>gold30-027</x:v>
      </x:c>
      <x:c r="B536" s="65" t="str">
        <x:v>hybrid</x:v>
      </x:c>
      <x:c r="C536" s="88" t="n">
        <x:v>1</x:v>
      </x:c>
      <x:c r="D536" s="65" t="str">
        <x:v>jakarta-policy-implementation</x:v>
      </x:c>
      <x:c r="E536" s="65" t="str">
        <x:v>jakarta-policy-implementation:structure:4</x:v>
      </x:c>
      <x:c r="F536" s="65" t="str">
        <x:v>p.5</x:v>
      </x:c>
      <x:c r="G536" s="92" t="n">
        <x:v>0.03284506</x:v>
      </x:c>
      <x:c r="H536" s="65" t="str">
        <x:v>Why rules can coexist with poor air: implementation evidence</x:v>
      </x:c>
      <x:c r="I536" s="65" t="str">
        <x:v>Pemerintah Provinsi DKI Jakarta; Dinas Lingkungan Hidup DKI Jakarta; Mahkamah Agung</x:v>
      </x:c>
      <x:c r="J536" s="65" t="str">
        <x:v>The official Supreme Court case directory records citizen lawsuit 374/Pdt.G/LH/2019/PN Jkt.Pst (decision 2021-09-16). [jakarta-court-air-quality] It is evidence of a court finding about public duties and regional coordination; it is not evidence that every ordered action was com…</x:v>
      </x:c>
      <x:c r="K536" s="65" t="str">
        <x:v>https://www.jakarta.go.id/siaran-pers/4802-SP-HMS-06-2024</x:v>
      </x:c>
      <x:c r="L536" s="65" t="n">
        <x:v>0</x:v>
      </x:c>
      <x:c r="M536" s="65" t="str">
        <x:v>Machine-suggested near-miss; human review required.</x:v>
      </x:c>
    </x:row>
    <x:row r="537" ht="42" customHeight="1">
      <x:c r="A537" s="65" t="str">
        <x:v>gold30-027</x:v>
      </x:c>
      <x:c r="B537" s="65" t="str">
        <x:v>hybrid</x:v>
      </x:c>
      <x:c r="C537" s="88" t="n">
        <x:v>2</x:v>
      </x:c>
      <x:c r="D537" s="65" t="str">
        <x:v>jakarta-emission-testing</x:v>
      </x:c>
      <x:c r="E537" s="65" t="str">
        <x:v>jakarta-emission-testing:structure:1</x:v>
      </x:c>
      <x:c r="F537" s="65" t="str">
        <x:v>p.2</x:v>
      </x:c>
      <x:c r="G537" s="92" t="n">
        <x:v>0.03064338</x:v>
      </x:c>
      <x:c r="H537" s="65" t="str">
        <x:v>Jakarta vehicle-emissions testing obligation</x:v>
      </x:c>
      <x:c r="I537" s="65" t="str">
        <x:v>Dinas Lingkungan Hidup DKI Jakarta</x:v>
      </x:c>
      <x:c r="J537" s="65" t="str">
        <x:v>DLH DKI's FAQ says emissions testing is mandatory for individual passenger cars and motorcycles older than three years under Pergub 66/2020. It also describes a traffic-ticket consequence for vehicles that fail, under the national traffic-law framework. The rule, a test result,…</x:v>
      </x:c>
      <x:c r="K537" s="65" t="str">
        <x:v>https://lingkunganhidup.jakarta.go.id/faq/ujiemisi</x:v>
      </x:c>
      <x:c r="L537" s="65" t="n">
        <x:v>0</x:v>
      </x:c>
      <x:c r="M537" s="65" t="str">
        <x:v>Machine-suggested near-miss; human review required.</x:v>
      </x:c>
    </x:row>
    <x:row r="538" ht="42" customHeight="1">
      <x:c r="A538" s="65" t="str">
        <x:v>gold30-027</x:v>
      </x:c>
      <x:c r="B538" s="65" t="str">
        <x:v>hybrid</x:v>
      </x:c>
      <x:c r="C538" s="88" t="n">
        <x:v>3</x:v>
      </x:c>
      <x:c r="D538" s="65" t="str">
        <x:v>jakarta-causes</x:v>
      </x:c>
      <x:c r="E538" s="65" t="str">
        <x:v>jakarta-causes:structure:2</x:v>
      </x:c>
      <x:c r="F538" s="65" t="str">
        <x:v>p.3</x:v>
      </x:c>
      <x:c r="G538" s="92" t="n">
        <x:v>0.030625</x:v>
      </x:c>
      <x:c r="H538" s="65" t="str">
        <x:v>What causes Jakarta air pollution</x:v>
      </x:c>
      <x:c r="I538" s="65" t="str">
        <x:v>Dinas Lingkungan Hidup DKI Jakarta / Vital Strategies / ITB</x:v>
      </x:c>
      <x:c r="J538" s="65" t="str">
        <x:v>The evidence supports statements about likely contributors, not a claim that a single source caused one station's reading. Current station observations are descriptive and should be interpreted with their timestamp, location, and quality metadata.</x:v>
      </x:c>
      <x:c r="K538" s="65" t="str">
        <x:v>https://rendahemisi.jakarta.go.id/learn</x:v>
      </x:c>
      <x:c r="L538" s="65" t="n">
        <x:v>3</x:v>
      </x:c>
      <x:c r="M538" s="65" t="str">
        <x:v>Expected source for this question.</x:v>
      </x:c>
    </x:row>
    <x:row r="539" ht="42" customHeight="1">
      <x:c r="A539" s="65" t="str">
        <x:v>gold30-027</x:v>
      </x:c>
      <x:c r="B539" s="65" t="str">
        <x:v>hybrid</x:v>
      </x:c>
      <x:c r="C539" s="88" t="n">
        <x:v>4</x:v>
      </x:c>
      <x:c r="D539" s="65" t="str">
        <x:v>individual-emission-actions</x:v>
      </x:c>
      <x:c r="E539" s="65" t="str">
        <x:v>individual-emission-actions:structure:1</x:v>
      </x:c>
      <x:c r="F539" s="65" t="str">
        <x:v>p.2</x:v>
      </x:c>
      <x:c r="G539" s="92" t="n">
        <x:v>0.03044444</x:v>
      </x:c>
      <x:c r="H539" s="65" t="str">
        <x:v>What an individual can do to reduce emissions and improve accountability</x:v>
      </x:c>
      <x:c r="I539" s="65" t="str">
        <x:v>World Health Organization; Pemerintah Provinsi DKI Jakarta</x:v>
      </x:c>
      <x:c r="J539" s="65" t="str">
        <x:v>Use public transport, shared trips, walking, or cycling where current air quality, heat, safety, and mobility needs make that reasonable. Avoid needless idling, maintain the engine and tyres, repair visible smoke, and complete the required emissions test; a passing test is a com…</x:v>
      </x:c>
      <x:c r="K539" s="65" t="str">
        <x:v>https://www.who.int/europe/publications/m/item/personal-level-actions-to-reduce-air-pollution-exposure</x:v>
      </x:c>
      <x:c r="L539" s="65" t="n">
        <x:v>0</x:v>
      </x:c>
      <x:c r="M539" s="65" t="str">
        <x:v>Machine-suggested near-miss; human review required.</x:v>
      </x:c>
    </x:row>
    <x:row r="540" ht="42" customHeight="1">
      <x:c r="A540" s="65" t="str">
        <x:v>gold30-027</x:v>
      </x:c>
      <x:c r="B540" s="65" t="str">
        <x:v>hybrid</x:v>
      </x:c>
      <x:c r="C540" s="88" t="n">
        <x:v>5</x:v>
      </x:c>
      <x:c r="D540" s="65" t="str">
        <x:v>jakarta-monitoring</x:v>
      </x:c>
      <x:c r="E540" s="65" t="str">
        <x:v>jakarta-monitoring:structure:0</x:v>
      </x:c>
      <x:c r="F540" s="65" t="str">
        <x:v>p.1</x:v>
      </x:c>
      <x:c r="G540" s="92" t="n">
        <x:v>0.02971663</x:v>
      </x:c>
      <x:c r="H540" s="65" t="str">
        <x:v>Jakarta monitoring stations</x:v>
      </x:c>
      <x:c r="I540" s="65" t="str">
        <x:v>Dinas Lingkungan Hidup Provinsi DKI Jakarta</x:v>
      </x:c>
      <x:c r="J540" s="65" t="str">
        <x:v>Jakarta's official monitoring portal publishes station locations, pollutant parameters, current readings, and timestamps. A station observation describes that station and observation time; it should not automatically be generalized to all of Jakarta.</x:v>
      </x:c>
      <x:c r="K540" s="65" t="str">
        <x:v>https://udara.jakarta.go.id/lokasi-spku</x:v>
      </x:c>
      <x:c r="L540" s="65" t="n">
        <x:v>3</x:v>
      </x:c>
      <x:c r="M540" s="65" t="str">
        <x:v>Expected source for this question.</x:v>
      </x:c>
    </x:row>
    <x:row r="541" ht="42" customHeight="1">
      <x:c r="A541" s="65" t="str">
        <x:v>gold30-027</x:v>
      </x:c>
      <x:c r="B541" s="65" t="str">
        <x:v>hybrid_rerank</x:v>
      </x:c>
      <x:c r="C541" s="88" t="n">
        <x:v>1</x:v>
      </x:c>
      <x:c r="D541" s="65" t="str">
        <x:v>jakarta-policy-implementation</x:v>
      </x:c>
      <x:c r="E541" s="65" t="str">
        <x:v>jakarta-policy-implementation:structure:4</x:v>
      </x:c>
      <x:c r="F541" s="65" t="str">
        <x:v>p.5</x:v>
      </x:c>
      <x:c r="G541" s="92" t="n">
        <x:v>0.35985352</x:v>
      </x:c>
      <x:c r="H541" s="65" t="str">
        <x:v>Why rules can coexist with poor air: implementation evidence</x:v>
      </x:c>
      <x:c r="I541" s="65" t="str">
        <x:v>Pemerintah Provinsi DKI Jakarta; Dinas Lingkungan Hidup DKI Jakarta; Mahkamah Agung</x:v>
      </x:c>
      <x:c r="J541" s="65" t="str">
        <x:v>The official Supreme Court case directory records citizen lawsuit 374/Pdt.G/LH/2019/PN Jkt.Pst (decision 2021-09-16). [jakarta-court-air-quality] It is evidence of a court finding about public duties and regional coordination; it is not evidence that every ordered action was com…</x:v>
      </x:c>
      <x:c r="K541" s="65" t="str">
        <x:v>https://www.jakarta.go.id/siaran-pers/4802-SP-HMS-06-2024</x:v>
      </x:c>
      <x:c r="L541" s="65" t="n">
        <x:v>0</x:v>
      </x:c>
      <x:c r="M541" s="65" t="str">
        <x:v>Machine-suggested near-miss; human review required.</x:v>
      </x:c>
    </x:row>
    <x:row r="542" ht="42" customHeight="1">
      <x:c r="A542" s="65" t="str">
        <x:v>gold30-027</x:v>
      </x:c>
      <x:c r="B542" s="65" t="str">
        <x:v>hybrid_rerank</x:v>
      </x:c>
      <x:c r="C542" s="88" t="n">
        <x:v>2</x:v>
      </x:c>
      <x:c r="D542" s="65" t="str">
        <x:v>policy-improvements-evidence</x:v>
      </x:c>
      <x:c r="E542" s="65" t="str">
        <x:v>policy-improvements-evidence:structure:2</x:v>
      </x:c>
      <x:c r="F542" s="65" t="str">
        <x:v>p.3</x:v>
      </x:c>
      <x:c r="G542" s="92" t="n">
        <x:v>0.35483871</x:v>
      </x:c>
      <x:c r="H542" s="65" t="str">
        <x:v>Evidence-based policy improvements for Jakarta</x:v>
      </x:c>
      <x:c r="I542" s="65" t="str">
        <x:v>Dinas Lingkungan Hidup DKI Jakarta; World Health Organization</x:v>
      </x:c>
      <x:c r="J542"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542" s="65" t="str">
        <x:v>https://www.jakarta.go.id/siaran-pers/4802-SP-HMS-06-2024</x:v>
      </x:c>
      <x:c r="L542" s="65" t="n">
        <x:v>0</x:v>
      </x:c>
      <x:c r="M542" s="65" t="str">
        <x:v>Machine-suggested near-miss; human review required.</x:v>
      </x:c>
    </x:row>
    <x:row r="543" ht="42" customHeight="1">
      <x:c r="A543" s="65" t="str">
        <x:v>gold30-027</x:v>
      </x:c>
      <x:c r="B543" s="65" t="str">
        <x:v>hybrid_rerank</x:v>
      </x:c>
      <x:c r="C543" s="88" t="n">
        <x:v>3</x:v>
      </x:c>
      <x:c r="D543" s="65" t="str">
        <x:v>jakarta-causes</x:v>
      </x:c>
      <x:c r="E543" s="65" t="str">
        <x:v>jakarta-causes:structure:2</x:v>
      </x:c>
      <x:c r="F543" s="65" t="str">
        <x:v>p.3</x:v>
      </x:c>
      <x:c r="G543" s="92" t="n">
        <x:v>0.2891875</x:v>
      </x:c>
      <x:c r="H543" s="65" t="str">
        <x:v>What causes Jakarta air pollution</x:v>
      </x:c>
      <x:c r="I543" s="65" t="str">
        <x:v>Dinas Lingkungan Hidup DKI Jakarta / Vital Strategies / ITB</x:v>
      </x:c>
      <x:c r="J543" s="65" t="str">
        <x:v>The evidence supports statements about likely contributors, not a claim that a single source caused one station's reading. Current station observations are descriptive and should be interpreted with their timestamp, location, and quality metadata.</x:v>
      </x:c>
      <x:c r="K543" s="65" t="str">
        <x:v>https://rendahemisi.jakarta.go.id/learn</x:v>
      </x:c>
      <x:c r="L543" s="65" t="n">
        <x:v>3</x:v>
      </x:c>
      <x:c r="M543" s="65" t="str">
        <x:v>Expected source for this question.</x:v>
      </x:c>
    </x:row>
    <x:row r="544" ht="42" customHeight="1">
      <x:c r="A544" s="65" t="str">
        <x:v>gold30-027</x:v>
      </x:c>
      <x:c r="B544" s="65" t="str">
        <x:v>hybrid_rerank</x:v>
      </x:c>
      <x:c r="C544" s="88" t="n">
        <x:v>4</x:v>
      </x:c>
      <x:c r="D544" s="65" t="str">
        <x:v>individual-emission-actions</x:v>
      </x:c>
      <x:c r="E544" s="65" t="str">
        <x:v>individual-emission-actions:structure:1</x:v>
      </x:c>
      <x:c r="F544" s="65" t="str">
        <x:v>p.2</x:v>
      </x:c>
      <x:c r="G544" s="92" t="n">
        <x:v>0.28913333</x:v>
      </x:c>
      <x:c r="H544" s="65" t="str">
        <x:v>What an individual can do to reduce emissions and improve accountability</x:v>
      </x:c>
      <x:c r="I544" s="65" t="str">
        <x:v>World Health Organization; Pemerintah Provinsi DKI Jakarta</x:v>
      </x:c>
      <x:c r="J544" s="65" t="str">
        <x:v>Use public transport, shared trips, walking, or cycling where current air quality, heat, safety, and mobility needs make that reasonable. Avoid needless idling, maintain the engine and tyres, repair visible smoke, and complete the required emissions test; a passing test is a com…</x:v>
      </x:c>
      <x:c r="K544" s="65" t="str">
        <x:v>https://www.who.int/europe/publications/m/item/personal-level-actions-to-reduce-air-pollution-exposure</x:v>
      </x:c>
      <x:c r="L544" s="65" t="n">
        <x:v>0</x:v>
      </x:c>
      <x:c r="M544" s="65" t="str">
        <x:v>Machine-suggested near-miss; human review required.</x:v>
      </x:c>
    </x:row>
    <x:row r="545" ht="42" customHeight="1">
      <x:c r="A545" s="65" t="str">
        <x:v>gold30-027</x:v>
      </x:c>
      <x:c r="B545" s="65" t="str">
        <x:v>hybrid_rerank</x:v>
      </x:c>
      <x:c r="C545" s="88" t="n">
        <x:v>5</x:v>
      </x:c>
      <x:c r="D545" s="65" t="str">
        <x:v>jakarta-emission-testing</x:v>
      </x:c>
      <x:c r="E545" s="65" t="str">
        <x:v>jakarta-emission-testing:structure:1</x:v>
      </x:c>
      <x:c r="F545" s="65" t="str">
        <x:v>p.2</x:v>
      </x:c>
      <x:c r="G545" s="92" t="n">
        <x:v>0.21919301</x:v>
      </x:c>
      <x:c r="H545" s="65" t="str">
        <x:v>Jakarta vehicle-emissions testing obligation</x:v>
      </x:c>
      <x:c r="I545" s="65" t="str">
        <x:v>Dinas Lingkungan Hidup DKI Jakarta</x:v>
      </x:c>
      <x:c r="J545" s="65" t="str">
        <x:v>DLH DKI's FAQ says emissions testing is mandatory for individual passenger cars and motorcycles older than three years under Pergub 66/2020. It also describes a traffic-ticket consequence for vehicles that fail, under the national traffic-law framework. The rule, a test result,…</x:v>
      </x:c>
      <x:c r="K545" s="65" t="str">
        <x:v>https://lingkunganhidup.jakarta.go.id/faq/ujiemisi</x:v>
      </x:c>
      <x:c r="L545" s="65" t="n">
        <x:v>0</x:v>
      </x:c>
      <x:c r="M545" s="65" t="str">
        <x:v>Machine-suggested near-miss; human review required.</x:v>
      </x:c>
    </x:row>
    <x:row r="546" ht="42" customHeight="1">
      <x:c r="A546" s="65" t="str">
        <x:v>gold30-028</x:v>
      </x:c>
      <x:c r="B546" s="65" t="str">
        <x:v>bm25</x:v>
      </x:c>
      <x:c r="C546" s="88" t="n">
        <x:v>1</x:v>
      </x:c>
      <x:c r="D546" s="65" t="str">
        <x:v>jakarta-improvements</x:v>
      </x:c>
      <x:c r="E546" s="65" t="str">
        <x:v>jakarta-improvements:structure:0</x:v>
      </x:c>
      <x:c r="F546" s="65" t="str">
        <x:v>p.1</x:v>
      </x:c>
      <x:c r="G546" s="92" t="n">
        <x:v>0.125</x:v>
      </x:c>
      <x:c r="H546" s="65" t="str">
        <x:v>Ways to improve Jakarta air quality</x:v>
      </x:c>
      <x:c r="I546" s="65" t="str">
        <x:v>Pemerintah Provinsi DKI Jakarta / Dinas Lingkungan Hidup</x:v>
      </x:c>
      <x:c r="J546"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546" s="65" t="str">
        <x:v>https://www.jakarta.go.id/page/upaya-bersama-jaga-kualitas-udara-jakarta</x:v>
      </x:c>
      <x:c r="L546" s="65" t="n">
        <x:v>0</x:v>
      </x:c>
      <x:c r="M546" s="65" t="str">
        <x:v>Machine-suggested near-miss; human review required.</x:v>
      </x:c>
    </x:row>
    <x:row r="547" ht="42" customHeight="1">
      <x:c r="A547" s="65" t="str">
        <x:v>gold30-028</x:v>
      </x:c>
      <x:c r="B547" s="65" t="str">
        <x:v>bm25</x:v>
      </x:c>
      <x:c r="C547" s="88" t="n">
        <x:v>2</x:v>
      </x:c>
      <x:c r="D547" s="65" t="str">
        <x:v>jakarta-seasonal-exposure</x:v>
      </x:c>
      <x:c r="E547" s="65" t="str">
        <x:v>jakarta-seasonal-exposure:structure:0</x:v>
      </x:c>
      <x:c r="F547" s="65" t="str">
        <x:v>p.1</x:v>
      </x:c>
      <x:c r="G547" s="92" t="n">
        <x:v>0.125</x:v>
      </x:c>
      <x:c r="H547" s="65" t="str">
        <x:v>Jakarta timing and local exposure context</x:v>
      </x:c>
      <x:c r="I547" s="65" t="str">
        <x:v>Dinas Lingkungan Hidup DKI Jakarta</x:v>
      </x:c>
      <x:c r="J547" s="65" t="str">
        <x:v>Published: 2024-04-06 Status as of: 2026-09-07 (official seasonal notice; not a current forecast) Document type: official_public_guidance Tags: topic=exposure-protection; audience=Jakarta-resident; action=protect-now; pollutant=PM2.5</x:v>
      </x:c>
      <x:c r="K547" s="65" t="str">
        <x:v>https://lingkunganhidup.jakarta.go.id/detail-artikel/masuki-musim-kemarau-pemprov-dki-minta-masyarakat-waspadai-penurunan-kualitas-udara</x:v>
      </x:c>
      <x:c r="L547" s="65" t="n">
        <x:v>0</x:v>
      </x:c>
      <x:c r="M547" s="65" t="str">
        <x:v>Machine-suggested near-miss; human review required.</x:v>
      </x:c>
    </x:row>
    <x:row r="548" ht="42" customHeight="1">
      <x:c r="A548" s="65" t="str">
        <x:v>gold30-028</x:v>
      </x:c>
      <x:c r="B548" s="65" t="str">
        <x:v>bm25</x:v>
      </x:c>
      <x:c r="C548" s="88" t="n">
        <x:v>3</x:v>
      </x:c>
      <x:c r="D548" s="65" t="str">
        <x:v>bad-air-day-protection</x:v>
      </x:c>
      <x:c r="E548" s="65" t="str">
        <x:v>bad-air-day-protection:structure:0</x:v>
      </x:c>
      <x:c r="F548" s="65" t="str">
        <x:v>p.1</x:v>
      </x:c>
      <x:c r="G548" s="92" t="n">
        <x:v>0</x:v>
      </x:c>
      <x:c r="H548" s="65" t="str">
        <x:v>Bad-air-day protection playbook</x:v>
      </x:c>
      <x:c r="I548" s="65" t="str">
        <x:v>World Health Organization, Regional Office for Europe</x:v>
      </x:c>
      <x:c r="J548" s="65" t="str">
        <x:v>Published: 2024-10-04 Status as of: 2026-09-07 (health guidance; not Indonesian law) Document type: health_guidance Tags: topic=exposure-protection; audience=Jakarta-resident; action=protect-now; pollutant=ambient-particles</x:v>
      </x:c>
      <x:c r="K548" s="65" t="str">
        <x:v>https://www.who.int/news-room/questions-and-answers/item/air-pollution-personal-interventions-and-risk-communication</x:v>
      </x:c>
      <x:c r="L548" s="65" t="n">
        <x:v>0</x:v>
      </x:c>
      <x:c r="M548" s="65" t="str">
        <x:v>Machine-suggested near-miss; human review required.</x:v>
      </x:c>
    </x:row>
    <x:row r="549" ht="42" customHeight="1">
      <x:c r="A549" s="65" t="str">
        <x:v>gold30-028</x:v>
      </x:c>
      <x:c r="B549" s="65" t="str">
        <x:v>bm25</x:v>
      </x:c>
      <x:c r="C549" s="88" t="n">
        <x:v>4</x:v>
      </x:c>
      <x:c r="D549" s="65" t="str">
        <x:v>clean-air-room</x:v>
      </x:c>
      <x:c r="E549" s="65" t="str">
        <x:v>clean-air-room:structure:0</x:v>
      </x:c>
      <x:c r="F549" s="65" t="str">
        <x:v>p.1</x:v>
      </x:c>
      <x:c r="G549" s="92" t="n">
        <x:v>0</x:v>
      </x:c>
      <x:c r="H549" s="65" t="str">
        <x:v>Indoor filtration and a clean-air room</x:v>
      </x:c>
      <x:c r="I549" s="65" t="str">
        <x:v>United States Environmental Protection Agency</x:v>
      </x:c>
      <x:c r="J549" s="65" t="str">
        <x:v>Published: not stated; page last updated 2026-02-17 (accessed 2026-09-07) Status as of: 2026-09-07 (technical guidance; not Indonesian law) Document type: indoor_air_guidance Tags: topic=indoor-filtration; audience=household; action=protect-now; pollutant=particles</x:v>
      </x:c>
      <x:c r="K549" s="65" t="str">
        <x:v>https://www.epa.gov/indoor-air-quality-iaq/guide-air-cleaners-home</x:v>
      </x:c>
      <x:c r="L549" s="65" t="n">
        <x:v>0</x:v>
      </x:c>
      <x:c r="M549" s="65" t="str">
        <x:v>Machine-suggested near-miss; human review required.</x:v>
      </x:c>
    </x:row>
    <x:row r="550" ht="42" customHeight="1">
      <x:c r="A550" s="65" t="str">
        <x:v>gold30-028</x:v>
      </x:c>
      <x:c r="B550" s="65" t="str">
        <x:v>bm25</x:v>
      </x:c>
      <x:c r="C550" s="88" t="n">
        <x:v>5</x:v>
      </x:c>
      <x:c r="D550" s="65" t="str">
        <x:v>epa-air-cleaners-home-2026</x:v>
      </x:c>
      <x:c r="E550" s="65" t="str">
        <x:v>epa-air-cleaners-home-2026:structure:0</x:v>
      </x:c>
      <x:c r="F550" s="65" t="str">
        <x:v>p.1</x:v>
      </x:c>
      <x:c r="G550" s="92" t="n">
        <x:v>0</x:v>
      </x:c>
      <x:c r="H550" s="65" t="str">
        <x:v>US EPA Guide to Air Cleaners in the Home (2nd edition)</x:v>
      </x:c>
      <x:c r="I550" s="65" t="str">
        <x:v>United States Environmental Protection Agency</x:v>
      </x:c>
      <x:c r="J550" s="65" t="str">
        <x:v>The EPA guide discusses portable air cleaners, heating/ventilation and air-conditioning filters, indoor pollutant sources and practical limits. It is technical household guidance and should not be presented as a Jakarta regulation.</x:v>
      </x:c>
      <x:c r="K550" s="65" t="str">
        <x:v>https://www.epa.gov/indoor-air-quality-iaq/guide-air-cleaners-home</x:v>
      </x:c>
      <x:c r="L550" s="65" t="n">
        <x:v>0</x:v>
      </x:c>
      <x:c r="M550" s="65" t="str">
        <x:v>Machine-suggested near-miss; human review required.</x:v>
      </x:c>
    </x:row>
    <x:row r="551" ht="42" customHeight="1">
      <x:c r="A551" s="65" t="str">
        <x:v>gold30-028</x:v>
      </x:c>
      <x:c r="B551" s="65" t="str">
        <x:v>dense</x:v>
      </x:c>
      <x:c r="C551" s="88" t="n">
        <x:v>1</x:v>
      </x:c>
      <x:c r="D551" s="65" t="str">
        <x:v>jakarta-historical-city-series</x:v>
      </x:c>
      <x:c r="E551" s="65" t="str">
        <x:v>jakarta-historical-city-series:structure:0</x:v>
      </x:c>
      <x:c r="F551" s="65" t="str">
        <x:v>p.1</x:v>
      </x:c>
      <x:c r="G551" s="92" t="n">
        <x:v>0.13845001</x:v>
      </x:c>
      <x:c r="H551" s="65" t="str">
        <x:v>Jakarta historical PM2.5 and PM10 series: provenance and quality</x:v>
      </x:c>
      <x:c r="I551" s="65" t="str">
        <x:v>Open-Meteo / CAMS Global; deposited dataset by Nitiraj Kulkarni and Jagadish Tawade</x:v>
      </x:c>
      <x:c r="J551" s="65" t="str">
        <x:v>API source: https://air-quality-api.open-meteo.com/v1/air-quality Retrieved: 2026-09-07</x:v>
      </x:c>
      <x:c r="K551" s="65" t="str">
        <x:v>https://zenodo.org/records/18673885</x:v>
      </x:c>
      <x:c r="L551" s="65" t="n">
        <x:v>0</x:v>
      </x:c>
      <x:c r="M551" s="65" t="str">
        <x:v>Machine-suggested near-miss; human review required.</x:v>
      </x:c>
    </x:row>
    <x:row r="552" ht="42" customHeight="1">
      <x:c r="A552" s="65" t="str">
        <x:v>gold30-028</x:v>
      </x:c>
      <x:c r="B552" s="65" t="str">
        <x:v>dense</x:v>
      </x:c>
      <x:c r="C552" s="88" t="n">
        <x:v>2</x:v>
      </x:c>
      <x:c r="D552" s="65" t="str">
        <x:v>health-disclaimer</x:v>
      </x:c>
      <x:c r="E552" s="65" t="str">
        <x:v>health-disclaimer:structure:0</x:v>
      </x:c>
      <x:c r="F552" s="65" t="str">
        <x:v>p.1</x:v>
      </x:c>
      <x:c r="G552" s="92" t="n">
        <x:v>0.11897615</x:v>
      </x:c>
      <x:c r="H552" s="65" t="str">
        <x:v>Health communication boundary</x:v>
      </x:c>
      <x:c r="I552" s="65" t="str">
        <x:v>World Health Organization</x:v>
      </x:c>
      <x:c r="J552" s="65" t="str">
        <x:v>Air-quality information can support exposure-reduction decisions, but it does not diagnose an individual. The assistant should provide educational information, state uncertainty, and direct people with severe or persistent symptoms to a qualified healthcare professional.</x:v>
      </x:c>
      <x:c r="K552" s="65" t="str">
        <x:v>https://www.who.int/publications/i/item/9789240000278</x:v>
      </x:c>
      <x:c r="L552" s="65" t="n">
        <x:v>3</x:v>
      </x:c>
      <x:c r="M552" s="65" t="str">
        <x:v>Expected source for this question.</x:v>
      </x:c>
    </x:row>
    <x:row r="553" ht="42" customHeight="1">
      <x:c r="A553" s="65" t="str">
        <x:v>gold30-028</x:v>
      </x:c>
      <x:c r="B553" s="65" t="str">
        <x:v>dense</x:v>
      </x:c>
      <x:c r="C553" s="88" t="n">
        <x:v>3</x:v>
      </x:c>
      <x:c r="D553" s="65" t="str">
        <x:v>jakarta-regulations</x:v>
      </x:c>
      <x:c r="E553" s="65" t="str">
        <x:v>jakarta-regulations:structure:0</x:v>
      </x:c>
      <x:c r="F553" s="65" t="str">
        <x:v>p.1</x:v>
      </x:c>
      <x:c r="G553" s="92" t="n">
        <x:v>0.11444949</x:v>
      </x:c>
      <x:c r="H553" s="65" t="str">
        <x:v>Jakarta and Indonesian air-quality regulations</x:v>
      </x:c>
      <x:c r="I553" s="65" t="str">
        <x:v>JDIH DKI Jakarta / Government of Indonesia</x:v>
      </x:c>
      <x:c r="J553" s="65" t="str">
        <x:v>Permen LHK No. 14 of 2020 defines the Indonesian ISPU methodology and categories. ISPU is a unitless index and is not a pollutant concentration. PP No. 22 of 2021 establishes national environmental and ambient air-quality provisions. Pergub DKI No. 66 of 2020 regulates motor-veh…</x:v>
      </x:c>
      <x:c r="K553" s="65" t="str">
        <x:v>https://udara.jakarta.go.id/regulasi</x:v>
      </x:c>
      <x:c r="L553" s="65" t="n">
        <x:v>0</x:v>
      </x:c>
      <x:c r="M553" s="65" t="str">
        <x:v>Machine-suggested near-miss; human review required.</x:v>
      </x:c>
    </x:row>
    <x:row r="554" ht="42" customHeight="1">
      <x:c r="A554" s="65" t="str">
        <x:v>gold30-028</x:v>
      </x:c>
      <x:c r="B554" s="65" t="str">
        <x:v>dense</x:v>
      </x:c>
      <x:c r="C554" s="88" t="n">
        <x:v>4</x:v>
      </x:c>
      <x:c r="D554" s="65" t="str">
        <x:v>exposure-protection</x:v>
      </x:c>
      <x:c r="E554" s="65" t="str">
        <x:v>exposure-protection:structure:0</x:v>
      </x:c>
      <x:c r="F554" s="65" t="str">
        <x:v>p.1</x:v>
      </x:c>
      <x:c r="G554" s="92" t="n">
        <x:v>0.10590946</x:v>
      </x:c>
      <x:c r="H554" s="65" t="str">
        <x:v>Reducing personal exposure to air pollution</x:v>
      </x:c>
      <x:c r="I554" s="65" t="str">
        <x:v>World Health Organization</x:v>
      </x:c>
      <x:c r="J554"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554" s="65" t="str">
        <x:v>https://www.who.int/publications/i/item/9789240000278</x:v>
      </x:c>
      <x:c r="L554" s="65" t="n">
        <x:v>0</x:v>
      </x:c>
      <x:c r="M554" s="65" t="str">
        <x:v>Machine-suggested near-miss; human review required.</x:v>
      </x:c>
    </x:row>
    <x:row r="555" ht="42" customHeight="1">
      <x:c r="A555" s="65" t="str">
        <x:v>gold30-028</x:v>
      </x:c>
      <x:c r="B555" s="65" t="str">
        <x:v>dense</x:v>
      </x:c>
      <x:c r="C555" s="88" t="n">
        <x:v>5</x:v>
      </x:c>
      <x:c r="D555" s="65" t="str">
        <x:v>policy-improvements-evidence</x:v>
      </x:c>
      <x:c r="E555" s="65" t="str">
        <x:v>policy-improvements-evidence:structure:0</x:v>
      </x:c>
      <x:c r="F555" s="65" t="str">
        <x:v>p.1</x:v>
      </x:c>
      <x:c r="G555" s="92" t="n">
        <x:v>0.10506495</x:v>
      </x:c>
      <x:c r="H555" s="65" t="str">
        <x:v>Evidence-based policy improvements for Jakarta</x:v>
      </x:c>
      <x:c r="I555" s="65" t="str">
        <x:v>Dinas Lingkungan Hidup DKI Jakarta; World Health Organization</x:v>
      </x:c>
      <x:c r="J555" s="65" t="str">
        <x:v>Published: 2024-06-19; WHO personal-actions brief 2024-11-15 Status as of: 2026-09-07 (priority options; implementation and outcomes require evaluation) Document type: policy_options Tags: topic=policy-improvement; audience=decision-maker-and-public; action=accountability</x:v>
      </x:c>
      <x:c r="K555" s="65" t="str">
        <x:v>https://www.jakarta.go.id/siaran-pers/4802-SP-HMS-06-2024</x:v>
      </x:c>
      <x:c r="L555" s="65" t="n">
        <x:v>0</x:v>
      </x:c>
      <x:c r="M555" s="65" t="str">
        <x:v>Machine-suggested near-miss; human review required.</x:v>
      </x:c>
    </x:row>
    <x:row r="556" ht="42" customHeight="1">
      <x:c r="A556" s="65" t="str">
        <x:v>gold30-028</x:v>
      </x:c>
      <x:c r="B556" s="65" t="str">
        <x:v>hybrid</x:v>
      </x:c>
      <x:c r="C556" s="88" t="n">
        <x:v>1</x:v>
      </x:c>
      <x:c r="D556" s="65" t="str">
        <x:v>jakarta-seasonal-exposure</x:v>
      </x:c>
      <x:c r="E556" s="65" t="str">
        <x:v>jakarta-seasonal-exposure:structure:0</x:v>
      </x:c>
      <x:c r="F556" s="65" t="str">
        <x:v>p.1</x:v>
      </x:c>
      <x:c r="G556" s="92" t="n">
        <x:v>0.03158358</x:v>
      </x:c>
      <x:c r="H556" s="65" t="str">
        <x:v>Jakarta timing and local exposure context</x:v>
      </x:c>
      <x:c r="I556" s="65" t="str">
        <x:v>Dinas Lingkungan Hidup DKI Jakarta</x:v>
      </x:c>
      <x:c r="J556" s="65" t="str">
        <x:v>Published: 2024-04-06 Status as of: 2026-09-07 (official seasonal notice; not a current forecast) Document type: official_public_guidance Tags: topic=exposure-protection; audience=Jakarta-resident; action=protect-now; pollutant=PM2.5</x:v>
      </x:c>
      <x:c r="K556" s="65" t="str">
        <x:v>https://lingkunganhidup.jakarta.go.id/detail-artikel/masuki-musim-kemarau-pemprov-dki-minta-masyarakat-waspadai-penurunan-kualitas-udara</x:v>
      </x:c>
      <x:c r="L556" s="65" t="n">
        <x:v>0</x:v>
      </x:c>
      <x:c r="M556" s="65" t="str">
        <x:v>Machine-suggested near-miss; human review required.</x:v>
      </x:c>
    </x:row>
    <x:row r="557" ht="42" customHeight="1">
      <x:c r="A557" s="65" t="str">
        <x:v>gold30-028</x:v>
      </x:c>
      <x:c r="B557" s="65" t="str">
        <x:v>hybrid</x:v>
      </x:c>
      <x:c r="C557" s="88" t="n">
        <x:v>2</x:v>
      </x:c>
      <x:c r="D557" s="65" t="str">
        <x:v>health-disclaimer</x:v>
      </x:c>
      <x:c r="E557" s="65" t="str">
        <x:v>health-disclaimer:structure:0</x:v>
      </x:c>
      <x:c r="F557" s="65" t="str">
        <x:v>p.1</x:v>
      </x:c>
      <x:c r="G557" s="92" t="n">
        <x:v>0.03137699</x:v>
      </x:c>
      <x:c r="H557" s="65" t="str">
        <x:v>Health communication boundary</x:v>
      </x:c>
      <x:c r="I557" s="65" t="str">
        <x:v>World Health Organization</x:v>
      </x:c>
      <x:c r="J557" s="65" t="str">
        <x:v>Air-quality information can support exposure-reduction decisions, but it does not diagnose an individual. The assistant should provide educational information, state uncertainty, and direct people with severe or persistent symptoms to a qualified healthcare professional.</x:v>
      </x:c>
      <x:c r="K557" s="65" t="str">
        <x:v>https://www.who.int/publications/i/item/9789240000278</x:v>
      </x:c>
      <x:c r="L557" s="65" t="n">
        <x:v>3</x:v>
      </x:c>
      <x:c r="M557" s="65" t="str">
        <x:v>Expected source for this question.</x:v>
      </x:c>
    </x:row>
    <x:row r="558" ht="42" customHeight="1">
      <x:c r="A558" s="65" t="str">
        <x:v>gold30-028</x:v>
      </x:c>
      <x:c r="B558" s="65" t="str">
        <x:v>hybrid</x:v>
      </x:c>
      <x:c r="C558" s="88" t="n">
        <x:v>3</x:v>
      </x:c>
      <x:c r="D558" s="65" t="str">
        <x:v>exposure-protection</x:v>
      </x:c>
      <x:c r="E558" s="65" t="str">
        <x:v>exposure-protection:structure:0</x:v>
      </x:c>
      <x:c r="F558" s="65" t="str">
        <x:v>p.1</x:v>
      </x:c>
      <x:c r="G558" s="92" t="n">
        <x:v>0.03108902</x:v>
      </x:c>
      <x:c r="H558" s="65" t="str">
        <x:v>Reducing personal exposure to air pollution</x:v>
      </x:c>
      <x:c r="I558" s="65" t="str">
        <x:v>World Health Organization</x:v>
      </x:c>
      <x:c r="J558"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558" s="65" t="str">
        <x:v>https://www.who.int/publications/i/item/9789240000278</x:v>
      </x:c>
      <x:c r="L558" s="65" t="n">
        <x:v>0</x:v>
      </x:c>
      <x:c r="M558" s="65" t="str">
        <x:v>Machine-suggested near-miss; human review required.</x:v>
      </x:c>
    </x:row>
    <x:row r="559" ht="42" customHeight="1">
      <x:c r="A559" s="65" t="str">
        <x:v>gold30-028</x:v>
      </x:c>
      <x:c r="B559" s="65" t="str">
        <x:v>hybrid</x:v>
      </x:c>
      <x:c r="C559" s="88" t="n">
        <x:v>4</x:v>
      </x:c>
      <x:c r="D559" s="65" t="str">
        <x:v>jakarta-improvements</x:v>
      </x:c>
      <x:c r="E559" s="65" t="str">
        <x:v>jakarta-improvements:structure:0</x:v>
      </x:c>
      <x:c r="F559" s="65" t="str">
        <x:v>p.1</x:v>
      </x:c>
      <x:c r="G559" s="92" t="n">
        <x:v>0.03096487</x:v>
      </x:c>
      <x:c r="H559" s="65" t="str">
        <x:v>Ways to improve Jakarta air quality</x:v>
      </x:c>
      <x:c r="I559" s="65" t="str">
        <x:v>Pemerintah Provinsi DKI Jakarta / Dinas Lingkungan Hidup</x:v>
      </x:c>
      <x:c r="J559"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559" s="65" t="str">
        <x:v>https://www.jakarta.go.id/page/upaya-bersama-jaga-kualitas-udara-jakarta</x:v>
      </x:c>
      <x:c r="L559" s="65" t="n">
        <x:v>0</x:v>
      </x:c>
      <x:c r="M559" s="65" t="str">
        <x:v>Machine-suggested near-miss; human review required.</x:v>
      </x:c>
    </x:row>
    <x:row r="560" ht="42" customHeight="1">
      <x:c r="A560" s="65" t="str">
        <x:v>gold30-028</x:v>
      </x:c>
      <x:c r="B560" s="65" t="str">
        <x:v>hybrid</x:v>
      </x:c>
      <x:c r="C560" s="88" t="n">
        <x:v>5</x:v>
      </x:c>
      <x:c r="D560" s="65" t="str">
        <x:v>bad-air-day-protection</x:v>
      </x:c>
      <x:c r="E560" s="65" t="str">
        <x:v>bad-air-day-protection:structure:0</x:v>
      </x:c>
      <x:c r="F560" s="65" t="str">
        <x:v>p.1</x:v>
      </x:c>
      <x:c r="G560" s="92" t="n">
        <x:v>0.03065562</x:v>
      </x:c>
      <x:c r="H560" s="65" t="str">
        <x:v>Bad-air-day protection playbook</x:v>
      </x:c>
      <x:c r="I560" s="65" t="str">
        <x:v>World Health Organization, Regional Office for Europe</x:v>
      </x:c>
      <x:c r="J560" s="65" t="str">
        <x:v>Published: 2024-10-04 Status as of: 2026-09-07 (health guidance; not Indonesian law) Document type: health_guidance Tags: topic=exposure-protection; audience=Jakarta-resident; action=protect-now; pollutant=ambient-particles</x:v>
      </x:c>
      <x:c r="K560" s="65" t="str">
        <x:v>https://www.who.int/news-room/questions-and-answers/item/air-pollution-personal-interventions-and-risk-communication</x:v>
      </x:c>
      <x:c r="L560" s="65" t="n">
        <x:v>0</x:v>
      </x:c>
      <x:c r="M560" s="65" t="str">
        <x:v>Machine-suggested near-miss; human review required.</x:v>
      </x:c>
    </x:row>
    <x:row r="561" ht="42" customHeight="1">
      <x:c r="A561" s="65" t="str">
        <x:v>gold30-028</x:v>
      </x:c>
      <x:c r="B561" s="65" t="str">
        <x:v>hybrid_rerank</x:v>
      </x:c>
      <x:c r="C561" s="88" t="n">
        <x:v>1</x:v>
      </x:c>
      <x:c r="D561" s="65" t="str">
        <x:v>jakarta-seasonal-exposure</x:v>
      </x:c>
      <x:c r="E561" s="65" t="str">
        <x:v>jakarta-seasonal-exposure:structure:0</x:v>
      </x:c>
      <x:c r="F561" s="65" t="str">
        <x:v>p.1</x:v>
      </x:c>
      <x:c r="G561" s="92" t="n">
        <x:v>0.09697507</x:v>
      </x:c>
      <x:c r="H561" s="65" t="str">
        <x:v>Jakarta timing and local exposure context</x:v>
      </x:c>
      <x:c r="I561" s="65" t="str">
        <x:v>Dinas Lingkungan Hidup DKI Jakarta</x:v>
      </x:c>
      <x:c r="J561" s="65" t="str">
        <x:v>Published: 2024-04-06 Status as of: 2026-09-07 (official seasonal notice; not a current forecast) Document type: official_public_guidance Tags: topic=exposure-protection; audience=Jakarta-resident; action=protect-now; pollutant=PM2.5</x:v>
      </x:c>
      <x:c r="K561" s="65" t="str">
        <x:v>https://lingkunganhidup.jakarta.go.id/detail-artikel/masuki-musim-kemarau-pemprov-dki-minta-masyarakat-waspadai-penurunan-kualitas-udara</x:v>
      </x:c>
      <x:c r="L561" s="65" t="n">
        <x:v>0</x:v>
      </x:c>
      <x:c r="M561" s="65" t="str">
        <x:v>Machine-suggested near-miss; human review required.</x:v>
      </x:c>
    </x:row>
    <x:row r="562" ht="42" customHeight="1">
      <x:c r="A562" s="65" t="str">
        <x:v>gold30-028</x:v>
      </x:c>
      <x:c r="B562" s="65" t="str">
        <x:v>hybrid_rerank</x:v>
      </x:c>
      <x:c r="C562" s="88" t="n">
        <x:v>2</x:v>
      </x:c>
      <x:c r="D562" s="65" t="str">
        <x:v>jakarta-improvements</x:v>
      </x:c>
      <x:c r="E562" s="65" t="str">
        <x:v>jakarta-improvements:structure:0</x:v>
      </x:c>
      <x:c r="F562" s="65" t="str">
        <x:v>p.1</x:v>
      </x:c>
      <x:c r="G562" s="92" t="n">
        <x:v>0.09678946</x:v>
      </x:c>
      <x:c r="H562" s="65" t="str">
        <x:v>Ways to improve Jakarta air quality</x:v>
      </x:c>
      <x:c r="I562" s="65" t="str">
        <x:v>Pemerintah Provinsi DKI Jakarta / Dinas Lingkungan Hidup</x:v>
      </x:c>
      <x:c r="J562" s="65" t="str">
        <x:v>Jakarta's air-pollution strategy combines governance and monitoring, reduction of emissions from mobile sources, and reduction from stationary sources. The intervention set includes public transport and vehicle-emission testing, low-emission zones, cleaner energy and fuels, indu…</x:v>
      </x:c>
      <x:c r="K562" s="65" t="str">
        <x:v>https://www.jakarta.go.id/page/upaya-bersama-jaga-kualitas-udara-jakarta</x:v>
      </x:c>
      <x:c r="L562" s="65" t="n">
        <x:v>0</x:v>
      </x:c>
      <x:c r="M562" s="65" t="str">
        <x:v>Machine-suggested near-miss; human review required.</x:v>
      </x:c>
    </x:row>
    <x:row r="563" ht="42" customHeight="1">
      <x:c r="A563" s="65" t="str">
        <x:v>gold30-028</x:v>
      </x:c>
      <x:c r="B563" s="65" t="str">
        <x:v>hybrid_rerank</x:v>
      </x:c>
      <x:c r="C563" s="88" t="n">
        <x:v>3</x:v>
      </x:c>
      <x:c r="D563" s="65" t="str">
        <x:v>health-disclaimer</x:v>
      </x:c>
      <x:c r="E563" s="65" t="str">
        <x:v>health-disclaimer:structure:0</x:v>
      </x:c>
      <x:c r="F563" s="65" t="str">
        <x:v>p.1</x:v>
      </x:c>
      <x:c r="G563" s="92" t="n">
        <x:v>0.0094131</x:v>
      </x:c>
      <x:c r="H563" s="65" t="str">
        <x:v>Health communication boundary</x:v>
      </x:c>
      <x:c r="I563" s="65" t="str">
        <x:v>World Health Organization</x:v>
      </x:c>
      <x:c r="J563" s="65" t="str">
        <x:v>Air-quality information can support exposure-reduction decisions, but it does not diagnose an individual. The assistant should provide educational information, state uncertainty, and direct people with severe or persistent symptoms to a qualified healthcare professional.</x:v>
      </x:c>
      <x:c r="K563" s="65" t="str">
        <x:v>https://www.who.int/publications/i/item/9789240000278</x:v>
      </x:c>
      <x:c r="L563" s="65" t="n">
        <x:v>3</x:v>
      </x:c>
      <x:c r="M563" s="65" t="str">
        <x:v>Expected source for this question.</x:v>
      </x:c>
    </x:row>
    <x:row r="564" ht="42" customHeight="1">
      <x:c r="A564" s="65" t="str">
        <x:v>gold30-028</x:v>
      </x:c>
      <x:c r="B564" s="65" t="str">
        <x:v>hybrid_rerank</x:v>
      </x:c>
      <x:c r="C564" s="88" t="n">
        <x:v>4</x:v>
      </x:c>
      <x:c r="D564" s="65" t="str">
        <x:v>exposure-protection</x:v>
      </x:c>
      <x:c r="E564" s="65" t="str">
        <x:v>exposure-protection:structure:0</x:v>
      </x:c>
      <x:c r="F564" s="65" t="str">
        <x:v>p.1</x:v>
      </x:c>
      <x:c r="G564" s="92" t="n">
        <x:v>0.0093267</x:v>
      </x:c>
      <x:c r="H564" s="65" t="str">
        <x:v>Reducing personal exposure to air pollution</x:v>
      </x:c>
      <x:c r="I564" s="65" t="str">
        <x:v>World Health Organization</x:v>
      </x:c>
      <x:c r="J564"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564" s="65" t="str">
        <x:v>https://www.who.int/publications/i/item/9789240000278</x:v>
      </x:c>
      <x:c r="L564" s="65" t="n">
        <x:v>0</x:v>
      </x:c>
      <x:c r="M564" s="65" t="str">
        <x:v>Machine-suggested near-miss; human review required.</x:v>
      </x:c>
    </x:row>
    <x:row r="565" ht="42" customHeight="1">
      <x:c r="A565" s="65" t="str">
        <x:v>gold30-028</x:v>
      </x:c>
      <x:c r="B565" s="65" t="str">
        <x:v>hybrid_rerank</x:v>
      </x:c>
      <x:c r="C565" s="88" t="n">
        <x:v>5</x:v>
      </x:c>
      <x:c r="D565" s="65" t="str">
        <x:v>bad-air-day-protection</x:v>
      </x:c>
      <x:c r="E565" s="65" t="str">
        <x:v>bad-air-day-protection:structure:0</x:v>
      </x:c>
      <x:c r="F565" s="65" t="str">
        <x:v>p.1</x:v>
      </x:c>
      <x:c r="G565" s="92" t="n">
        <x:v>0.00919669</x:v>
      </x:c>
      <x:c r="H565" s="65" t="str">
        <x:v>Bad-air-day protection playbook</x:v>
      </x:c>
      <x:c r="I565" s="65" t="str">
        <x:v>World Health Organization, Regional Office for Europe</x:v>
      </x:c>
      <x:c r="J565" s="65" t="str">
        <x:v>Published: 2024-10-04 Status as of: 2026-09-07 (health guidance; not Indonesian law) Document type: health_guidance Tags: topic=exposure-protection; audience=Jakarta-resident; action=protect-now; pollutant=ambient-particles</x:v>
      </x:c>
      <x:c r="K565" s="65" t="str">
        <x:v>https://www.who.int/news-room/questions-and-answers/item/air-pollution-personal-interventions-and-risk-communication</x:v>
      </x:c>
      <x:c r="L565" s="65" t="n">
        <x:v>0</x:v>
      </x:c>
      <x:c r="M565" s="65" t="str">
        <x:v>Machine-suggested near-miss; human review required.</x:v>
      </x:c>
    </x:row>
    <x:row r="566" ht="42" customHeight="1">
      <x:c r="A566" s="65" t="str">
        <x:v>gold30-029</x:v>
      </x:c>
      <x:c r="B566" s="65" t="str">
        <x:v>bm25</x:v>
      </x:c>
      <x:c r="C566" s="88" t="n">
        <x:v>1</x:v>
      </x:c>
      <x:c r="D566" s="65" t="str">
        <x:v>jakarta-causes</x:v>
      </x:c>
      <x:c r="E566" s="65" t="str">
        <x:v>jakarta-causes:structure:0</x:v>
      </x:c>
      <x:c r="F566" s="65" t="str">
        <x:v>p.1</x:v>
      </x:c>
      <x:c r="G566" s="92" t="n">
        <x:v>0.5</x:v>
      </x:c>
      <x:c r="H566" s="65" t="str">
        <x:v>What causes Jakarta air pollution</x:v>
      </x:c>
      <x:c r="I566" s="65" t="str">
        <x:v>Dinas Lingkungan Hidup DKI Jakarta / Vital Strategies / ITB</x:v>
      </x:c>
      <x:c r="J566"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566" s="65" t="str">
        <x:v>https://rendahemisi.jakarta.go.id/learn</x:v>
      </x:c>
      <x:c r="L566" s="65" t="n">
        <x:v>0</x:v>
      </x:c>
      <x:c r="M566" s="65" t="str">
        <x:v>Machine-suggested near-miss; human review required.</x:v>
      </x:c>
    </x:row>
    <x:row r="567" ht="42" customHeight="1">
      <x:c r="A567" s="65" t="str">
        <x:v>gold30-029</x:v>
      </x:c>
      <x:c r="B567" s="65" t="str">
        <x:v>bm25</x:v>
      </x:c>
      <x:c r="C567" s="88" t="n">
        <x:v>2</x:v>
      </x:c>
      <x:c r="D567" s="65" t="str">
        <x:v>jakarta-historical-city-series</x:v>
      </x:c>
      <x:c r="E567" s="65" t="str">
        <x:v>jakarta-historical-city-series:structure:2</x:v>
      </x:c>
      <x:c r="F567" s="65" t="str">
        <x:v>p.3</x:v>
      </x:c>
      <x:c r="G567" s="92" t="n">
        <x:v>0.5</x:v>
      </x:c>
      <x:c r="H567" s="65" t="str">
        <x:v>Jakarta historical PM2.5 and PM10 series: provenance and quality</x:v>
      </x:c>
      <x:c r="I567" s="65" t="str">
        <x:v>Open-Meteo / CAMS Global; deposited dataset by Nitiraj Kulkarni and Jagadish Tawade</x:v>
      </x:c>
      <x:c r="J567"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567" s="65" t="str">
        <x:v>https://zenodo.org/records/18673885</x:v>
      </x:c>
      <x:c r="L567" s="65" t="n">
        <x:v>0</x:v>
      </x:c>
      <x:c r="M567" s="65" t="str">
        <x:v>Machine-suggested near-miss; human review required.</x:v>
      </x:c>
    </x:row>
    <x:row r="568" ht="42" customHeight="1">
      <x:c r="A568" s="65" t="str">
        <x:v>gold30-029</x:v>
      </x:c>
      <x:c r="B568" s="65" t="str">
        <x:v>bm25</x:v>
      </x:c>
      <x:c r="C568" s="88" t="n">
        <x:v>3</x:v>
      </x:c>
      <x:c r="D568" s="65" t="str">
        <x:v>bad-air-day-protection</x:v>
      </x:c>
      <x:c r="E568" s="65" t="str">
        <x:v>bad-air-day-protection:structure:1</x:v>
      </x:c>
      <x:c r="F568" s="65" t="str">
        <x:v>p.2</x:v>
      </x:c>
      <x:c r="G568" s="92" t="n">
        <x:v>0.4</x:v>
      </x:c>
      <x:c r="H568" s="65" t="str">
        <x:v>Bad-air-day protection playbook</x:v>
      </x:c>
      <x:c r="I568" s="65" t="str">
        <x:v>World Health Organization, Regional Office for Europe</x:v>
      </x:c>
      <x:c r="J568"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568" s="65" t="str">
        <x:v>https://www.who.int/news-room/questions-and-answers/item/air-pollution-personal-interventions-and-risk-communication</x:v>
      </x:c>
      <x:c r="L568" s="65" t="n">
        <x:v>0</x:v>
      </x:c>
      <x:c r="M568" s="65" t="str">
        <x:v>Machine-suggested near-miss; human review required.</x:v>
      </x:c>
    </x:row>
    <x:row r="569" ht="42" customHeight="1">
      <x:c r="A569" s="65" t="str">
        <x:v>gold30-029</x:v>
      </x:c>
      <x:c r="B569" s="65" t="str">
        <x:v>bm25</x:v>
      </x:c>
      <x:c r="C569" s="88" t="n">
        <x:v>4</x:v>
      </x:c>
      <x:c r="D569" s="65" t="str">
        <x:v>individual-emission-actions</x:v>
      </x:c>
      <x:c r="E569" s="65" t="str">
        <x:v>individual-emission-actions:structure:1</x:v>
      </x:c>
      <x:c r="F569" s="65" t="str">
        <x:v>p.2</x:v>
      </x:c>
      <x:c r="G569" s="92" t="n">
        <x:v>0.4</x:v>
      </x:c>
      <x:c r="H569" s="65" t="str">
        <x:v>What an individual can do to reduce emissions and improve accountability</x:v>
      </x:c>
      <x:c r="I569" s="65" t="str">
        <x:v>World Health Organization; Pemerintah Provinsi DKI Jakarta</x:v>
      </x:c>
      <x:c r="J569" s="65" t="str">
        <x:v>Use public transport, shared trips, walking, or cycling where current air quality, heat, safety, and mobility needs make that reasonable. Avoid needless idling, maintain the engine and tyres, repair visible smoke, and complete the required emissions test; a passing test is a com…</x:v>
      </x:c>
      <x:c r="K569" s="65" t="str">
        <x:v>https://www.who.int/europe/publications/m/item/personal-level-actions-to-reduce-air-pollution-exposure</x:v>
      </x:c>
      <x:c r="L569" s="65" t="n">
        <x:v>0</x:v>
      </x:c>
      <x:c r="M569" s="65" t="str">
        <x:v>Machine-suggested near-miss; human review required.</x:v>
      </x:c>
    </x:row>
    <x:row r="570" ht="42" customHeight="1">
      <x:c r="A570" s="65" t="str">
        <x:v>gold30-029</x:v>
      </x:c>
      <x:c r="B570" s="65" t="str">
        <x:v>bm25</x:v>
      </x:c>
      <x:c r="C570" s="88" t="n">
        <x:v>5</x:v>
      </x:c>
      <x:c r="D570" s="65" t="str">
        <x:v>policy-improvements-evidence</x:v>
      </x:c>
      <x:c r="E570" s="65" t="str">
        <x:v>policy-improvements-evidence:structure:2</x:v>
      </x:c>
      <x:c r="F570" s="65" t="str">
        <x:v>p.3</x:v>
      </x:c>
      <x:c r="G570" s="92" t="n">
        <x:v>0.4</x:v>
      </x:c>
      <x:c r="H570" s="65" t="str">
        <x:v>Evidence-based policy improvements for Jakarta</x:v>
      </x:c>
      <x:c r="I570" s="65" t="str">
        <x:v>Dinas Lingkungan Hidup DKI Jakarta; World Health Organization</x:v>
      </x:c>
      <x:c r="J570"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570" s="65" t="str">
        <x:v>https://www.jakarta.go.id/siaran-pers/4802-SP-HMS-06-2024</x:v>
      </x:c>
      <x:c r="L570" s="65" t="n">
        <x:v>0</x:v>
      </x:c>
      <x:c r="M570" s="65" t="str">
        <x:v>Machine-suggested near-miss; human review required.</x:v>
      </x:c>
    </x:row>
    <x:row r="571" ht="42" customHeight="1">
      <x:c r="A571" s="65" t="str">
        <x:v>gold30-029</x:v>
      </x:c>
      <x:c r="B571" s="65" t="str">
        <x:v>dense</x:v>
      </x:c>
      <x:c r="C571" s="88" t="n">
        <x:v>1</x:v>
      </x:c>
      <x:c r="D571" s="65" t="str">
        <x:v>jakarta-monitoring</x:v>
      </x:c>
      <x:c r="E571" s="65" t="str">
        <x:v>jakarta-monitoring:structure:0</x:v>
      </x:c>
      <x:c r="F571" s="65" t="str">
        <x:v>p.1</x:v>
      </x:c>
      <x:c r="G571" s="92" t="n">
        <x:v>0.37736938</x:v>
      </x:c>
      <x:c r="H571" s="65" t="str">
        <x:v>Jakarta monitoring stations</x:v>
      </x:c>
      <x:c r="I571" s="65" t="str">
        <x:v>Dinas Lingkungan Hidup Provinsi DKI Jakarta</x:v>
      </x:c>
      <x:c r="J571" s="65" t="str">
        <x:v>Jakarta's official monitoring portal publishes station locations, pollutant parameters, current readings, and timestamps. A station observation describes that station and observation time; it should not automatically be generalized to all of Jakarta.</x:v>
      </x:c>
      <x:c r="K571" s="65" t="str">
        <x:v>https://udara.jakarta.go.id/lokasi-spku</x:v>
      </x:c>
      <x:c r="L571" s="65" t="n">
        <x:v>3</x:v>
      </x:c>
      <x:c r="M571" s="65" t="str">
        <x:v>Expected source for this question.</x:v>
      </x:c>
    </x:row>
    <x:row r="572" ht="42" customHeight="1">
      <x:c r="A572" s="65" t="str">
        <x:v>gold30-029</x:v>
      </x:c>
      <x:c r="B572" s="65" t="str">
        <x:v>dense</x:v>
      </x:c>
      <x:c r="C572" s="88" t="n">
        <x:v>2</x:v>
      </x:c>
      <x:c r="D572" s="65" t="str">
        <x:v>jakarta-court-air-quality</x:v>
      </x:c>
      <x:c r="E572" s="65" t="str">
        <x:v>jakarta-court-air-quality:structure:1</x:v>
      </x:c>
      <x:c r="F572" s="65" t="str">
        <x:v>p.2</x:v>
      </x:c>
      <x:c r="G572" s="92" t="n">
        <x:v>0.26529072</x:v>
      </x:c>
      <x:c r="H572" s="65" t="str">
        <x:v>Jakarta air-pollution citizen lawsuit: what the court record establishes</x:v>
      </x:c>
      <x:c r="I572" s="65" t="str">
        <x:v>Mahkamah Agung Republik Indonesia</x:v>
      </x:c>
      <x:c r="J572" s="65" t="str">
        <x:v>The Supreme Court case directory records Pengadilan Negeri Jakarta Pusat case 374/Pdt.G/LH/2019/PN Jkt.Pst, a citizen lawsuit concerning Jakarta air pollution, with a decision dated 16 September 2021. The record identifies government defendants and surrounding-province parties.…</x:v>
      </x:c>
      <x:c r="K572" s="65" t="str">
        <x:v>https://putusan3.mahkamahagung.go.id/pengadilan/profil/pengadilan/pn-jakarta-pusat.html</x:v>
      </x:c>
      <x:c r="L572" s="65" t="n">
        <x:v>0</x:v>
      </x:c>
      <x:c r="M572" s="65" t="str">
        <x:v>Machine-suggested near-miss; human review required.</x:v>
      </x:c>
    </x:row>
    <x:row r="573" ht="42" customHeight="1">
      <x:c r="A573" s="65" t="str">
        <x:v>gold30-029</x:v>
      </x:c>
      <x:c r="B573" s="65" t="str">
        <x:v>dense</x:v>
      </x:c>
      <x:c r="C573" s="88" t="n">
        <x:v>3</x:v>
      </x:c>
      <x:c r="D573" s="65" t="str">
        <x:v>jakarta-sppu-official-status-2024</x:v>
      </x:c>
      <x:c r="E573" s="65" t="str">
        <x:v>jakarta-sppu-official-status-2024:structure:1</x:v>
      </x:c>
      <x:c r="F573" s="65" t="str">
        <x:v>p.2</x:v>
      </x:c>
      <x:c r="G573" s="92" t="n">
        <x:v>0.25682584</x:v>
      </x:c>
      <x:c r="H573" s="65" t="str">
        <x:v>Jakarta SPPU and air-quality implementation status (official statement, 2024)</x:v>
      </x:c>
      <x:c r="I573" s="65" t="str">
        <x:v>Pemerintah Provinsi DKI Jakarta / Dinas Lingkungan Hidup DKI Jakarta</x:v>
      </x:c>
      <x:c r="J573" s="65" t="str">
        <x:v>The official statement discusses work involving emissions inventories, stronger oversight of mobile and stationary sources, and cooperation across the Greater Jakarta agglomeration. These are documented workstreams and should not be rewritten as completed outcomes without separa…</x:v>
      </x:c>
      <x:c r="K573" s="65" t="str">
        <x:v>https://www.jakarta.go.id/siaran-pers/4802-SP-HMS-06-2024</x:v>
      </x:c>
      <x:c r="L573" s="65" t="n">
        <x:v>0</x:v>
      </x:c>
      <x:c r="M573" s="65" t="str">
        <x:v>Machine-suggested near-miss; human review required.</x:v>
      </x:c>
    </x:row>
    <x:row r="574" ht="42" customHeight="1">
      <x:c r="A574" s="65" t="str">
        <x:v>gold30-029</x:v>
      </x:c>
      <x:c r="B574" s="65" t="str">
        <x:v>dense</x:v>
      </x:c>
      <x:c r="C574" s="88" t="n">
        <x:v>4</x:v>
      </x:c>
      <x:c r="D574" s="65" t="str">
        <x:v>jakarta-causes</x:v>
      </x:c>
      <x:c r="E574" s="65" t="str">
        <x:v>jakarta-causes:structure:0</x:v>
      </x:c>
      <x:c r="F574" s="65" t="str">
        <x:v>p.1</x:v>
      </x:c>
      <x:c r="G574" s="92" t="n">
        <x:v>0.25668748</x:v>
      </x:c>
      <x:c r="H574" s="65" t="str">
        <x:v>What causes Jakarta air pollution</x:v>
      </x:c>
      <x:c r="I574" s="65" t="str">
        <x:v>Dinas Lingkungan Hidup DKI Jakarta / Vital Strategies / ITB</x:v>
      </x:c>
      <x:c r="J574"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574" s="65" t="str">
        <x:v>https://rendahemisi.jakarta.go.id/learn</x:v>
      </x:c>
      <x:c r="L574" s="65" t="n">
        <x:v>0</x:v>
      </x:c>
      <x:c r="M574" s="65" t="str">
        <x:v>Machine-suggested near-miss; human review required.</x:v>
      </x:c>
    </x:row>
    <x:row r="575" ht="42" customHeight="1">
      <x:c r="A575" s="65" t="str">
        <x:v>gold30-029</x:v>
      </x:c>
      <x:c r="B575" s="65" t="str">
        <x:v>dense</x:v>
      </x:c>
      <x:c r="C575" s="88" t="n">
        <x:v>5</x:v>
      </x:c>
      <x:c r="D575" s="65" t="str">
        <x:v>jakarta-policy-implementation</x:v>
      </x:c>
      <x:c r="E575" s="65" t="str">
        <x:v>jakarta-policy-implementation:structure:2</x:v>
      </x:c>
      <x:c r="F575" s="65" t="str">
        <x:v>p.3</x:v>
      </x:c>
      <x:c r="G575" s="92" t="n">
        <x:v>0.25504152</x:v>
      </x:c>
      <x:c r="H575" s="65" t="str">
        <x:v>Why rules can coexist with poor air: implementation evidence</x:v>
      </x:c>
      <x:c r="I575" s="65" t="str">
        <x:v>Pemerintah Provinsi DKI Jakarta; Dinas Lingkungan Hidup DKI Jakarta; Mahkamah Agung</x:v>
      </x:c>
      <x:c r="J575"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575" s="65" t="str">
        <x:v>https://www.jakarta.go.id/siaran-pers/4802-SP-HMS-06-2024</x:v>
      </x:c>
      <x:c r="L575" s="65" t="n">
        <x:v>0</x:v>
      </x:c>
      <x:c r="M575" s="65" t="str">
        <x:v>Machine-suggested near-miss; human review required.</x:v>
      </x:c>
    </x:row>
    <x:row r="576" ht="42" customHeight="1">
      <x:c r="A576" s="65" t="str">
        <x:v>gold30-029</x:v>
      </x:c>
      <x:c r="B576" s="65" t="str">
        <x:v>hybrid</x:v>
      </x:c>
      <x:c r="C576" s="88" t="n">
        <x:v>1</x:v>
      </x:c>
      <x:c r="D576" s="65" t="str">
        <x:v>jakarta-causes</x:v>
      </x:c>
      <x:c r="E576" s="65" t="str">
        <x:v>jakarta-causes:structure:0</x:v>
      </x:c>
      <x:c r="F576" s="65" t="str">
        <x:v>p.1</x:v>
      </x:c>
      <x:c r="G576" s="92" t="n">
        <x:v>0.03233094</x:v>
      </x:c>
      <x:c r="H576" s="65" t="str">
        <x:v>What causes Jakarta air pollution</x:v>
      </x:c>
      <x:c r="I576" s="65" t="str">
        <x:v>Dinas Lingkungan Hidup DKI Jakarta / Vital Strategies / ITB</x:v>
      </x:c>
      <x:c r="J576"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576" s="65" t="str">
        <x:v>https://rendahemisi.jakarta.go.id/learn</x:v>
      </x:c>
      <x:c r="L576" s="65" t="n">
        <x:v>0</x:v>
      </x:c>
      <x:c r="M576" s="65" t="str">
        <x:v>Machine-suggested near-miss; human review required.</x:v>
      </x:c>
    </x:row>
    <x:row r="577" ht="42" customHeight="1">
      <x:c r="A577" s="65" t="str">
        <x:v>gold30-029</x:v>
      </x:c>
      <x:c r="B577" s="65" t="str">
        <x:v>hybrid</x:v>
      </x:c>
      <x:c r="C577" s="88" t="n">
        <x:v>2</x:v>
      </x:c>
      <x:c r="D577" s="65" t="str">
        <x:v>jakarta-monitoring</x:v>
      </x:c>
      <x:c r="E577" s="65" t="str">
        <x:v>jakarta-monitoring:structure:0</x:v>
      </x:c>
      <x:c r="F577" s="65" t="str">
        <x:v>p.1</x:v>
      </x:c>
      <x:c r="G577" s="92" t="n">
        <x:v>0.03187283</x:v>
      </x:c>
      <x:c r="H577" s="65" t="str">
        <x:v>Jakarta monitoring stations</x:v>
      </x:c>
      <x:c r="I577" s="65" t="str">
        <x:v>Dinas Lingkungan Hidup Provinsi DKI Jakarta</x:v>
      </x:c>
      <x:c r="J577" s="65" t="str">
        <x:v>Jakarta's official monitoring portal publishes station locations, pollutant parameters, current readings, and timestamps. A station observation describes that station and observation time; it should not automatically be generalized to all of Jakarta.</x:v>
      </x:c>
      <x:c r="K577" s="65" t="str">
        <x:v>https://udara.jakarta.go.id/lokasi-spku</x:v>
      </x:c>
      <x:c r="L577" s="65" t="n">
        <x:v>3</x:v>
      </x:c>
      <x:c r="M577" s="65" t="str">
        <x:v>Expected source for this question.</x:v>
      </x:c>
    </x:row>
    <x:row r="578" ht="42" customHeight="1">
      <x:c r="A578" s="65" t="str">
        <x:v>gold30-029</x:v>
      </x:c>
      <x:c r="B578" s="65" t="str">
        <x:v>hybrid</x:v>
      </x:c>
      <x:c r="C578" s="88" t="n">
        <x:v>3</x:v>
      </x:c>
      <x:c r="D578" s="65" t="str">
        <x:v>jakarta-historical-city-series</x:v>
      </x:c>
      <x:c r="E578" s="65" t="str">
        <x:v>jakarta-historical-city-series:structure:2</x:v>
      </x:c>
      <x:c r="F578" s="65" t="str">
        <x:v>p.3</x:v>
      </x:c>
      <x:c r="G578" s="92" t="n">
        <x:v>0.03112903</x:v>
      </x:c>
      <x:c r="H578" s="65" t="str">
        <x:v>Jakarta historical PM2.5 and PM10 series: provenance and quality</x:v>
      </x:c>
      <x:c r="I578" s="65" t="str">
        <x:v>Open-Meteo / CAMS Global; deposited dataset by Nitiraj Kulkarni and Jagadish Tawade</x:v>
      </x:c>
      <x:c r="J578"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578" s="65" t="str">
        <x:v>https://zenodo.org/records/18673885</x:v>
      </x:c>
      <x:c r="L578" s="65" t="n">
        <x:v>0</x:v>
      </x:c>
      <x:c r="M578" s="65" t="str">
        <x:v>Machine-suggested near-miss; human review required.</x:v>
      </x:c>
    </x:row>
    <x:row r="579" ht="42" customHeight="1">
      <x:c r="A579" s="65" t="str">
        <x:v>gold30-029</x:v>
      </x:c>
      <x:c r="B579" s="65" t="str">
        <x:v>hybrid</x:v>
      </x:c>
      <x:c r="C579" s="88" t="n">
        <x:v>4</x:v>
      </x:c>
      <x:c r="D579" s="65" t="str">
        <x:v>jakarta-policy-implementation</x:v>
      </x:c>
      <x:c r="E579" s="65" t="str">
        <x:v>jakarta-policy-implementation:structure:2</x:v>
      </x:c>
      <x:c r="F579" s="65" t="str">
        <x:v>p.3</x:v>
      </x:c>
      <x:c r="G579" s="92" t="n">
        <x:v>0.03061768</x:v>
      </x:c>
      <x:c r="H579" s="65" t="str">
        <x:v>Why rules can coexist with poor air: implementation evidence</x:v>
      </x:c>
      <x:c r="I579" s="65" t="str">
        <x:v>Pemerintah Provinsi DKI Jakarta; Dinas Lingkungan Hidup DKI Jakarta; Mahkamah Agung</x:v>
      </x:c>
      <x:c r="J579" s="65" t="str">
        <x:v>In its 2024 public statement, DKI said implementation of Kepgub 576/2023's Strategy for Air Pollution Control was still being completed: the city was developing a more systematic emissions inventory, tightening mobile and stationary-source oversight, and seeking cooperation with…</x:v>
      </x:c>
      <x:c r="K579" s="65" t="str">
        <x:v>https://www.jakarta.go.id/siaran-pers/4802-SP-HMS-06-2024</x:v>
      </x:c>
      <x:c r="L579" s="65" t="n">
        <x:v>0</x:v>
      </x:c>
      <x:c r="M579" s="65" t="str">
        <x:v>Machine-suggested near-miss; human review required.</x:v>
      </x:c>
    </x:row>
    <x:row r="580" ht="42" customHeight="1">
      <x:c r="A580" s="65" t="str">
        <x:v>gold30-029</x:v>
      </x:c>
      <x:c r="B580" s="65" t="str">
        <x:v>hybrid</x:v>
      </x:c>
      <x:c r="C580" s="88" t="n">
        <x:v>5</x:v>
      </x:c>
      <x:c r="D580" s="65" t="str">
        <x:v>policy-improvements-evidence</x:v>
      </x:c>
      <x:c r="E580" s="65" t="str">
        <x:v>policy-improvements-evidence:structure:2</x:v>
      </x:c>
      <x:c r="F580" s="65" t="str">
        <x:v>p.3</x:v>
      </x:c>
      <x:c r="G580" s="92" t="n">
        <x:v>0.02995604</x:v>
      </x:c>
      <x:c r="H580" s="65" t="str">
        <x:v>Evidence-based policy improvements for Jakarta</x:v>
      </x:c>
      <x:c r="I580" s="65" t="str">
        <x:v>Dinas Lingkungan Hidup DKI Jakarta; World Health Organization</x:v>
      </x:c>
      <x:c r="J580"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580" s="65" t="str">
        <x:v>https://www.jakarta.go.id/siaran-pers/4802-SP-HMS-06-2024</x:v>
      </x:c>
      <x:c r="L580" s="65" t="n">
        <x:v>0</x:v>
      </x:c>
      <x:c r="M580" s="65" t="str">
        <x:v>Machine-suggested near-miss; human review required.</x:v>
      </x:c>
    </x:row>
    <x:row r="581" ht="42" customHeight="1">
      <x:c r="A581" s="65" t="str">
        <x:v>gold30-029</x:v>
      </x:c>
      <x:c r="B581" s="65" t="str">
        <x:v>hybrid_rerank</x:v>
      </x:c>
      <x:c r="C581" s="88" t="n">
        <x:v>1</x:v>
      </x:c>
      <x:c r="D581" s="65" t="str">
        <x:v>jakarta-causes</x:v>
      </x:c>
      <x:c r="E581" s="65" t="str">
        <x:v>jakarta-causes:structure:0</x:v>
      </x:c>
      <x:c r="F581" s="65" t="str">
        <x:v>p.1</x:v>
      </x:c>
      <x:c r="G581" s="92" t="n">
        <x:v>0.35969928</x:v>
      </x:c>
      <x:c r="H581" s="65" t="str">
        <x:v>What causes Jakarta air pollution</x:v>
      </x:c>
      <x:c r="I581" s="65" t="str">
        <x:v>Dinas Lingkungan Hidup DKI Jakarta / Vital Strategies / ITB</x:v>
      </x:c>
      <x:c r="J581" s="65" t="str">
        <x:v>Jakarta's pollution has multiple local and regional sources. The 2020 DKI emissions inventory attributed major shares of NOx, CO, PM10, and PM2.5 emissions to transport, while manufacturing was the largest source of SO2 and a major secondary source for particulate pollution. The…</x:v>
      </x:c>
      <x:c r="K581" s="65" t="str">
        <x:v>https://rendahemisi.jakarta.go.id/learn</x:v>
      </x:c>
      <x:c r="L581" s="65" t="n">
        <x:v>0</x:v>
      </x:c>
      <x:c r="M581" s="65" t="str">
        <x:v>Machine-suggested near-miss; human review required.</x:v>
      </x:c>
    </x:row>
    <x:row r="582" ht="42" customHeight="1">
      <x:c r="A582" s="65" t="str">
        <x:v>gold30-029</x:v>
      </x:c>
      <x:c r="B582" s="65" t="str">
        <x:v>hybrid_rerank</x:v>
      </x:c>
      <x:c r="C582" s="88" t="n">
        <x:v>2</x:v>
      </x:c>
      <x:c r="D582" s="65" t="str">
        <x:v>jakarta-historical-city-series</x:v>
      </x:c>
      <x:c r="E582" s="65" t="str">
        <x:v>jakarta-historical-city-series:structure:2</x:v>
      </x:c>
      <x:c r="F582" s="65" t="str">
        <x:v>p.3</x:v>
      </x:c>
      <x:c r="G582" s="92" t="n">
        <x:v>0.35933871</x:v>
      </x:c>
      <x:c r="H582" s="65" t="str">
        <x:v>Jakarta historical PM2.5 and PM10 series: provenance and quality</x:v>
      </x:c>
      <x:c r="I582" s="65" t="str">
        <x:v>Open-Meteo / CAMS Global; deposited dataset by Nitiraj Kulkarni and Jagadish Tawade</x:v>
      </x:c>
      <x:c r="J582" s="65" t="str">
        <x:v>The retained CSV is daily. For the repository's recent refresh, ingestion groups the API timestamps by local Asia/Jakarta date and averages each pollutant independently over its available upstream values. The Zenodo artifact supplies daily date rows, but does not retain raw time…</x:v>
      </x:c>
      <x:c r="K582" s="65" t="str">
        <x:v>https://zenodo.org/records/18673885</x:v>
      </x:c>
      <x:c r="L582" s="65" t="n">
        <x:v>0</x:v>
      </x:c>
      <x:c r="M582" s="65" t="str">
        <x:v>Machine-suggested near-miss; human review required.</x:v>
      </x:c>
    </x:row>
    <x:row r="583" ht="42" customHeight="1">
      <x:c r="A583" s="65" t="str">
        <x:v>gold30-029</x:v>
      </x:c>
      <x:c r="B583" s="65" t="str">
        <x:v>hybrid_rerank</x:v>
      </x:c>
      <x:c r="C583" s="88" t="n">
        <x:v>3</x:v>
      </x:c>
      <x:c r="D583" s="65" t="str">
        <x:v>policy-improvements-evidence</x:v>
      </x:c>
      <x:c r="E583" s="65" t="str">
        <x:v>policy-improvements-evidence:structure:2</x:v>
      </x:c>
      <x:c r="F583" s="65" t="str">
        <x:v>p.3</x:v>
      </x:c>
      <x:c r="G583" s="92" t="n">
        <x:v>0.28898681</x:v>
      </x:c>
      <x:c r="H583" s="65" t="str">
        <x:v>Evidence-based policy improvements for Jakarta</x:v>
      </x:c>
      <x:c r="I583" s="65" t="str">
        <x:v>Dinas Lingkungan Hidup DKI Jakarta; World Health Organization</x:v>
      </x:c>
      <x:c r="J583" s="65" t="str">
        <x:v>* Near term enforcement: publish a vehicle-testing denominator and pass/fail and sanction rates; expand roadside checks and repair support; audit testing centres; require transparent stationary-source inspection and CEMS follow-up. DKI's own 2024 materials identify inventory and…</x:v>
      </x:c>
      <x:c r="K583" s="65" t="str">
        <x:v>https://www.jakarta.go.id/siaran-pers/4802-SP-HMS-06-2024</x:v>
      </x:c>
      <x:c r="L583" s="65" t="n">
        <x:v>0</x:v>
      </x:c>
      <x:c r="M583" s="65" t="str">
        <x:v>Machine-suggested near-miss; human review required.</x:v>
      </x:c>
    </x:row>
    <x:row r="584" ht="42" customHeight="1">
      <x:c r="A584" s="65" t="str">
        <x:v>gold30-029</x:v>
      </x:c>
      <x:c r="B584" s="65" t="str">
        <x:v>hybrid_rerank</x:v>
      </x:c>
      <x:c r="C584" s="88" t="n">
        <x:v>4</x:v>
      </x:c>
      <x:c r="D584" s="65" t="str">
        <x:v>bad-air-day-protection</x:v>
      </x:c>
      <x:c r="E584" s="65" t="str">
        <x:v>bad-air-day-protection:structure:1</x:v>
      </x:c>
      <x:c r="F584" s="65" t="str">
        <x:v>p.2</x:v>
      </x:c>
      <x:c r="G584" s="92" t="n">
        <x:v>0.2847619</x:v>
      </x:c>
      <x:c r="H584" s="65" t="str">
        <x:v>Bad-air-day protection playbook</x:v>
      </x:c>
      <x:c r="I584" s="65" t="str">
        <x:v>World Health Organization, Regional Office for Europe</x:v>
      </x:c>
      <x:c r="J584" s="65" t="str">
        <x:v>1. Check a fresh reading and timestamp on the official DKI portal (and the pollutant, not only the index). If the reading is elevated, shorten outdoor time, move exercise to a cleaner time/place, and avoid moderate-to-vigorous outdoor exertion. Jakarta's own seasonal notice says…</x:v>
      </x:c>
      <x:c r="K584" s="65" t="str">
        <x:v>https://www.who.int/news-room/questions-and-answers/item/air-pollution-personal-interventions-and-risk-communication</x:v>
      </x:c>
      <x:c r="L584" s="65" t="n">
        <x:v>0</x:v>
      </x:c>
      <x:c r="M584" s="65" t="str">
        <x:v>Machine-suggested near-miss; human review required.</x:v>
      </x:c>
    </x:row>
    <x:row r="585" ht="42" customHeight="1">
      <x:c r="A585" s="65" t="str">
        <x:v>gold30-029</x:v>
      </x:c>
      <x:c r="B585" s="65" t="str">
        <x:v>hybrid_rerank</x:v>
      </x:c>
      <x:c r="C585" s="88" t="n">
        <x:v>5</x:v>
      </x:c>
      <x:c r="D585" s="65" t="str">
        <x:v>jakarta-monitoring</x:v>
      </x:c>
      <x:c r="E585" s="65" t="str">
        <x:v>jakarta-monitoring:structure:0</x:v>
      </x:c>
      <x:c r="F585" s="65" t="str">
        <x:v>p.1</x:v>
      </x:c>
      <x:c r="G585" s="92" t="n">
        <x:v>0.21956185</x:v>
      </x:c>
      <x:c r="H585" s="65" t="str">
        <x:v>Jakarta monitoring stations</x:v>
      </x:c>
      <x:c r="I585" s="65" t="str">
        <x:v>Dinas Lingkungan Hidup Provinsi DKI Jakarta</x:v>
      </x:c>
      <x:c r="J585" s="65" t="str">
        <x:v>Jakarta's official monitoring portal publishes station locations, pollutant parameters, current readings, and timestamps. A station observation describes that station and observation time; it should not automatically be generalized to all of Jakarta.</x:v>
      </x:c>
      <x:c r="K585" s="65" t="str">
        <x:v>https://udara.jakarta.go.id/lokasi-spku</x:v>
      </x:c>
      <x:c r="L585" s="65" t="n">
        <x:v>3</x:v>
      </x:c>
      <x:c r="M585" s="65" t="str">
        <x:v>Expected source for this question.</x:v>
      </x:c>
    </x:row>
    <x:row r="586" ht="42" customHeight="1">
      <x:c r="A586" s="65" t="str">
        <x:v>gold30-030</x:v>
      </x:c>
      <x:c r="B586" s="65" t="str">
        <x:v>bm25</x:v>
      </x:c>
      <x:c r="C586" s="88" t="n">
        <x:v>1</x:v>
      </x:c>
      <x:c r="D586" s="65" t="str">
        <x:v>bad-air-day-protection</x:v>
      </x:c>
      <x:c r="E586" s="65" t="str">
        <x:v>bad-air-day-protection:structure:0</x:v>
      </x:c>
      <x:c r="F586" s="65" t="str">
        <x:v>p.1</x:v>
      </x:c>
      <x:c r="G586" s="92" t="n">
        <x:v>0</x:v>
      </x:c>
      <x:c r="H586" s="65" t="str">
        <x:v>Bad-air-day protection playbook</x:v>
      </x:c>
      <x:c r="I586" s="65" t="str">
        <x:v>World Health Organization, Regional Office for Europe</x:v>
      </x:c>
      <x:c r="J586" s="65" t="str">
        <x:v>Published: 2024-10-04 Status as of: 2026-09-07 (health guidance; not Indonesian law) Document type: health_guidance Tags: topic=exposure-protection; audience=Jakarta-resident; action=protect-now; pollutant=ambient-particles</x:v>
      </x:c>
      <x:c r="K586" s="65" t="str">
        <x:v>https://www.who.int/news-room/questions-and-answers/item/air-pollution-personal-interventions-and-risk-communication</x:v>
      </x:c>
      <x:c r="L586" s="65" t="n">
        <x:v>0</x:v>
      </x:c>
      <x:c r="M586" s="65" t="str">
        <x:v>Machine-suggested near-miss; human review required.</x:v>
      </x:c>
    </x:row>
    <x:row r="587" ht="42" customHeight="1">
      <x:c r="A587" s="65" t="str">
        <x:v>gold30-030</x:v>
      </x:c>
      <x:c r="B587" s="65" t="str">
        <x:v>bm25</x:v>
      </x:c>
      <x:c r="C587" s="88" t="n">
        <x:v>2</x:v>
      </x:c>
      <x:c r="D587" s="65" t="str">
        <x:v>clean-air-room</x:v>
      </x:c>
      <x:c r="E587" s="65" t="str">
        <x:v>clean-air-room:structure:0</x:v>
      </x:c>
      <x:c r="F587" s="65" t="str">
        <x:v>p.1</x:v>
      </x:c>
      <x:c r="G587" s="92" t="n">
        <x:v>0</x:v>
      </x:c>
      <x:c r="H587" s="65" t="str">
        <x:v>Indoor filtration and a clean-air room</x:v>
      </x:c>
      <x:c r="I587" s="65" t="str">
        <x:v>United States Environmental Protection Agency</x:v>
      </x:c>
      <x:c r="J587" s="65" t="str">
        <x:v>Published: not stated; page last updated 2026-02-17 (accessed 2026-09-07) Status as of: 2026-09-07 (technical guidance; not Indonesian law) Document type: indoor_air_guidance Tags: topic=indoor-filtration; audience=household; action=protect-now; pollutant=particles</x:v>
      </x:c>
      <x:c r="K587" s="65" t="str">
        <x:v>https://www.epa.gov/indoor-air-quality-iaq/guide-air-cleaners-home</x:v>
      </x:c>
      <x:c r="L587" s="65" t="n">
        <x:v>0</x:v>
      </x:c>
      <x:c r="M587" s="65" t="str">
        <x:v>Machine-suggested near-miss; human review required.</x:v>
      </x:c>
    </x:row>
    <x:row r="588" ht="42" customHeight="1">
      <x:c r="A588" s="65" t="str">
        <x:v>gold30-030</x:v>
      </x:c>
      <x:c r="B588" s="65" t="str">
        <x:v>bm25</x:v>
      </x:c>
      <x:c r="C588" s="88" t="n">
        <x:v>3</x:v>
      </x:c>
      <x:c r="D588" s="65" t="str">
        <x:v>epa-air-cleaners-home-2026</x:v>
      </x:c>
      <x:c r="E588" s="65" t="str">
        <x:v>epa-air-cleaners-home-2026:structure:0</x:v>
      </x:c>
      <x:c r="F588" s="65" t="str">
        <x:v>p.1</x:v>
      </x:c>
      <x:c r="G588" s="92" t="n">
        <x:v>0</x:v>
      </x:c>
      <x:c r="H588" s="65" t="str">
        <x:v>US EPA Guide to Air Cleaners in the Home (2nd edition)</x:v>
      </x:c>
      <x:c r="I588" s="65" t="str">
        <x:v>United States Environmental Protection Agency</x:v>
      </x:c>
      <x:c r="J588" s="65" t="str">
        <x:v>The EPA guide discusses portable air cleaners, heating/ventilation and air-conditioning filters, indoor pollutant sources and practical limits. It is technical household guidance and should not be presented as a Jakarta regulation.</x:v>
      </x:c>
      <x:c r="K588" s="65" t="str">
        <x:v>https://www.epa.gov/indoor-air-quality-iaq/guide-air-cleaners-home</x:v>
      </x:c>
      <x:c r="L588" s="65" t="n">
        <x:v>0</x:v>
      </x:c>
      <x:c r="M588" s="65" t="str">
        <x:v>Machine-suggested near-miss; human review required.</x:v>
      </x:c>
    </x:row>
    <x:row r="589" ht="42" customHeight="1">
      <x:c r="A589" s="65" t="str">
        <x:v>gold30-030</x:v>
      </x:c>
      <x:c r="B589" s="65" t="str">
        <x:v>bm25</x:v>
      </x:c>
      <x:c r="C589" s="88" t="n">
        <x:v>4</x:v>
      </x:c>
      <x:c r="D589" s="65" t="str">
        <x:v>exposure-protection</x:v>
      </x:c>
      <x:c r="E589" s="65" t="str">
        <x:v>exposure-protection:structure:0</x:v>
      </x:c>
      <x:c r="F589" s="65" t="str">
        <x:v>p.1</x:v>
      </x:c>
      <x:c r="G589" s="92" t="n">
        <x:v>0</x:v>
      </x:c>
      <x:c r="H589" s="65" t="str">
        <x:v>Reducing personal exposure to air pollution</x:v>
      </x:c>
      <x:c r="I589" s="65" t="str">
        <x:v>World Health Organization</x:v>
      </x:c>
      <x:c r="J589" s="65" t="str">
        <x:v>People can reduce exposure by checking a fresh local observation, changing the time or location of strenuous outdoor activity, and reducing intense exercise during high-pollution episodes. Staying indoors helps only when indoor sources are controlled and outdoor particles are no…</x:v>
      </x:c>
      <x:c r="K589" s="65" t="str">
        <x:v>https://www.who.int/publications/i/item/9789240000278</x:v>
      </x:c>
      <x:c r="L589" s="65" t="n">
        <x:v>0</x:v>
      </x:c>
      <x:c r="M589" s="65" t="str">
        <x:v>Machine-suggested near-miss; human review required.</x:v>
      </x:c>
    </x:row>
    <x:row r="590" ht="42" customHeight="1">
      <x:c r="A590" s="65" t="str">
        <x:v>gold30-030</x:v>
      </x:c>
      <x:c r="B590" s="65" t="str">
        <x:v>bm25</x:v>
      </x:c>
      <x:c r="C590" s="88" t="n">
        <x:v>5</x:v>
      </x:c>
      <x:c r="D590" s="65" t="str">
        <x:v>health-disclaimer</x:v>
      </x:c>
      <x:c r="E590" s="65" t="str">
        <x:v>health-disclaimer:structure:0</x:v>
      </x:c>
      <x:c r="F590" s="65" t="str">
        <x:v>p.1</x:v>
      </x:c>
      <x:c r="G590" s="92" t="n">
        <x:v>0</x:v>
      </x:c>
      <x:c r="H590" s="65" t="str">
        <x:v>Health communication boundary</x:v>
      </x:c>
      <x:c r="I590" s="65" t="str">
        <x:v>World Health Organization</x:v>
      </x:c>
      <x:c r="J590" s="65" t="str">
        <x:v>Air-quality information can support exposure-reduction decisions, but it does not diagnose an individual. The assistant should provide educational information, state uncertainty, and direct people with severe or persistent symptoms to a qualified healthcare professional.</x:v>
      </x:c>
      <x:c r="K590" s="65" t="str">
        <x:v>https://www.who.int/publications/i/item/9789240000278</x:v>
      </x:c>
      <x:c r="L590" s="65" t="n">
        <x:v>0</x:v>
      </x:c>
      <x:c r="M590" s="65" t="str">
        <x:v>Machine-suggested near-miss; human review required.</x:v>
      </x:c>
    </x:row>
    <x:row r="591" ht="42" customHeight="1">
      <x:c r="A591" s="65" t="str">
        <x:v>gold30-030</x:v>
      </x:c>
      <x:c r="B591" s="65" t="str">
        <x:v>dense</x:v>
      </x:c>
      <x:c r="C591" s="88" t="n">
        <x:v>1</x:v>
      </x:c>
      <x:c r="D591" s="65" t="str">
        <x:v>pp-22-2021-air-quality</x:v>
      </x:c>
      <x:c r="E591" s="65" t="str">
        <x:v>pp-22-2021-air-quality:structure:0</x:v>
      </x:c>
      <x:c r="F591" s="65" t="str">
        <x:v>p.1</x:v>
      </x:c>
      <x:c r="G591" s="92" t="n">
        <x:v>0.17257758</x:v>
      </x:c>
      <x:c r="H591" s="65" t="str">
        <x:v>PP No. 22 Tahun 2021 — environmental protection and ambient air quality</x:v>
      </x:c>
      <x:c r="I591" s="65" t="str">
        <x:v>Pemerintah Republik Indonesia / Database Peraturan BPK</x:v>
      </x:c>
      <x:c r="J591"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591" s="65" t="str">
        <x:v>https://peraturan.bpk.go.id/Details/161852/pp-no-22tahun-2021</x:v>
      </x:c>
      <x:c r="L591" s="65" t="n">
        <x:v>0</x:v>
      </x:c>
      <x:c r="M591" s="65" t="str">
        <x:v>Machine-suggested near-miss; human review required.</x:v>
      </x:c>
    </x:row>
    <x:row r="592" ht="42" customHeight="1">
      <x:c r="A592" s="65" t="str">
        <x:v>gold30-030</x:v>
      </x:c>
      <x:c r="B592" s="65" t="str">
        <x:v>dense</x:v>
      </x:c>
      <x:c r="C592" s="88" t="n">
        <x:v>2</x:v>
      </x:c>
      <x:c r="D592" s="65" t="str">
        <x:v>jakarta-court-air-quality</x:v>
      </x:c>
      <x:c r="E592" s="65" t="str">
        <x:v>jakarta-court-air-quality:structure:0</x:v>
      </x:c>
      <x:c r="F592" s="65" t="str">
        <x:v>p.1</x:v>
      </x:c>
      <x:c r="G592" s="92" t="n">
        <x:v>0.1645679</x:v>
      </x:c>
      <x:c r="H592" s="65" t="str">
        <x:v>Jakarta air-pollution citizen lawsuit: what the court record establishes</x:v>
      </x:c>
      <x:c r="I592" s="65" t="str">
        <x:v>Mahkamah Agung Republik Indonesia</x:v>
      </x:c>
      <x:c r="J592" s="65" t="str">
        <x:v>Published: decision dated 2021-09-16; directory accessed 2026-09-07 Status as of: 2026-09-07 (court-record scope; execution status must be checked separately) Document type: court_record Tags: topic=regulation-implementation; audience=public-accountability; action=participation</x:v>
      </x:c>
      <x:c r="K592" s="65" t="str">
        <x:v>https://putusan3.mahkamahagung.go.id/pengadilan/profil/pengadilan/pn-jakarta-pusat.html</x:v>
      </x:c>
      <x:c r="L592" s="65" t="n">
        <x:v>0</x:v>
      </x:c>
      <x:c r="M592" s="65" t="str">
        <x:v>Machine-suggested near-miss; human review required.</x:v>
      </x:c>
    </x:row>
    <x:row r="593" ht="42" customHeight="1">
      <x:c r="A593" s="65" t="str">
        <x:v>gold30-030</x:v>
      </x:c>
      <x:c r="B593" s="65" t="str">
        <x:v>dense</x:v>
      </x:c>
      <x:c r="C593" s="88" t="n">
        <x:v>3</x:v>
      </x:c>
      <x:c r="D593" s="65" t="str">
        <x:v>jakarta-policy-status</x:v>
      </x:c>
      <x:c r="E593" s="65" t="str">
        <x:v>jakarta-policy-status:structure:0</x:v>
      </x:c>
      <x:c r="F593" s="65" t="str">
        <x:v>p.1</x:v>
      </x:c>
      <x:c r="G593" s="92" t="n">
        <x:v>0.1415931</x:v>
      </x:c>
      <x:c r="H593" s="65" t="str">
        <x:v>Policy proposals and implementation gaps</x:v>
      </x:c>
      <x:c r="I593" s="65" t="str">
        <x:v>Pemerintah Provinsi DKI Jakarta / JDIH</x:v>
      </x:c>
      <x:c r="J593" s="65" t="str">
        <x:v>Electronic Road Pricing (PL2SE/ERP) is a policy proposal and legislative process, not automatically an enacted operating rule. Jakarta's official explanation records that its draft first entered the legislative programme in 2018 but was not discussed, was revised and resubmitted…</x:v>
      </x:c>
      <x:c r="K593" s="65" t="str">
        <x:v>https://www.jakarta.go.id/siaran-pers/3850-SP-HMS-01-2023</x:v>
      </x:c>
      <x:c r="L593" s="65" t="n">
        <x:v>0</x:v>
      </x:c>
      <x:c r="M593" s="65" t="str">
        <x:v>Machine-suggested near-miss; human review required.</x:v>
      </x:c>
    </x:row>
    <x:row r="594" ht="42" customHeight="1">
      <x:c r="A594" s="65" t="str">
        <x:v>gold30-030</x:v>
      </x:c>
      <x:c r="B594" s="65" t="str">
        <x:v>dense</x:v>
      </x:c>
      <x:c r="C594" s="88" t="n">
        <x:v>4</x:v>
      </x:c>
      <x:c r="D594" s="65" t="str">
        <x:v>permen-lhk-8-2023-vehicle-emissions</x:v>
      </x:c>
      <x:c r="E594" s="65" t="str">
        <x:v>permen-lhk-8-2023-vehicle-emissions:structure:0</x:v>
      </x:c>
      <x:c r="F594" s="65" t="str">
        <x:v>p.1</x:v>
      </x:c>
      <x:c r="G594" s="92" t="n">
        <x:v>0.138886</x:v>
      </x:c>
      <x:c r="H594" s="65" t="str">
        <x:v>Permen LHK No. 8 Tahun 2023 — vehicle emission standards and testing</x:v>
      </x:c>
      <x:c r="I594" s="65" t="str">
        <x:v>Kementerian Lingkungan Hidup dan Kehutanan / Database Peraturan BPK</x:v>
      </x:c>
      <x:c r="J594" s="65" t="str">
        <x:v>Peraturan Menteri Lingkungan Hidup dan Kehutanan Nomor 8 Tahun 2023 concerns the application of emission standards for motor vehicles in categories M, N, O and L. The BPK record lists it as an environmental and land/sea/air transport regulation, in Indonesian, and records the st…</x:v>
      </x:c>
      <x:c r="K594" s="65" t="str">
        <x:v>https://peraturan.bpk.go.id/Details/262504/permen-lhk-no-8-tahun-2023</x:v>
      </x:c>
      <x:c r="L594" s="65" t="n">
        <x:v>0</x:v>
      </x:c>
      <x:c r="M594" s="65" t="str">
        <x:v>Machine-suggested near-miss; human review required.</x:v>
      </x:c>
    </x:row>
    <x:row r="595" ht="42" customHeight="1">
      <x:c r="A595" s="65" t="str">
        <x:v>gold30-030</x:v>
      </x:c>
      <x:c r="B595" s="65" t="str">
        <x:v>dense</x:v>
      </x:c>
      <x:c r="C595" s="88" t="n">
        <x:v>5</x:v>
      </x:c>
      <x:c r="D595" s="65" t="str">
        <x:v>jakarta-seasonal-exposure</x:v>
      </x:c>
      <x:c r="E595" s="65" t="str">
        <x:v>jakarta-seasonal-exposure:structure:0</x:v>
      </x:c>
      <x:c r="F595" s="65" t="str">
        <x:v>p.1</x:v>
      </x:c>
      <x:c r="G595" s="92" t="n">
        <x:v>0.13733105</x:v>
      </x:c>
      <x:c r="H595" s="65" t="str">
        <x:v>Jakarta timing and local exposure context</x:v>
      </x:c>
      <x:c r="I595" s="65" t="str">
        <x:v>Dinas Lingkungan Hidup DKI Jakarta</x:v>
      </x:c>
      <x:c r="J595" s="65" t="str">
        <x:v>Published: 2024-04-06 Status as of: 2026-09-07 (official seasonal notice; not a current forecast) Document type: official_public_guidance Tags: topic=exposure-protection; audience=Jakarta-resident; action=protect-now; pollutant=PM2.5</x:v>
      </x:c>
      <x:c r="K595" s="65" t="str">
        <x:v>https://lingkunganhidup.jakarta.go.id/detail-artikel/masuki-musim-kemarau-pemprov-dki-minta-masyarakat-waspadai-penurunan-kualitas-udara</x:v>
      </x:c>
      <x:c r="L595" s="65" t="n">
        <x:v>0</x:v>
      </x:c>
      <x:c r="M595" s="65" t="str">
        <x:v>Machine-suggested near-miss; human review required.</x:v>
      </x:c>
    </x:row>
    <x:row r="596" ht="42" customHeight="1">
      <x:c r="A596" s="65" t="str">
        <x:v>gold30-030</x:v>
      </x:c>
      <x:c r="B596" s="65" t="str">
        <x:v>hybrid</x:v>
      </x:c>
      <x:c r="C596" s="88" t="n">
        <x:v>1</x:v>
      </x:c>
      <x:c r="D596" s="65" t="str">
        <x:v>jakarta-court-air-quality</x:v>
      </x:c>
      <x:c r="E596" s="65" t="str">
        <x:v>jakarta-court-air-quality:structure:0</x:v>
      </x:c>
      <x:c r="F596" s="65" t="str">
        <x:v>p.1</x:v>
      </x:c>
      <x:c r="G596" s="92" t="n">
        <x:v>0.03073733</x:v>
      </x:c>
      <x:c r="H596" s="65" t="str">
        <x:v>Jakarta air-pollution citizen lawsuit: what the court record establishes</x:v>
      </x:c>
      <x:c r="I596" s="65" t="str">
        <x:v>Mahkamah Agung Republik Indonesia</x:v>
      </x:c>
      <x:c r="J596" s="65" t="str">
        <x:v>Published: decision dated 2021-09-16; directory accessed 2026-09-07 Status as of: 2026-09-07 (court-record scope; execution status must be checked separately) Document type: court_record Tags: topic=regulation-implementation; audience=public-accountability; action=participation</x:v>
      </x:c>
      <x:c r="K596" s="65" t="str">
        <x:v>https://putusan3.mahkamahagung.go.id/pengadilan/profil/pengadilan/pn-jakarta-pusat.html</x:v>
      </x:c>
      <x:c r="L596" s="65" t="n">
        <x:v>0</x:v>
      </x:c>
      <x:c r="M596" s="65" t="str">
        <x:v>Machine-suggested near-miss; human review required.</x:v>
      </x:c>
    </x:row>
    <x:row r="597" ht="42" customHeight="1">
      <x:c r="A597" s="65" t="str">
        <x:v>gold30-030</x:v>
      </x:c>
      <x:c r="B597" s="65" t="str">
        <x:v>hybrid</x:v>
      </x:c>
      <x:c r="C597" s="88" t="n">
        <x:v>2</x:v>
      </x:c>
      <x:c r="D597" s="65" t="str">
        <x:v>pp-22-2021-air-quality</x:v>
      </x:c>
      <x:c r="E597" s="65" t="str">
        <x:v>pp-22-2021-air-quality:structure:0</x:v>
      </x:c>
      <x:c r="F597" s="65" t="str">
        <x:v>p.1</x:v>
      </x:c>
      <x:c r="G597" s="92" t="n">
        <x:v>0.01672131</x:v>
      </x:c>
      <x:c r="H597" s="65" t="str">
        <x:v>PP No. 22 Tahun 2021 — environmental protection and ambient air quality</x:v>
      </x:c>
      <x:c r="I597" s="65" t="str">
        <x:v>Pemerintah Republik Indonesia / Database Peraturan BPK</x:v>
      </x:c>
      <x:c r="J597"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597" s="65" t="str">
        <x:v>https://peraturan.bpk.go.id/Details/161852/pp-no-22tahun-2021</x:v>
      </x:c>
      <x:c r="L597" s="65" t="n">
        <x:v>0</x:v>
      </x:c>
      <x:c r="M597" s="65" t="str">
        <x:v>Machine-suggested near-miss; human review required.</x:v>
      </x:c>
    </x:row>
    <x:row r="598" ht="42" customHeight="1">
      <x:c r="A598" s="65" t="str">
        <x:v>gold30-030</x:v>
      </x:c>
      <x:c r="B598" s="65" t="str">
        <x:v>hybrid</x:v>
      </x:c>
      <x:c r="C598" s="88" t="n">
        <x:v>3</x:v>
      </x:c>
      <x:c r="D598" s="65" t="str">
        <x:v>bad-air-day-protection</x:v>
      </x:c>
      <x:c r="E598" s="65" t="str">
        <x:v>bad-air-day-protection:structure:0</x:v>
      </x:c>
      <x:c r="F598" s="65" t="str">
        <x:v>p.1</x:v>
      </x:c>
      <x:c r="G598" s="92" t="n">
        <x:v>0.01639344</x:v>
      </x:c>
      <x:c r="H598" s="65" t="str">
        <x:v>Bad-air-day protection playbook</x:v>
      </x:c>
      <x:c r="I598" s="65" t="str">
        <x:v>World Health Organization, Regional Office for Europe</x:v>
      </x:c>
      <x:c r="J598" s="65" t="str">
        <x:v>Published: 2024-10-04 Status as of: 2026-09-07 (health guidance; not Indonesian law) Document type: health_guidance Tags: topic=exposure-protection; audience=Jakarta-resident; action=protect-now; pollutant=ambient-particles</x:v>
      </x:c>
      <x:c r="K598" s="65" t="str">
        <x:v>https://www.who.int/news-room/questions-and-answers/item/air-pollution-personal-interventions-and-risk-communication</x:v>
      </x:c>
      <x:c r="L598" s="65" t="n">
        <x:v>0</x:v>
      </x:c>
      <x:c r="M598" s="65" t="str">
        <x:v>Machine-suggested near-miss; human review required.</x:v>
      </x:c>
    </x:row>
    <x:row r="599" ht="42" customHeight="1">
      <x:c r="A599" s="65" t="str">
        <x:v>gold30-030</x:v>
      </x:c>
      <x:c r="B599" s="65" t="str">
        <x:v>hybrid</x:v>
      </x:c>
      <x:c r="C599" s="88" t="n">
        <x:v>4</x:v>
      </x:c>
      <x:c r="D599" s="65" t="str">
        <x:v>jakarta-policy-status</x:v>
      </x:c>
      <x:c r="E599" s="65" t="str">
        <x:v>jakarta-policy-status:structure:0</x:v>
      </x:c>
      <x:c r="F599" s="65" t="str">
        <x:v>p.1</x:v>
      </x:c>
      <x:c r="G599" s="92" t="n">
        <x:v>0.01619048</x:v>
      </x:c>
      <x:c r="H599" s="65" t="str">
        <x:v>Policy proposals and implementation gaps</x:v>
      </x:c>
      <x:c r="I599" s="65" t="str">
        <x:v>Pemerintah Provinsi DKI Jakarta / JDIH</x:v>
      </x:c>
      <x:c r="J599" s="65" t="str">
        <x:v>Electronic Road Pricing (PL2SE/ERP) is a policy proposal and legislative process, not automatically an enacted operating rule. Jakarta's official explanation records that its draft first entered the legislative programme in 2018 but was not discussed, was revised and resubmitted…</x:v>
      </x:c>
      <x:c r="K599" s="65" t="str">
        <x:v>https://www.jakarta.go.id/siaran-pers/3850-SP-HMS-01-2023</x:v>
      </x:c>
      <x:c r="L599" s="65" t="n">
        <x:v>0</x:v>
      </x:c>
      <x:c r="M599" s="65" t="str">
        <x:v>Machine-suggested near-miss; human review required.</x:v>
      </x:c>
    </x:row>
    <x:row r="600" ht="42" customHeight="1">
      <x:c r="A600" s="65" t="str">
        <x:v>gold30-030</x:v>
      </x:c>
      <x:c r="B600" s="65" t="str">
        <x:v>hybrid</x:v>
      </x:c>
      <x:c r="C600" s="88" t="n">
        <x:v>5</x:v>
      </x:c>
      <x:c r="D600" s="65" t="str">
        <x:v>clean-air-room</x:v>
      </x:c>
      <x:c r="E600" s="65" t="str">
        <x:v>clean-air-room:structure:0</x:v>
      </x:c>
      <x:c r="F600" s="65" t="str">
        <x:v>p.1</x:v>
      </x:c>
      <x:c r="G600" s="92" t="n">
        <x:v>0.01612903</x:v>
      </x:c>
      <x:c r="H600" s="65" t="str">
        <x:v>Indoor filtration and a clean-air room</x:v>
      </x:c>
      <x:c r="I600" s="65" t="str">
        <x:v>United States Environmental Protection Agency</x:v>
      </x:c>
      <x:c r="J600" s="65" t="str">
        <x:v>Published: not stated; page last updated 2026-02-17 (accessed 2026-09-07) Status as of: 2026-09-07 (technical guidance; not Indonesian law) Document type: indoor_air_guidance Tags: topic=indoor-filtration; audience=household; action=protect-now; pollutant=particles</x:v>
      </x:c>
      <x:c r="K600" s="65" t="str">
        <x:v>https://www.epa.gov/indoor-air-quality-iaq/guide-air-cleaners-home</x:v>
      </x:c>
      <x:c r="L600" s="65" t="n">
        <x:v>0</x:v>
      </x:c>
      <x:c r="M600" s="65" t="str">
        <x:v>Machine-suggested near-miss; human review required.</x:v>
      </x:c>
    </x:row>
    <x:row r="601" ht="42" customHeight="1">
      <x:c r="A601" s="65" t="str">
        <x:v>gold30-030</x:v>
      </x:c>
      <x:c r="B601" s="65" t="str">
        <x:v>hybrid_rerank</x:v>
      </x:c>
      <x:c r="C601" s="88" t="n">
        <x:v>1</x:v>
      </x:c>
      <x:c r="D601" s="65" t="str">
        <x:v>jakarta-court-air-quality</x:v>
      </x:c>
      <x:c r="E601" s="65" t="str">
        <x:v>jakarta-court-air-quality:structure:0</x:v>
      </x:c>
      <x:c r="F601" s="65" t="str">
        <x:v>p.1</x:v>
      </x:c>
      <x:c r="G601" s="92" t="n">
        <x:v>0.0092212</x:v>
      </x:c>
      <x:c r="H601" s="65" t="str">
        <x:v>Jakarta air-pollution citizen lawsuit: what the court record establishes</x:v>
      </x:c>
      <x:c r="I601" s="65" t="str">
        <x:v>Mahkamah Agung Republik Indonesia</x:v>
      </x:c>
      <x:c r="J601" s="65" t="str">
        <x:v>Published: decision dated 2021-09-16; directory accessed 2026-09-07 Status as of: 2026-09-07 (court-record scope; execution status must be checked separately) Document type: court_record Tags: topic=regulation-implementation; audience=public-accountability; action=participation</x:v>
      </x:c>
      <x:c r="K601" s="65" t="str">
        <x:v>https://putusan3.mahkamahagung.go.id/pengadilan/profil/pengadilan/pn-jakarta-pusat.html</x:v>
      </x:c>
      <x:c r="L601" s="65" t="n">
        <x:v>0</x:v>
      </x:c>
      <x:c r="M601" s="65" t="str">
        <x:v>Machine-suggested near-miss; human review required.</x:v>
      </x:c>
    </x:row>
    <x:row r="602" ht="42" customHeight="1">
      <x:c r="A602" s="65" t="str">
        <x:v>gold30-030</x:v>
      </x:c>
      <x:c r="B602" s="65" t="str">
        <x:v>hybrid_rerank</x:v>
      </x:c>
      <x:c r="C602" s="88" t="n">
        <x:v>2</x:v>
      </x:c>
      <x:c r="D602" s="65" t="str">
        <x:v>pp-22-2021-air-quality</x:v>
      </x:c>
      <x:c r="E602" s="65" t="str">
        <x:v>pp-22-2021-air-quality:structure:0</x:v>
      </x:c>
      <x:c r="F602" s="65" t="str">
        <x:v>p.1</x:v>
      </x:c>
      <x:c r="G602" s="92" t="n">
        <x:v>0.00501639</x:v>
      </x:c>
      <x:c r="H602" s="65" t="str">
        <x:v>PP No. 22 Tahun 2021 — environmental protection and ambient air quality</x:v>
      </x:c>
      <x:c r="I602" s="65" t="str">
        <x:v>Pemerintah Republik Indonesia / Database Peraturan BPK</x:v>
      </x:c>
      <x:c r="J602" s="65" t="str">
        <x:v>Peraturan Pemerintah Nomor 22 Tahun 2021 is titled Penyelenggaraan Perlindungan dan Pengelolaan Lingkungan Hidup. The BPK database describes it as a national environmental regulation and records the subject areas that include environmental approval, air-quality protection and ma…</x:v>
      </x:c>
      <x:c r="K602" s="65" t="str">
        <x:v>https://peraturan.bpk.go.id/Details/161852/pp-no-22tahun-2021</x:v>
      </x:c>
      <x:c r="L602" s="65" t="n">
        <x:v>0</x:v>
      </x:c>
      <x:c r="M602" s="65" t="str">
        <x:v>Machine-suggested near-miss; human review required.</x:v>
      </x:c>
    </x:row>
    <x:row r="603" ht="42" customHeight="1">
      <x:c r="A603" s="65" t="str">
        <x:v>gold30-030</x:v>
      </x:c>
      <x:c r="B603" s="65" t="str">
        <x:v>hybrid_rerank</x:v>
      </x:c>
      <x:c r="C603" s="88" t="n">
        <x:v>3</x:v>
      </x:c>
      <x:c r="D603" s="65" t="str">
        <x:v>bad-air-day-protection</x:v>
      </x:c>
      <x:c r="E603" s="65" t="str">
        <x:v>bad-air-day-protection:structure:0</x:v>
      </x:c>
      <x:c r="F603" s="65" t="str">
        <x:v>p.1</x:v>
      </x:c>
      <x:c r="G603" s="92" t="n">
        <x:v>0.00491803</x:v>
      </x:c>
      <x:c r="H603" s="65" t="str">
        <x:v>Bad-air-day protection playbook</x:v>
      </x:c>
      <x:c r="I603" s="65" t="str">
        <x:v>World Health Organization, Regional Office for Europe</x:v>
      </x:c>
      <x:c r="J603" s="65" t="str">
        <x:v>Published: 2024-10-04 Status as of: 2026-09-07 (health guidance; not Indonesian law) Document type: health_guidance Tags: topic=exposure-protection; audience=Jakarta-resident; action=protect-now; pollutant=ambient-particles</x:v>
      </x:c>
      <x:c r="K603" s="65" t="str">
        <x:v>https://www.who.int/news-room/questions-and-answers/item/air-pollution-personal-interventions-and-risk-communication</x:v>
      </x:c>
      <x:c r="L603" s="65" t="n">
        <x:v>0</x:v>
      </x:c>
      <x:c r="M603" s="65" t="str">
        <x:v>Machine-suggested near-miss; human review required.</x:v>
      </x:c>
    </x:row>
    <x:row r="604" ht="42" customHeight="1">
      <x:c r="A604" s="65" t="str">
        <x:v>gold30-030</x:v>
      </x:c>
      <x:c r="B604" s="65" t="str">
        <x:v>hybrid_rerank</x:v>
      </x:c>
      <x:c r="C604" s="88" t="n">
        <x:v>4</x:v>
      </x:c>
      <x:c r="D604" s="65" t="str">
        <x:v>jakarta-policy-status</x:v>
      </x:c>
      <x:c r="E604" s="65" t="str">
        <x:v>jakarta-policy-status:structure:0</x:v>
      </x:c>
      <x:c r="F604" s="65" t="str">
        <x:v>p.1</x:v>
      </x:c>
      <x:c r="G604" s="92" t="n">
        <x:v>0.00485714</x:v>
      </x:c>
      <x:c r="H604" s="65" t="str">
        <x:v>Policy proposals and implementation gaps</x:v>
      </x:c>
      <x:c r="I604" s="65" t="str">
        <x:v>Pemerintah Provinsi DKI Jakarta / JDIH</x:v>
      </x:c>
      <x:c r="J604" s="65" t="str">
        <x:v>Electronic Road Pricing (PL2SE/ERP) is a policy proposal and legislative process, not automatically an enacted operating rule. Jakarta's official explanation records that its draft first entered the legislative programme in 2018 but was not discussed, was revised and resubmitted…</x:v>
      </x:c>
      <x:c r="K604" s="65" t="str">
        <x:v>https://www.jakarta.go.id/siaran-pers/3850-SP-HMS-01-2023</x:v>
      </x:c>
      <x:c r="L604" s="65" t="n">
        <x:v>0</x:v>
      </x:c>
      <x:c r="M604" s="65" t="str">
        <x:v>Machine-suggested near-miss; human review required.</x:v>
      </x:c>
    </x:row>
    <x:row r="605" ht="42" customHeight="1">
      <x:c r="A605" s="65" t="str">
        <x:v>gold30-030</x:v>
      </x:c>
      <x:c r="B605" s="65" t="str">
        <x:v>hybrid_rerank</x:v>
      </x:c>
      <x:c r="C605" s="88" t="n">
        <x:v>5</x:v>
      </x:c>
      <x:c r="D605" s="65" t="str">
        <x:v>clean-air-room</x:v>
      </x:c>
      <x:c r="E605" s="65" t="str">
        <x:v>clean-air-room:structure:0</x:v>
      </x:c>
      <x:c r="F605" s="65" t="str">
        <x:v>p.1</x:v>
      </x:c>
      <x:c r="G605" s="92" t="n">
        <x:v>0.00483871</x:v>
      </x:c>
      <x:c r="H605" s="65" t="str">
        <x:v>Indoor filtration and a clean-air room</x:v>
      </x:c>
      <x:c r="I605" s="65" t="str">
        <x:v>United States Environmental Protection Agency</x:v>
      </x:c>
      <x:c r="J605" s="65" t="str">
        <x:v>Published: not stated; page last updated 2026-02-17 (accessed 2026-09-07) Status as of: 2026-09-07 (technical guidance; not Indonesian law) Document type: indoor_air_guidance Tags: topic=indoor-filtration; audience=household; action=protect-now; pollutant=particles</x:v>
      </x:c>
      <x:c r="K605" s="65" t="str">
        <x:v>https://www.epa.gov/indoor-air-quality-iaq/guide-air-cleaners-home</x:v>
      </x:c>
      <x:c r="L605" s="65" t="n">
        <x:v>0</x:v>
      </x:c>
      <x:c r="M605" s="65" t="str">
        <x:v>Machine-suggested near-miss; human review required.</x:v>
      </x:c>
    </x:row>
  </x:sheetData>
  <x:mergeCells>
    <x:mergeCell ref="A1:M1"/>
    <x:mergeCell ref="A2:M2"/>
  </x:mergeCells>
  <x:pageMargins left="0.7" right="0.7" top="0.75" bottom="0.75" header="0.3" footer="0.3"/>
  <x:tableParts count="1">
    <x:tablePart xmlns:r="http://schemas.openxmlformats.org/officeDocument/2006/relationships" r:id="R6d1122c3611c4b4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58" hidden="0" customWidth="1"/>
    <x:col min="3" max="3" width="24" hidden="0" customWidth="1"/>
    <x:col min="4" max="4" width="24" hidden="0" customWidth="1"/>
    <x:col min="5" max="5" width="52" hidden="0" customWidth="1"/>
  </x:cols>
  <x:sheetData>
    <x:row r="1" ht="34" customHeight="1">
      <x:c r="A1" s="4" t="str">
        <x:v>Reference</x:v>
      </x:c>
      <x:c r="B1" s="4"/>
      <x:c r="C1" s="4"/>
      <x:c r="D1" s="4"/>
      <x:c r="E1" s="4"/>
    </x:row>
    <x:row r="2" ht="30" customHeight="1">
      <x:c r="A2" s="8" t="str">
        <x:v>Definitions and completion checks for this packet.</x:v>
      </x:c>
      <x:c r="B2" s="8"/>
      <x:c r="C2" s="8"/>
      <x:c r="D2" s="8"/>
      <x:c r="E2" s="8"/>
    </x:row>
    <x:row r="4" ht="32" customHeight="1">
      <x:c r="A4" s="28" t="str">
        <x:v>Status</x:v>
      </x:c>
      <x:c r="B4" s="29" t="str">
        <x:v>Meaning</x:v>
      </x:c>
      <x:c r="D4" s="28" t="str">
        <x:v>Difficulty</x:v>
      </x:c>
      <x:c r="E4" s="29" t="str">
        <x:v>Guidance</x:v>
      </x:c>
    </x:row>
    <x:row r="5" ht="30" customHeight="1">
      <x:c r="A5" s="94" t="str">
        <x:v>Pending</x:v>
      </x:c>
      <x:c r="B5" s="94" t="str">
        <x:v>Not yet decided; finalizer will refuse this row.</x:v>
      </x:c>
      <x:c r="D5" s="94" t="str">
        <x:v>easy</x:v>
      </x:c>
      <x:c r="E5" s="94" t="str">
        <x:v>One clear source and direct wording.</x:v>
      </x:c>
    </x:row>
    <x:row r="6" ht="30" customHeight="1">
      <x:c r="A6" s="94" t="str">
        <x:v>Approved</x:v>
      </x:c>
      <x:c r="B6" s="94" t="str">
        <x:v>Proposed question/evidence accepted; enter exact human chunk IDs.</x:v>
      </x:c>
      <x:c r="D6" s="94" t="str">
        <x:v>medium</x:v>
      </x:c>
      <x:c r="E6" s="94" t="str">
        <x:v>Several concepts, a caveat or complementary source.</x:v>
      </x:c>
    </x:row>
    <x:row r="7" ht="30" customHeight="1">
      <x:c r="A7" s="94" t="str">
        <x:v>Corrected</x:v>
      </x:c>
      <x:c r="B7" s="94" t="str">
        <x:v>Question/evidence corrected; enter exact human chunk IDs and note the change.</x:v>
      </x:c>
      <x:c r="D7" s="94" t="str">
        <x:v>hard</x:v>
      </x:c>
      <x:c r="E7" s="94" t="str">
        <x:v>Ambiguity, negative evidence, cross-source reasoning or strict boundaries.</x:v>
      </x:c>
    </x:row>
    <x:row r="8">
      <x:c r="A8" s="94" t="str">
        <x:v>Rejected</x:v>
      </x:c>
      <x:c r="B8" s="94" t="str">
        <x:v>Do not retain this item; record the reason in correction_notes.</x:v>
      </x:c>
    </x:row>
    <x:row r="11" ht="32" customHeight="1">
      <x:c r="A11" s="28" t="str">
        <x:v>Topic</x:v>
      </x:c>
      <x:c r="B11" s="29" t="str">
        <x:v>Definition</x:v>
      </x:c>
      <x:c r="D11" s="28" t="str">
        <x:v>Proposed grade</x:v>
      </x:c>
      <x:c r="E11" s="29" t="str">
        <x:v>Guidance</x:v>
      </x:c>
    </x:row>
    <x:row r="12" ht="28" customHeight="1">
      <x:c r="A12" s="94" t="str">
        <x:v>current_measurements</x:v>
      </x:c>
      <x:c r="B12" s="94" t="str">
        <x:v>Current station readings, timestamps and index interpretation.</x:v>
      </x:c>
      <x:c r="D12" s="98" t="n">
        <x:v>3</x:v>
      </x:c>
      <x:c r="E12" s="93" t="str">
        <x:v>Directly supports the question's intended answer.</x:v>
      </x:c>
    </x:row>
    <x:row r="13" ht="28" customHeight="1">
      <x:c r="A13" s="94" t="str">
        <x:v>historical_category_threshold</x:v>
      </x:c>
      <x:c r="B13" s="94" t="str">
        <x:v>Historical series provenance, category boundaries and guideline thresholds.</x:v>
      </x:c>
      <x:c r="D13" s="98" t="n">
        <x:v>2</x:v>
      </x:c>
      <x:c r="E13" s="93" t="str">
        <x:v>Partially supports or supplies necessary context.</x:v>
      </x:c>
    </x:row>
    <x:row r="14" ht="28" customHeight="1">
      <x:c r="A14" s="94" t="str">
        <x:v>causes</x:v>
      </x:c>
      <x:c r="B14" s="94" t="str">
        <x:v>Likely contributors, source apportionment and causal limits.</x:v>
      </x:c>
      <x:c r="D14" s="98" t="n">
        <x:v>0</x:v>
      </x:c>
      <x:c r="E14" s="93" t="str">
        <x:v>Not relevant or a near-miss; human review required.</x:v>
      </x:c>
    </x:row>
    <x:row r="15" ht="28" customHeight="1">
      <x:c r="A15" s="94" t="str">
        <x:v>regulations_implementation</x:v>
      </x:c>
      <x:c r="B15" s="94" t="str">
        <x:v>Instrument status, scope, monitoring and implementation evidence.</x:v>
      </x:c>
    </x:row>
    <x:row r="16" ht="28" customHeight="1">
      <x:c r="A16" s="94" t="str">
        <x:v>protection_individual_action</x:v>
      </x:c>
      <x:c r="B16" s="94" t="str">
        <x:v>Exposure reduction, indoor filtration, respirators and individual actions.</x:v>
      </x:c>
    </x:row>
    <x:row r="17" ht="28" customHeight="1">
      <x:c r="A17" s="94" t="str">
        <x:v>multi_turn_followups</x:v>
      </x:c>
      <x:c r="B17" s="94" t="str">
        <x:v>A follow-up question with explicit parent conversation context.</x:v>
      </x:c>
    </x:row>
    <x:row r="18" ht="28" customHeight="1">
      <x:c r="A18" s="94" t="str">
        <x:v>missing_data_safety_abstention</x:v>
      </x:c>
      <x:c r="B18" s="94" t="str">
        <x:v>Missing values, health boundaries and claims that require later evidence.</x:v>
      </x:c>
    </x:row>
    <x:row r="22" ht="32" customHeight="1">
      <x:c r="A22" s="28" t="str">
        <x:v>Completion checks</x:v>
      </x:c>
      <x:c r="B22" s="58"/>
      <x:c r="C22" s="58"/>
      <x:c r="D22" s="58"/>
      <x:c r="E22" s="29"/>
    </x:row>
    <x:row r="23" ht="24" customHeight="1">
      <x:c r="A23" s="99" t="str">
        <x:v>☐ 30 rows have a nonblank decision.</x:v>
      </x:c>
      <x:c r="B23" s="99"/>
      <x:c r="C23" s="99"/>
      <x:c r="D23" s="99"/>
      <x:c r="E23" s="99"/>
    </x:row>
    <x:row r="24" ht="24" customHeight="1">
      <x:c r="A24" s="99" t="str">
        <x:v>☐ All status values are Approved, Corrected or Rejected.</x:v>
      </x:c>
      <x:c r="B24" s="99"/>
      <x:c r="C24" s="99"/>
      <x:c r="D24" s="99"/>
      <x:c r="E24" s="99"/>
    </x:row>
    <x:row r="25" ht="24" customHeight="1">
      <x:c r="A25" s="99" t="str">
        <x:v>☐ Human chunk IDs resolve exactly to data/index/chunks.jsonl.</x:v>
      </x:c>
      <x:c r="B25" s="99"/>
      <x:c r="C25" s="99"/>
      <x:c r="D25" s="99"/>
      <x:c r="E25" s="99"/>
    </x:row>
    <x:row r="26" ht="24" customHeight="1">
      <x:c r="A26" s="99" t="str">
        <x:v>☐ Approved/Corrected rows have reviewer and reviewed_at.</x:v>
      </x:c>
      <x:c r="B26" s="99"/>
      <x:c r="C26" s="99"/>
      <x:c r="D26" s="99"/>
      <x:c r="E26" s="99"/>
    </x:row>
    <x:row r="27" ht="24" customHeight="1">
      <x:c r="A27" s="99" t="str">
        <x:v>☐ Rejected rows have correction_notes.</x:v>
      </x:c>
      <x:c r="B27" s="99"/>
      <x:c r="C27" s="99"/>
      <x:c r="D27" s="99"/>
      <x:c r="E27" s="99"/>
    </x:row>
  </x:sheetData>
  <x:mergeCells>
    <x:mergeCell ref="A1:E1"/>
    <x:mergeCell ref="A2:E2"/>
    <x:mergeCell ref="A22:E22"/>
    <x:mergeCell ref="A23:E23"/>
    <x:mergeCell ref="A24:E24"/>
    <x:mergeCell ref="A25:E25"/>
    <x:mergeCell ref="A26:E26"/>
    <x:mergeCell ref="A27:E27"/>
  </x:mergeCells>
  <x:pageMargins left="0.7" right="0.7" top="0.75" bottom="0.75" header="0.3" footer="0.3"/>
</x:worksheet>
</file>