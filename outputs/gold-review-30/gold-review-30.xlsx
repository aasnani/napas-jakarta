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view Form" sheetId="1" state="visible" r:id="rId3"/>
    <sheet name="Evidence" sheetId="2" state="visible" r:id="rId4"/>
    <sheet name="Reference" sheetId="3" state="visible" r:id="rId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<sst xmlns="http://schemas.openxmlformats.org/spreadsheetml/2006/main" count="6309" uniqueCount="450">
  <si>
    <t xml:space="preserve">Human evidence review</t>
  </si>
  <si>
    <t xml:space="preserve">Review each question, check the proposed evidence against Evidence, and complete the yellow cells.</t>
  </si>
  <si>
    <t xml:space="preserve">How to complete this sheet</t>
  </si>
  <si>
    <t xml:space="preserve">Export-ready fields</t>
  </si>
  <si>
    <t xml:space="preserve">Approved = proposal is correct. Corrected = change the chunk IDs. Rejected = unsupported or unusable. Use exact chunk IDs from Evidence column E, separated by commas, with no locator suffix such as (p.1).</t>
  </si>
  <si>
    <t xml:space="preserve">This six-column section mirrors the yellow review fields and is ready to export as CSV.</t>
  </si>
  <si>
    <t xml:space="preserve">question_id</t>
  </si>
  <si>
    <t xml:space="preserve">language</t>
  </si>
  <si>
    <t xml:space="preserve">question</t>
  </si>
  <si>
    <t xml:space="preserve">proposed evidence summary</t>
  </si>
  <si>
    <t xml:space="preserve">status</t>
  </si>
  <si>
    <t xml:space="preserve">human_relevant_chunk_ids</t>
  </si>
  <si>
    <t xml:space="preserve">correction_notes</t>
  </si>
  <si>
    <t xml:space="preserve">reviewer</t>
  </si>
  <si>
    <t xml:space="preserve">reviewed_at</t>
  </si>
  <si>
    <t xml:space="preserve">gold30-001</t>
  </si>
  <si>
    <t xml:space="preserve">English</t>
  </si>
  <si>
    <t xml:space="preserve">What is the latest PM2.5 reading for Jakarta Pusat, and when was it observed?</t>
  </si>
  <si>
    <t xml:space="preserve">Sources: jakarta-monitoring. Proposed chunks: jakarta-monitoring:structure:0. The official station portal establishes that readings need a station, pollutant, value and timestamp; a current value must come from the measurement tool.</t>
  </si>
  <si>
    <t xml:space="preserve">Approved</t>
  </si>
  <si>
    <t xml:space="preserve">jakarta-monitoring:structure:0</t>
  </si>
  <si>
    <t xml:space="preserve">Armand</t>
  </si>
  <si>
    <t xml:space="preserve">gold30-002</t>
  </si>
  <si>
    <t xml:space="preserve">Bahasa Indonesia</t>
  </si>
  <si>
    <t xml:space="preserve">Stasiun mana di Jakarta yang punya pembacaan ISPU terbaru paling tinggi?</t>
  </si>
  <si>
    <t xml:space="preserve">Sources: jakarta-monitoring, ispu. Proposed chunks: jakarta-monitoring:structure:0, ispu:structure:0. Requires a current-station lookup plus the ISPU category interpretation; the corpus alone cannot substitute for a live observation.</t>
  </si>
  <si>
    <t xml:space="preserve">jakarta-monitoring:structure:0, ispu:structure:0</t>
  </si>
  <si>
    <t xml:space="preserve">gold30-003</t>
  </si>
  <si>
    <t xml:space="preserve">Is an ISPU of 125 a concentration of 125 µg/m³?</t>
  </si>
  <si>
    <t xml:space="preserve">Sources: ispu. Proposed chunks: ispu:structure:0. The ISPU source explicitly separates the unitless index from a physical pollutant concentration.</t>
  </si>
  <si>
    <t xml:space="preserve">ispu:structure:0</t>
  </si>
  <si>
    <t xml:space="preserve">gold30-004</t>
  </si>
  <si>
    <t xml:space="preserve">Tolong cek kualitas udara di Kepulauan Seribu—jika tidak ada data, apa yang bisa disimpulkan?</t>
  </si>
  <si>
    <t xml:space="preserve">Sources: jakarta-monitoring. Proposed chunks: jakarta-monitoring:structure:0. This is a negative/no-result case: the answer should report absence of a matching observation rather than inventing a value; the portal source documents station scope.</t>
  </si>
  <si>
    <t xml:space="preserve">gold30-005</t>
  </si>
  <si>
    <t xml:space="preserve">What does ISPU 45 mean, and how is that different from PM2.5 at 15 µg/m³?</t>
  </si>
  <si>
    <t xml:space="preserve">Sources: ispu. Proposed chunks: ispu:structure:1. ISPU 45 is a category value, while PM2.5 is a concentration with units; the index source supports the distinction.</t>
  </si>
  <si>
    <t xml:space="preserve">Corrected</t>
  </si>
  <si>
    <t xml:space="preserve">ispu:structure:0, ispu:structure:1</t>
  </si>
  <si>
    <t xml:space="preserve">Added structure:0 because structure:1 distinguishes the index from concentration but does not establish that ISPU 45 is Baik.</t>
  </si>
  <si>
    <t xml:space="preserve">gold30-006</t>
  </si>
  <si>
    <t xml:space="preserve">Berapa pedoman WHO PM2.5 tahunan dan 24 jam, dan apakah itu ambang hukum Indonesia?</t>
  </si>
  <si>
    <t xml:space="preserve">Sources: who-aqg-2021-extract, jakarta-regulations. Proposed chunks: who-aqg-2021-extract:structure:2, jakarta-regulations:structure:0. Needs complementary WHO numeric guidance and Indonesian legal-status context; neither source alone answers both parts.</t>
  </si>
  <si>
    <t xml:space="preserve">who-aqg-2021-extract:structure:1, who-aqg-2021-extract:structure:2, jakarta-regulations:structure:0</t>
  </si>
  <si>
    <t xml:space="preserve">Added the WHO legal-status chunk; the numeric WHO values and Indonesian instruments alone do not establish that the WHO guideline is not Indonesian law.</t>
  </si>
  <si>
    <t xml:space="preserve">gold30-007</t>
  </si>
  <si>
    <t xml:space="preserve">Did Jakarta's historical PM2.5 series come from station sensors or a model?</t>
  </si>
  <si>
    <t xml:space="preserve">Sources: jakarta-historical-city-series. Proposed chunks: jakarta-historical-city-series:structure:2. The historical-series provenance notes CAMS/Open-Meteo model concentrations rather than DKI station measurements.</t>
  </si>
  <si>
    <t xml:space="preserve">jakarta-historical-city-series:structure:1</t>
  </si>
  <si>
    <t xml:space="preserve">Replaced structure:2 with structure:1, which explicitly identifies CAMS/Open-Meteo model concentrations and excludes DKI station measurements.</t>
  </si>
  <si>
    <t xml:space="preserve">gold30-008</t>
  </si>
  <si>
    <t xml:space="preserve">Mengapa PM10 dan PM2.5 pada data historis dipisahkan?</t>
  </si>
  <si>
    <t xml:space="preserve">Sources: jakarta-historical-city-series. Proposed chunks: jakarta-historical-city-series:structure:2. The series description defines PM10 and PM2.5 as separate pollutant variables with separate units and averaging.</t>
  </si>
  <si>
    <t xml:space="preserve">jakarta-historical-city-series:structure:1, jakarta-historical-city-series:structure:2</t>
  </si>
  <si>
    <t xml:space="preserve">Added structure:1 to establish that PM10 and PM2.5 are distinct variables; structure:2 supports separate aggregation and missing-data handling.</t>
  </si>
  <si>
    <t xml:space="preserve">gold30-009</t>
  </si>
  <si>
    <t xml:space="preserve">Can an ISPU category alone tell me whether the WHO annual guideline was met?</t>
  </si>
  <si>
    <t xml:space="preserve">Sources: ispu, who-aqg-2021-extract. Proposed chunks: ispu:structure:0, who-aqg-2021-extract:structure:2. Requires keeping an index category, concentration, pollutant and averaging period distinct; complementary sources are needed.</t>
  </si>
  <si>
    <t xml:space="preserve">ispu:structure:0, who-aqg-2021-extract:structure:2</t>
  </si>
  <si>
    <t xml:space="preserve">gold30-010</t>
  </si>
  <si>
    <t xml:space="preserve">Sumber apa yang terkait dengan PM2.5 Jakarta, dan mengapa satu sumber tidak boleh langsung disebut penyebab pembacaan satu stasiun?</t>
  </si>
  <si>
    <t xml:space="preserve">Sources: jakarta-causes. Proposed chunks: jakarta-causes:structure:0. The causes record distinguishes likely contributors and cautions against causal claims about a single timestamped station reading.</t>
  </si>
  <si>
    <t xml:space="preserve">jakarta-causes:structure:0, jakarta-causes:structure:2</t>
  </si>
  <si>
    <t xml:space="preserve">Added structure:2 because it directly states that likely contributors do not prove the cause of one station reading.</t>
  </si>
  <si>
    <t xml:space="preserve">gold30-011</t>
  </si>
  <si>
    <t xml:space="preserve">What is the difference between an emissions inventory and source apportionment?</t>
  </si>
  <si>
    <t xml:space="preserve">Sources: jakarta-causes. Proposed chunks: jakarta-causes:structure:1. The causes record explains the different methods and their interpretation limits.</t>
  </si>
  <si>
    <t xml:space="preserve">jakarta-causes:structure:0, jakarta-causes:structure:1</t>
  </si>
  <si>
    <t xml:space="preserve">Added structure:0 for the emissions-inventory context; structure:1 supplies the receptor-apportionment evidence and method boundary.</t>
  </si>
  <si>
    <t xml:space="preserve">gold30-012</t>
  </si>
  <si>
    <t xml:space="preserve">Apakah pembacaan tinggi di jalan saya membuktikan pabrik menjadi penyebabnya?</t>
  </si>
  <si>
    <t xml:space="preserve">Sources: jakarta-causes. Proposed chunks: jakarta-causes:structure:0. Ambiguous causal question; the source supports multiple contributors and explicitly rejects assigning one cause to one reading without local evidence.</t>
  </si>
  <si>
    <t xml:space="preserve">Added the direct single-reading causal boundary; the source-share discussion alone cannot prove a factory caused a street-level observation.</t>
  </si>
  <si>
    <t xml:space="preserve">gold30-013</t>
  </si>
  <si>
    <t xml:space="preserve">Does Jakarta's air pollution come only from inside the city?</t>
  </si>
  <si>
    <t xml:space="preserve">Sources: jakarta-causes, jakarta-policy-implementation. Proposed chunks: jakarta-causes:structure:0, jakarta-policy-implementation:structure:2. Needs the causes discussion of local and regional sources and the implementation record's airshed/coordination context.</t>
  </si>
  <si>
    <t xml:space="preserve">jakarta-causes:structure:0, jakarta-policy-implementation:structure:2</t>
  </si>
  <si>
    <t xml:space="preserve">gold30-014</t>
  </si>
  <si>
    <t xml:space="preserve">Apakah Pergub 66/2020 masih tercatat berlaku, dan apa yang dibuktikannya tentang penegakan?</t>
  </si>
  <si>
    <t xml:space="preserve">Sources: pergub-66-2020-vehicle-testing, jakarta-emission-testing. Proposed chunks: pergub-66-2020-vehicle-testing:structure:0, jakarta-emission-testing:structure:0. Separates legal status from evidence of enforcement; the legal record and DKI FAQ provide complementary context.</t>
  </si>
  <si>
    <t xml:space="preserve">jakarta-emission-testing:structure:0, jakarta-emission-testing:structure:1</t>
  </si>
  <si>
    <t xml:space="preserve">Used the FAQ status and enforcement-boundary chunks; regulation dates alone do not show testing or repair coverage or actual sanctions.</t>
  </si>
  <si>
    <t xml:space="preserve">gold30-015</t>
  </si>
  <si>
    <t xml:space="preserve">Which vehicle categories and ages are covered by Permen LHK 8/2023?</t>
  </si>
  <si>
    <t xml:space="preserve">Sources: permen-lhk-8-2023-vehicle-emissions. Proposed chunks: permen-lhk-8-2023-vehicle-emissions:structure:0. The official abstract states categories M, N, O and L and the more-than-three-years condition.</t>
  </si>
  <si>
    <t xml:space="preserve">permen-lhk-8-2023-vehicle-emissions:structure:2</t>
  </si>
  <si>
    <t xml:space="preserve">Replaced structure:0 because it gives the categories but not the age condition; structure:2 covers both categories M/N/O/L and more than three years in service.</t>
  </si>
  <si>
    <t xml:space="preserve">gold30-016</t>
  </si>
  <si>
    <t xml:space="preserve">Apakah konektivitas CEMS menunjukkan bahwa setiap cerobong sudah memenuhi batas emisi?</t>
  </si>
  <si>
    <t xml:space="preserve">Sources: permen-lhk-13-2021-cems, jakarta-cems-monitoring. Proposed chunks: permen-lhk-13-2021-cems:structure:0, jakarta-cems-monitoring:structure:1. Requires the regulation's CEMS boundary and the DKI monitoring-programme caveat that connectivity is not compliance proof.</t>
  </si>
  <si>
    <t xml:space="preserve">permen-lhk-13-2021-cems:structure:1, jakarta-cems-monitoring:structure:2</t>
  </si>
  <si>
    <t xml:space="preserve">Replaced descriptive CEMS chunks with the passages that directly separate connectivity, coverage and monitoring activity from emissions compliance.</t>
  </si>
  <si>
    <t xml:space="preserve">gold30-017</t>
  </si>
  <si>
    <t xml:space="preserve">What does the Jakarta air-pollution court record establish, and does it prove every order was implemented?</t>
  </si>
  <si>
    <t xml:space="preserve">Sources: jakarta-court-air-quality, ma-jakarta-air-lawsuit-record. Proposed chunks: jakarta-court-air-quality:structure:1, ma-jakarta-air-lawsuit-record:structure:1. Court-record identity and execution status are separate questions; both normalized records state that implementation needs later verification.</t>
  </si>
  <si>
    <t xml:space="preserve">jakarta-court-air-quality:structure:1, ma-jakarta-air-lawsuit-record:structure:1</t>
  </si>
  <si>
    <t xml:space="preserve">gold30-018</t>
  </si>
  <si>
    <t xml:space="preserve">Mengapa aturan dapat tetap ada sementara kualitas udara Jakarta masih buruk?</t>
  </si>
  <si>
    <t xml:space="preserve">Sources: jakarta-policy-implementation, jakarta-regulations, jakarta-court-air-quality. Proposed chunks: jakarta-policy-implementation:structure:0, jakarta-regulations:structure:0, jakarta-court-air-quality:structure:1. Complementary rule-on-paper, implementation-gap and court context are required for a cautious explanation.</t>
  </si>
  <si>
    <t xml:space="preserve">jakarta-regulations:structure:0, jakarta-policy-implementation:structure:2, jakarta-court-air-quality:structure:1</t>
  </si>
  <si>
    <t xml:space="preserve">Replaced the metadata-only implementation chunk with substantive evidence that implementation was ongoing and programme activity did not prove full compliance or outcomes.</t>
  </si>
  <si>
    <t xml:space="preserve">gold30-019</t>
  </si>
  <si>
    <t xml:space="preserve">What should I do on a bad-air day, and do masks replace clean-air policy?</t>
  </si>
  <si>
    <t xml:space="preserve">Sources: bad-air-day-protection, exposure-protection. Proposed chunks: bad-air-day-protection:structure:3, exposure-protection:structure:1. The health guidance covers immediate exposure reduction and the explicit limit that personal protection cannot replace emissions policy.</t>
  </si>
  <si>
    <t xml:space="preserve">bad-air-day-protection:structure:1, bad-air-day-protection:structure:3, exposure-protection:structure:1</t>
  </si>
  <si>
    <t xml:space="preserve">Added the action chunk; the original pair covered mask limits and the policy boundary but not the requested bad-air-day steps.</t>
  </si>
  <si>
    <t xml:space="preserve">gold30-020</t>
  </si>
  <si>
    <t xml:space="preserve">Bagaimana memilih pembersih udara untuk kamar 20 m², dan apa batasannya?</t>
  </si>
  <si>
    <t xml:space="preserve">Sources: clean-air-room. Proposed chunks: clean-air-room:structure:0. The EPA-derived room-sizing and limitation guidance supports a cautious engineering answer, not a local health guarantee.</t>
  </si>
  <si>
    <t xml:space="preserve">clean-air-room:structure:1, clean-air-room:structure:4</t>
  </si>
  <si>
    <t xml:space="preserve">Replaced metadata with the room/CADR sizing guidance and the explicit limitations on cleaner effectiveness.</t>
  </si>
  <si>
    <t xml:space="preserve">gold30-021</t>
  </si>
  <si>
    <t xml:space="preserve">Is an N95-style particulate respirator protection against every pollutant?</t>
  </si>
  <si>
    <t xml:space="preserve">Sources: who-personal-interventions-2024, exposure-protection. Proposed chunks: who-personal-interventions-2024:structure:3, exposure-protection:structure:1. The guidance supports particulate protection with fit caveats and says respirators do not filter every gas.</t>
  </si>
  <si>
    <t xml:space="preserve">who-personal-interventions-2024:structure:3, exposure-protection:structure:1</t>
  </si>
  <si>
    <t xml:space="preserve">gold30-022</t>
  </si>
  <si>
    <t xml:space="preserve">Apa yang bisa saya lakukan untuk mengurangi emisi dan melaporkan kendaraan berasap?</t>
  </si>
  <si>
    <t xml:space="preserve">Sources: individual-emission-actions. Proposed chunks: individual-emission-actions:structure:0. The civic-actions source covers lower-emission travel, vehicle maintenance and evidence-preserving reports.</t>
  </si>
  <si>
    <t xml:space="preserve">individual-emission-actions:structure:1, individual-emission-actions:structure:2</t>
  </si>
  <si>
    <t xml:space="preserve">Replaced metadata with the passages covering lower-emission choices, vehicle maintenance and evidence-preserving reports of smoky vehicles.</t>
  </si>
  <si>
    <t xml:space="preserve">gold30-023</t>
  </si>
  <si>
    <t xml:space="preserve">Does staying indoors always reduce exposure during a pollution episode?</t>
  </si>
  <si>
    <t xml:space="preserve">Sources: exposure-protection, clean-air-room, bad-air-day-protection. Proposed chunks: exposure-protection:structure:0, clean-air-room:structure:3, bad-air-day-protection:structure:0. Hard boundary case: indoors helps only when indoor air is cleaner and indoor sources, filtration, ventilation and infiltration are considered.</t>
  </si>
  <si>
    <t xml:space="preserve">exposure-protection:structure:0, clean-air-room:structure:3</t>
  </si>
  <si>
    <t xml:space="preserve">Removed the metadata-only bad-air-day chunk; the retained chunks directly cover infiltration, ventilation, filtration and indoor sources.</t>
  </si>
  <si>
    <t xml:space="preserve">gold30-024</t>
  </si>
  <si>
    <t xml:space="preserve">Apa perbedaan aturan kualitas udara Jakarta yang berlaku dengan pedoman WHO?</t>
  </si>
  <si>
    <t xml:space="preserve">Sources: jakarta-regulations, who-aqg-2021-extract. Proposed chunks: jakarta-regulations:structure:0, who-aqg-2021-extract:structure:1. Follow-up inherits the regulation context and asks for a law-versus-guideline distinction using complementary sources.</t>
  </si>
  <si>
    <t xml:space="preserve">jakarta-regulations:structure:0, who-aqg-2021-extract:structure:1</t>
  </si>
  <si>
    <t xml:space="preserve">gold30-025</t>
  </si>
  <si>
    <t xml:space="preserve">Does Jakarta Utara being categorized as Good most recently mean the air was safe all day?</t>
  </si>
  <si>
    <t xml:space="preserve">Sources: jakarta-monitoring, ispu, health-disclaimer. Proposed chunks: jakarta-monitoring:structure:0, ispu:structure:0, health-disclaimer:structure:0. Follow-up must preserve timestamp/category limits and avoid converting one observation into an all-day or medical conclusion.</t>
  </si>
  <si>
    <t xml:space="preserve">jakarta-monitoring:structure:0, ispu:structure:0, health-disclaimer:structure:0</t>
  </si>
  <si>
    <t xml:space="preserve">gold30-026</t>
  </si>
  <si>
    <t xml:space="preserve">Bisakah Anda membandingkan PM2.5 Jakarta Pusat dengan pedoman WHO 24 jam sambil mempertahankan waktu pengamatan dan satuannya?</t>
  </si>
  <si>
    <t xml:space="preserve">Sources: jakarta-monitoring, who-aqg-2021-extract. Proposed chunks: jakarta-monitoring:structure:0, who-aqg-2021-extract:structure:2. Requires a current measurement tool result plus WHO's 24-hour value while preserving timestamp, pollutant and units.</t>
  </si>
  <si>
    <t xml:space="preserve">jakarta-monitoring:structure:0, who-aqg-2021-extract:structure:2</t>
  </si>
  <si>
    <t xml:space="preserve">gold30-027</t>
  </si>
  <si>
    <t xml:space="preserve">So does that mean vehicles definitely caused my station's reading today?</t>
  </si>
  <si>
    <t xml:space="preserve">Sources: jakarta-causes, jakarta-monitoring. Proposed chunks: jakarta-causes:structure:2, jakarta-monitoring:structure:0. Follow-up tests whether likely contributors are incorrectly turned into proof of a single reading's cause.</t>
  </si>
  <si>
    <t xml:space="preserve">jakarta-causes:structure:2, jakarta-monitoring:structure:0</t>
  </si>
  <si>
    <t xml:space="preserve">gold30-028</t>
  </si>
  <si>
    <t xml:space="preserve">Bisakah informasi ini mendiagnosis apakah sesak dada saya disebabkan polusi udara?</t>
  </si>
  <si>
    <t xml:space="preserve">Sources: health-disclaimer. Proposed chunks: health-disclaimer:structure:0. The health boundary explicitly says air-quality information is educational and does not diagnose an individual; severe or persistent symptoms need care.</t>
  </si>
  <si>
    <t xml:space="preserve">health-disclaimer:structure:0</t>
  </si>
  <si>
    <t xml:space="preserve">gold30-029</t>
  </si>
  <si>
    <t xml:space="preserve">The station's PM2.5 value is blank; can you fill it with Jakarta's average?</t>
  </si>
  <si>
    <t xml:space="preserve">Sources: jakarta-monitoring. Proposed chunks: jakarta-monitoring:structure:0. Negative-data case: a missing station value must not be replaced with an unrelated average; the portal provides provenance requirements.</t>
  </si>
  <si>
    <t xml:space="preserve">gold30-030</t>
  </si>
  <si>
    <t xml:space="preserve">Ringkasan putusan tidak punya tanggal penyelesaian; bolehkah kita mengatakan perintahnya sudah dilaksanakan?</t>
  </si>
  <si>
    <t xml:space="preserve">Sources: ma-jakarta-air-lawsuit-record, jakarta-policy-implementation. Proposed chunks: ma-jakarta-air-lawsuit-record:structure:0, jakarta-policy-implementation:structure:0. The court record explicitly withholds completion claims without subsequent execution evidence.</t>
  </si>
  <si>
    <t xml:space="preserve">ma-jakarta-air-lawsuit-record:structure:1, jakarta-policy-implementation:structure:2</t>
  </si>
  <si>
    <t xml:space="preserve">Replaced record-identity and metadata chunks with the direct judgment-versus-implementation boundary and dated evidence that implementation was still ongoing.</t>
  </si>
  <si>
    <t xml:space="preserve">Evidence</t>
  </si>
  <si>
    <t xml:space="preserve">Top five local retrieval candidates per question and mode. Filter by question_id or mode; excerpts are intentionally concise.</t>
  </si>
  <si>
    <t xml:space="preserve">mode</t>
  </si>
  <si>
    <t xml:space="preserve">rank</t>
  </si>
  <si>
    <t xml:space="preserve">source_id</t>
  </si>
  <si>
    <t xml:space="preserve">chunk_id</t>
  </si>
  <si>
    <t xml:space="preserve">locator</t>
  </si>
  <si>
    <t xml:space="preserve">score</t>
  </si>
  <si>
    <t xml:space="preserve">title</t>
  </si>
  <si>
    <t xml:space="preserve">publisher</t>
  </si>
  <si>
    <t xml:space="preserve">excerpt</t>
  </si>
  <si>
    <t xml:space="preserve">URL</t>
  </si>
  <si>
    <t xml:space="preserve">proposed grade</t>
  </si>
  <si>
    <t xml:space="preserve">proposed rationale</t>
  </si>
  <si>
    <t xml:space="preserve">bm25</t>
  </si>
  <si>
    <t xml:space="preserve">jakarta-causes</t>
  </si>
  <si>
    <t xml:space="preserve">jakarta-causes:structure:0</t>
  </si>
  <si>
    <t xml:space="preserve">p.1</t>
  </si>
  <si>
    <t xml:space="preserve">What causes Jakarta air pollution</t>
  </si>
  <si>
    <t xml:space="preserve">Dinas Lingkungan Hidup DKI Jakarta / Vital Strategies / ITB</t>
  </si>
  <si>
    <t xml:space="preserve">Jakarta's pollution has multiple local and regional sources. The 2020 DKI emissions inventory attributed major shares of NOx, CO, PM10, and PM2.5 emissions to transport, while manufacturing was the largest source of SO2 and a major secondary source for particulate pollution. The…</t>
  </si>
  <si>
    <t xml:space="preserve">https://rendahemisi.jakarta.go.id/learn</t>
  </si>
  <si>
    <t xml:space="preserve">Machine-suggested near-miss; human review required.</t>
  </si>
  <si>
    <t xml:space="preserve">bad-air-day-protection</t>
  </si>
  <si>
    <t xml:space="preserve">bad-air-day-protection:structure:1</t>
  </si>
  <si>
    <t xml:space="preserve">p.2</t>
  </si>
  <si>
    <t xml:space="preserve">Bad-air-day protection playbook</t>
  </si>
  <si>
    <t xml:space="preserve">World Health Organization, Regional Office for Europe</t>
  </si>
  <si>
    <t xml:space="preserve">1. Check a fresh reading and timestamp on the official DKI portal (and the pollutant, not only the index). If the reading is elevated, shorten outdoor time, move exercise to a cleaner time/place, and avoid moderate-to-vigorous outdoor exertion. Jakarta's own seasonal notice says…</t>
  </si>
  <si>
    <t xml:space="preserve">https://www.who.int/news-room/questions-and-answers/item/air-pollution-personal-interventions-and-risk-communication</t>
  </si>
  <si>
    <t xml:space="preserve">jakarta-court-air-quality</t>
  </si>
  <si>
    <t xml:space="preserve">jakarta-court-air-quality:structure:1</t>
  </si>
  <si>
    <t xml:space="preserve">Jakarta air-pollution citizen lawsuit: what the court record establishes</t>
  </si>
  <si>
    <t xml:space="preserve">Mahkamah Agung Republik Indonesia</t>
  </si>
  <si>
    <t xml:space="preserve">The Supreme Court case directory records Pengadilan Negeri Jakarta Pusat case 374/Pdt.G/LH/2019/PN Jkt.Pst, a citizen lawsuit concerning Jakarta air pollution, with a decision dated 16 September 2021. The record identifies government defendants and surrounding-province parties.…</t>
  </si>
  <si>
    <t xml:space="preserve">https://putusan3.mahkamahagung.go.id/pengadilan/profil/pengadilan/pn-jakarta-pusat.html</t>
  </si>
  <si>
    <t xml:space="preserve">jakarta-seasonal-exposure</t>
  </si>
  <si>
    <t xml:space="preserve">jakarta-seasonal-exposure:structure:0</t>
  </si>
  <si>
    <t xml:space="preserve">Jakarta timing and local exposure context</t>
  </si>
  <si>
    <t xml:space="preserve">Dinas Lingkungan Hidup DKI Jakarta</t>
  </si>
  <si>
    <t xml:space="preserve">Published: 2024-04-06 Status as of: 2026-09-07 (official seasonal notice; not a current forecast) Document type: official_public_guidance Tags: topic=exposure-protection; audience=Jakarta-resident; action=protect-now; pollutant=PM2.5</t>
  </si>
  <si>
    <t xml:space="preserve">https://lingkunganhidup.jakarta.go.id/detail-artikel/masuki-musim-kemarau-pemprov-dki-minta-masyarakat-waspadai-penurunan-kualitas-udara</t>
  </si>
  <si>
    <t xml:space="preserve">jakarta-cems-monitoring</t>
  </si>
  <si>
    <t xml:space="preserve">jakarta-cems-monitoring:structure:2</t>
  </si>
  <si>
    <t xml:space="preserve">p.3</t>
  </si>
  <si>
    <t xml:space="preserve">Stationary-source emissions monitoring (CEMS)</t>
  </si>
  <si>
    <t xml:space="preserve">The existence of reports demonstrates monitoring activity, not that every industrial stack is covered, every reading is compliant, or corrective orders were completed. A useful implementation dashboard should publish the regulated source denominator, uptime and missingness, exce…</t>
  </si>
  <si>
    <t xml:space="preserve">https://lingkunganhidup.jakarta.go.id/publikasi/monitoring_emisi</t>
  </si>
  <si>
    <t xml:space="preserve">dense</t>
  </si>
  <si>
    <t xml:space="preserve">jakarta-monitoring</t>
  </si>
  <si>
    <t xml:space="preserve">Jakarta monitoring stations</t>
  </si>
  <si>
    <t xml:space="preserve">Dinas Lingkungan Hidup Provinsi DKI Jakarta</t>
  </si>
  <si>
    <t xml:space="preserve">Jakarta's official monitoring portal publishes station locations, pollutant parameters, current readings, and timestamps. A station observation describes that station and observation time; it should not automatically be generalized to all of Jakarta.</t>
  </si>
  <si>
    <t xml:space="preserve">https://udara.jakarta.go.id/lokasi-spku</t>
  </si>
  <si>
    <t xml:space="preserve">Expected source for this question.</t>
  </si>
  <si>
    <t xml:space="preserve">ma-jakarta-air-lawsuit-record</t>
  </si>
  <si>
    <t xml:space="preserve">ma-jakarta-air-lawsuit-record:structure:0</t>
  </si>
  <si>
    <t xml:space="preserve">Mahkamah Agung record — Jakarta air-pollution citizen lawsuit</t>
  </si>
  <si>
    <t xml:space="preserve">The Mahkamah Agung court portal is the authoritative starting point for locating Indonesian court records. The Jakarta air-pollution citizen lawsuit concerns duties across Jakarta and the surrounding regional authorities; a court-profile URL alone is not the complete judgment.</t>
  </si>
  <si>
    <t xml:space="preserve">hybrid</t>
  </si>
  <si>
    <t xml:space="preserve">jakarta-improvements</t>
  </si>
  <si>
    <t xml:space="preserve">jakarta-improvements:structure:0</t>
  </si>
  <si>
    <t xml:space="preserve">Ways to improve Jakarta air quality</t>
  </si>
  <si>
    <t xml:space="preserve">Pemerintah Provinsi DKI Jakarta / Dinas Lingkungan Hidup</t>
  </si>
  <si>
    <t xml:space="preserve">Jakarta's air-pollution strategy combines governance and monitoring, reduction of emissions from mobile sources, and reduction from stationary sources. The intervention set includes public transport and vehicle-emission testing, low-emission zones, cleaner energy and fuels, indu…</t>
  </si>
  <si>
    <t xml:space="preserve">https://www.jakarta.go.id/page/upaya-bersama-jaga-kualitas-udara-jakarta</t>
  </si>
  <si>
    <t xml:space="preserve">hybrid_rerank</t>
  </si>
  <si>
    <t xml:space="preserve">jakarta-historical-city-series</t>
  </si>
  <si>
    <t xml:space="preserve">Jakarta historical PM2.5 and PM10 series: provenance and quality</t>
  </si>
  <si>
    <t xml:space="preserve">Open-Meteo / CAMS Global; deposited dataset by Nitiraj Kulkarni and Jagadish Tawade</t>
  </si>
  <si>
    <t xml:space="preserve">`pm2_5` and `pm10` are separate Open-Meteo Air Quality API variables, both in µg/m³. They are CAMS global model concentrations near the surface at the Jakarta coordinate (-6.2088, 106.8456), not DKI station measurements or ISPU values. The CAMS global product is a roughly 0.4° (…</t>
  </si>
  <si>
    <t xml:space="preserve">https://zenodo.org/records/18673885</t>
  </si>
  <si>
    <t xml:space="preserve">jakarta-policy-implementation</t>
  </si>
  <si>
    <t xml:space="preserve">jakarta-policy-implementation:structure:0</t>
  </si>
  <si>
    <t xml:space="preserve">Why rules can coexist with poor air: implementation evidence</t>
  </si>
  <si>
    <t xml:space="preserve">Pemerintah Provinsi DKI Jakarta; Dinas Lingkungan Hidup DKI Jakarta; Mahkamah Agung</t>
  </si>
  <si>
    <t xml:space="preserve">Published: 2024-06-19; court record dated 2021-09-16 Status as of: 2026-09-07 (status is date-bounded; verify later changes in JDIH) Document type: implementation_evidence Tags: topic=regulation-implementation; audience=Jakarta-resident; action=accountability; status=implementat…</t>
  </si>
  <si>
    <t xml:space="preserve">https://www.jakarta.go.id/siaran-pers/4802-SP-HMS-06-2024</t>
  </si>
  <si>
    <t xml:space="preserve">jakarta-regulations</t>
  </si>
  <si>
    <t xml:space="preserve">jakarta-regulations:structure:0</t>
  </si>
  <si>
    <t xml:space="preserve">Jakarta and Indonesian air-quality regulations</t>
  </si>
  <si>
    <t xml:space="preserve">JDIH DKI Jakarta / Government of Indonesia</t>
  </si>
  <si>
    <t xml:space="preserve">Permen LHK No. 14 of 2020 defines the Indonesian ISPU methodology and categories. ISPU is a unitless index and is not a pollutant concentration. PP No. 22 of 2021 establishes national environmental and ambient air-quality provisions. Pergub DKI No. 66 of 2020 regulates motor-veh…</t>
  </si>
  <si>
    <t xml:space="preserve">https://udara.jakarta.go.id/regulasi</t>
  </si>
  <si>
    <t xml:space="preserve">policy-improvements-evidence</t>
  </si>
  <si>
    <t xml:space="preserve">policy-improvements-evidence:structure:2</t>
  </si>
  <si>
    <t xml:space="preserve">Evidence-based policy improvements for Jakarta</t>
  </si>
  <si>
    <t xml:space="preserve">Dinas Lingkungan Hidup DKI Jakarta; World Health Organization</t>
  </si>
  <si>
    <t xml:space="preserve">* Near term enforcement: publish a vehicle-testing denominator and pass/fail and sanction rates; expand roadside checks and repair support; audit testing centres; require transparent stationary-source inspection and CEMS follow-up. DKI's own 2024 materials identify inventory and…</t>
  </si>
  <si>
    <t xml:space="preserve">pp-22-2021-air-quality</t>
  </si>
  <si>
    <t xml:space="preserve">pp-22-2021-air-quality:structure:3</t>
  </si>
  <si>
    <t xml:space="preserve">p.4</t>
  </si>
  <si>
    <t xml:space="preserve">PP No. 22 Tahun 2021 — environmental protection and ambient air quality</t>
  </si>
  <si>
    <t xml:space="preserve">Pemerintah Republik Indonesia / Database Peraturan BPK</t>
  </si>
  <si>
    <t xml:space="preserve">The lampiran is the controlling locator for numeric ambient standards. A response must not substitute an ISPU category for an ambient concentration standard, and must identify the pollutant and averaging time before comparing a measurement.</t>
  </si>
  <si>
    <t xml:space="preserve">https://peraturan.bpk.go.id/Details/161852/pp-no-22tahun-2021</t>
  </si>
  <si>
    <t xml:space="preserve">ispu</t>
  </si>
  <si>
    <t xml:space="preserve">Indonesian ISPU categories</t>
  </si>
  <si>
    <t xml:space="preserve">Ministry of Environment and Forestry</t>
  </si>
  <si>
    <t xml:space="preserve">The Indonesian ISPU categories used in this demo are Baik (1-50), Sedang (51-100), Tidak Sehat (101-200), Sangat Tidak Sehat (201-300), and Berbahaya (301 or higher). ISPU is an index without a physical concentration unit.</t>
  </si>
  <si>
    <t xml:space="preserve">https://peraturan.bpk.go.id/Details/163466/permen-lhk-no-14-tahun-2020</t>
  </si>
  <si>
    <t xml:space="preserve">jakarta-policy-implementation:structure:1</t>
  </si>
  <si>
    <t xml:space="preserve">Pergub DKI No. 66/2020 is listed as berlaku by both BPK and DKI JDIH and became effective 2020-12-24. It requires emission testing arrangements for motor vehicles and sets inspection/control responsibilities. PP No. 22/2021 and Permen LHK No. 14/2020 are national instruments for…</t>
  </si>
  <si>
    <t xml:space="preserve">individual-emission-actions</t>
  </si>
  <si>
    <t xml:space="preserve">individual-emission-actions:structure:2</t>
  </si>
  <si>
    <t xml:space="preserve">What an individual can do to reduce emissions and improve accountability</t>
  </si>
  <si>
    <t xml:space="preserve">World Health Organization; Pemerintah Provinsi DKI Jakarta</t>
  </si>
  <si>
    <t xml:space="preserve">Report suspected open burning, smoky vehicles, or industrial violations through the responsible DKI/KLHK reporting channel and keep the date, location, photo or video, wind/odour description, and the relevant station reading. Join a community-monitoring project only if sensors h…</t>
  </si>
  <si>
    <t xml:space="preserve">https://www.who.int/europe/publications/m/item/personal-level-actions-to-reduce-air-pollution-exposure</t>
  </si>
  <si>
    <t xml:space="preserve">jakarta-historical-city-series:structure:2</t>
  </si>
  <si>
    <t xml:space="preserve">The retained CSV is daily. For the repository's recent refresh, ingestion groups the API timestamps by local Asia/Jakarta date and averages each pollutant independently over its available upstream values. The Zenodo artifact supplies daily date rows, but does not retain raw time…</t>
  </si>
  <si>
    <t xml:space="preserve">jakarta-policy-implementation:structure:5</t>
  </si>
  <si>
    <t xml:space="preserve">p.6</t>
  </si>
  <si>
    <t xml:space="preserve">Therefore, “regulations are not working” should be answered as a testable gap: rules exist, but coverage, inspections, reliable data, sanctions, budgets, inter-agency authority, and regional implementation must be measured before claiming failure. [jakarta-policy-implementation]</t>
  </si>
  <si>
    <t xml:space="preserve">pp-22-2021-air-quality:structure:0</t>
  </si>
  <si>
    <t xml:space="preserve">Peraturan Pemerintah Nomor 22 Tahun 2021 is titled Penyelenggaraan Perlindungan dan Pengelolaan Lingkungan Hidup. The BPK database describes it as a national environmental regulation and records the subject areas that include environmental approval, air-quality protection and ma…</t>
  </si>
  <si>
    <t xml:space="preserve">pergub-66-2020-vehicle-testing</t>
  </si>
  <si>
    <t xml:space="preserve">pergub-66-2020-vehicle-testing:structure:0</t>
  </si>
  <si>
    <t xml:space="preserve">Pergub DKI Jakarta No. 66 Tahun 2020 — motor-vehicle emission testing</t>
  </si>
  <si>
    <t xml:space="preserve">Pemerintah Provinsi DKI Jakarta / Database Peraturan BPK</t>
  </si>
  <si>
    <t xml:space="preserve">Peraturan Gubernur Provinsi DKI Jakarta Nomor 66 Tahun 2020 is titled Uji Emisi Gas Buang Kendaraan Bermotor. The BPK record gives the adoption date as 22 July 2020, promulgation date as 24 July 2020, and effective date as 24 December 2020.</t>
  </si>
  <si>
    <t xml:space="preserve">https://peraturan.bpk.go.id/Details/153923/pergub-prov-dki-jakarta-no-66-tahun-2020</t>
  </si>
  <si>
    <t xml:space="preserve">jakarta-historical-city-series:structure:4</t>
  </si>
  <si>
    <t xml:space="preserve">p.5</t>
  </si>
  <si>
    <t xml:space="preserve">Across paired rows, Pearson correlation is 0.883 and Spearman correlation is 0.873. Mean absolute difference is 17.06, median absolute difference 16.80, and RMSE 23.05 µg/m³. The median PM10:PM2.5 ratio is 1.435 (mean 1.272). Absolute differences are within 1, 2, and 5 µg/m³ for…</t>
  </si>
  <si>
    <t xml:space="preserve">who-aqg-2021-extract</t>
  </si>
  <si>
    <t xml:space="preserve">who-aqg-2021-extract:structure:3</t>
  </si>
  <si>
    <t xml:space="preserve">WHO Global Air Quality Guidelines (2021) — particulate matter targets</t>
  </si>
  <si>
    <t xml:space="preserve">World Health Organization</t>
  </si>
  <si>
    <t xml:space="preserve">For PM10, the table reports an annual guideline level of 15 micrograms per cubic metre and a 24-hour guideline level of 45 micrograms per cubic metre. These values use an averaging time and pollutant-specific unit that must remain attached to the comparison.</t>
  </si>
  <si>
    <t xml:space="preserve">https://www.who.int/publications/i/item/9789240034228</t>
  </si>
  <si>
    <t xml:space="preserve">individual-emission-actions:structure:3</t>
  </si>
  <si>
    <t xml:space="preserve">WHO's hierarchy is important: personal interventions can reduce short-term exposure, but public policies that reduce emissions are more effective, sustainable, and equitable. Protecting yourself on a bad day and reducing your own emissions are different goals; neither makes an i…</t>
  </si>
  <si>
    <t xml:space="preserve">jakarta-seasonal-exposure:structure:1</t>
  </si>
  <si>
    <t xml:space="preserve">DLH DKI, BMKG, KLHK, and Dinas Kesehatan warned that PM2.5 can increase in the dry season (roughly May–August in the notice) when rain and wind are low, because particles can accumulate and remain suspended. The notice also says SPKU observations showed different day/night patte…</t>
  </si>
  <si>
    <t xml:space="preserve">ispu:structure:1</t>
  </si>
  <si>
    <t xml:space="preserve">Never describe an ISPU value as a PM2.5 concentration. The application should show the index and the concentration separately.</t>
  </si>
  <si>
    <t xml:space="preserve">jakarta-causes:structure:1</t>
  </si>
  <si>
    <t xml:space="preserve">The 2019–2020 Jakarta/ITB/Vital Strategies receptor-based source-apportionment study found that transport contributed substantially to ambient PM2.5, with different estimates by season and sampling site. It also identified coal combustion, construction, open burning, soil, and r…</t>
  </si>
  <si>
    <t xml:space="preserve">who-aqg-2021-extract:structure:2</t>
  </si>
  <si>
    <t xml:space="preserve">The WHO table reports a PM2.5 annual guideline level of 5 micrograms per cubic metre and a 24-hour guideline level of 15 micrograms per cubic metre. The 24-hour recommendation is defined at the 99th percentile, equivalent to approximately three to four exceedance days per year.</t>
  </si>
  <si>
    <t xml:space="preserve">exposure-protection</t>
  </si>
  <si>
    <t xml:space="preserve">exposure-protection:structure:1</t>
  </si>
  <si>
    <t xml:space="preserve">Reducing personal exposure to air pollution</t>
  </si>
  <si>
    <t xml:space="preserve">A properly fitted, certified particulate respirator can reduce inhaled particles such as PM2.5, but it does not remove every gas and fit is important. Portable particle filtration may reduce indoor PM2.5, but effectiveness depends on room size, filter performance, fan speed, inf…</t>
  </si>
  <si>
    <t xml:space="preserve">https://www.who.int/publications/i/item/9789240000278</t>
  </si>
  <si>
    <t xml:space="preserve">clean-air-room</t>
  </si>
  <si>
    <t xml:space="preserve">clean-air-room:structure:0</t>
  </si>
  <si>
    <t xml:space="preserve">Indoor filtration and a clean-air room</t>
  </si>
  <si>
    <t xml:space="preserve">United States Environmental Protection Agency</t>
  </si>
  <si>
    <t xml:space="preserve">Published: not stated; page last updated 2026-02-17 (accessed 2026-09-07) Status as of: 2026-09-07 (technical guidance; not Indonesian law) Document type: indoor_air_guidance Tags: topic=indoor-filtration; audience=household; action=protect-now; pollutant=particles</t>
  </si>
  <si>
    <t xml:space="preserve">https://www.epa.gov/indoor-air-quality-iaq/guide-air-cleaners-home</t>
  </si>
  <si>
    <t xml:space="preserve">jakarta-sppu-official-status-2024</t>
  </si>
  <si>
    <t xml:space="preserve">jakarta-sppu-official-status-2024:structure:1</t>
  </si>
  <si>
    <t xml:space="preserve">Jakarta SPPU and air-quality implementation status (official statement, 2024)</t>
  </si>
  <si>
    <t xml:space="preserve">Pemerintah Provinsi DKI Jakarta / Dinas Lingkungan Hidup DKI Jakarta</t>
  </si>
  <si>
    <t xml:space="preserve">The official statement discusses work involving emissions inventories, stronger oversight of mobile and stationary sources, and cooperation across the Greater Jakarta agglomeration. These are documented workstreams and should not be rewritten as completed outcomes without separa…</t>
  </si>
  <si>
    <t xml:space="preserve">who-guidance</t>
  </si>
  <si>
    <t xml:space="preserve">who-guidance:structure:0</t>
  </si>
  <si>
    <t xml:space="preserve">WHO air-quality guideline context</t>
  </si>
  <si>
    <t xml:space="preserve">WHO air-quality guideline levels are health-based recommendations for pollutants including PM2.5, PM10, ozone, nitrogen dioxide, sulfur dioxide, and carbon monoxide. They are not Indonesian legal standards. Answers should state which framework is being used when comparing a meas…</t>
  </si>
  <si>
    <t xml:space="preserve">jakarta-sppu-official-status-2024:structure:0</t>
  </si>
  <si>
    <t xml:space="preserve">The 19 June 2024 DKI statement is implementation evidence about air-quality management and the SPPU context. It is not an enacted statute or an ambient standard. Its date must remain attached to claims about what the administration reported.</t>
  </si>
  <si>
    <t xml:space="preserve">epa-air-cleaners-home-2026</t>
  </si>
  <si>
    <t xml:space="preserve">epa-air-cleaners-home-2026:structure:2</t>
  </si>
  <si>
    <t xml:space="preserve">US EPA Guide to Air Cleaners in the Home (2nd edition)</t>
  </si>
  <si>
    <t xml:space="preserve">The guide discusses higher-efficiency HVAC filters, including MERV 13 where the system can accommodate the pressure drop. Compatibility, fit, operating time and maintenance affect delivered filtration; a filter rating alone does not guarantee a measured indoor concentration.</t>
  </si>
  <si>
    <t xml:space="preserve">jakarta-policy-status</t>
  </si>
  <si>
    <t xml:space="preserve">jakarta-policy-status:structure:0</t>
  </si>
  <si>
    <t xml:space="preserve">Policy proposals and implementation gaps</t>
  </si>
  <si>
    <t xml:space="preserve">Pemerintah Provinsi DKI Jakarta / JDIH</t>
  </si>
  <si>
    <t xml:space="preserve">Electronic Road Pricing (PL2SE/ERP) is a policy proposal and legislative process, not automatically an enacted operating rule. Jakarta's official explanation records that its draft first entered the legislative programme in 2018 but was not discussed, was revised and resubmitted…</t>
  </si>
  <si>
    <t xml:space="preserve">https://www.jakarta.go.id/siaran-pers/3850-SP-HMS-01-2023</t>
  </si>
  <si>
    <t xml:space="preserve">jakarta-sppu-official-status-2024:structure:3</t>
  </si>
  <si>
    <t xml:space="preserve">The statement supports a cautious distinction between a policy activity and a measured air-quality outcome. Transported pollution, multiple authorities and incomplete public denominators are plausible constraints to investigate; they do not prove that one policy or source caused…</t>
  </si>
  <si>
    <t xml:space="preserve">jakarta-historical-city-series:structure:6</t>
  </si>
  <si>
    <t xml:space="preserve">p.7</t>
  </si>
  <si>
    <t xml:space="preserve">The visual near-overlap is concentrated in the 92-row recent refresh: its Pearson correlation is 0.997, median gap 1.89 µg/m³, and median ratio 1.022. The 1,295 Zenodo rows have correlation 0.895, median gap 19.66 µg/m³, and median ratio 1.436. The repository code does not alias…</t>
  </si>
  <si>
    <t xml:space="preserve">jakarta-policy-implementation:structure:2</t>
  </si>
  <si>
    <t xml:space="preserve">In its 2024 public statement, DKI said implementation of Kepgub 576/2023's Strategy for Air Pollution Control was still being completed: the city was developing a more systematic emissions inventory, tightening mobile and stationary-source oversight, and seeking cooperation with…</t>
  </si>
  <si>
    <t xml:space="preserve">individual-emission-actions:structure:0</t>
  </si>
  <si>
    <t xml:space="preserve">Published: 2024-11-15 (WHO practical briefs); DKI programme guidance accessed 2026-09-07 Status as of: 2026-09-07 (recommendations and programmes; not a substitute for enforcement) Document type: civic_and_emissions_guidance Tags: topic=individual-contribution; audience=Jakarta-…</t>
  </si>
  <si>
    <t xml:space="preserve">bad-air-day-protection:structure:0</t>
  </si>
  <si>
    <t xml:space="preserve">Published: 2024-10-04 Status as of: 2026-09-07 (health guidance; not Indonesian law) Document type: health_guidance Tags: topic=exposure-protection; audience=Jakarta-resident; action=protect-now; pollutant=ambient-particles</t>
  </si>
  <si>
    <t xml:space="preserve">epa-air-cleaners-home-2026:structure:0</t>
  </si>
  <si>
    <t xml:space="preserve">The EPA guide discusses portable air cleaners, heating/ventilation and air-conditioning filters, indoor pollutant sources and practical limits. It is technical household guidance and should not be presented as a Jakarta regulation.</t>
  </si>
  <si>
    <t xml:space="preserve">exposure-protection:structure:0</t>
  </si>
  <si>
    <t xml:space="preserve">People can reduce exposure by checking a fresh local observation, changing the time or location of strenuous outdoor activity, and reducing intense exercise during high-pollution episodes. Staying indoors helps only when indoor sources are controlled and outdoor particles are no…</t>
  </si>
  <si>
    <t xml:space="preserve">health-disclaimer</t>
  </si>
  <si>
    <t xml:space="preserve">Health communication boundary</t>
  </si>
  <si>
    <t xml:space="preserve">Air-quality information can support exposure-reduction decisions, but it does not diagnose an individual. The assistant should provide educational information, state uncertainty, and direct people with severe or persistent symptoms to a qualified healthcare professional.</t>
  </si>
  <si>
    <t xml:space="preserve">jakarta-historical-city-series:structure:0</t>
  </si>
  <si>
    <t xml:space="preserve">API source: https://air-quality-api.open-meteo.com/v1/air-quality Retrieved: 2026-09-07</t>
  </si>
  <si>
    <t xml:space="preserve">permen-lhk-8-2023-vehicle-emissions</t>
  </si>
  <si>
    <t xml:space="preserve">permen-lhk-8-2023-vehicle-emissions:structure:0</t>
  </si>
  <si>
    <t xml:space="preserve">Permen LHK No. 8 Tahun 2023 — vehicle emission standards and testing</t>
  </si>
  <si>
    <t xml:space="preserve">Kementerian Lingkungan Hidup dan Kehutanan / Database Peraturan BPK</t>
  </si>
  <si>
    <t xml:space="preserve">Peraturan Menteri Lingkungan Hidup dan Kehutanan Nomor 8 Tahun 2023 concerns the application of emission standards for motor vehicles in categories M, N, O and L. The BPK record lists it as an environmental and land/sea/air transport regulation, in Indonesian, and records the st…</t>
  </si>
  <si>
    <t xml:space="preserve">https://peraturan.bpk.go.id/Details/262504/permen-lhk-no-8-tahun-2023</t>
  </si>
  <si>
    <t xml:space="preserve">jakarta-court-air-quality:structure:0</t>
  </si>
  <si>
    <t xml:space="preserve">Published: decision dated 2021-09-16; directory accessed 2026-09-07 Status as of: 2026-09-07 (court-record scope; execution status must be checked separately) Document type: court_record Tags: topic=regulation-implementation; audience=public-accountability; action=participation</t>
  </si>
  <si>
    <t xml:space="preserve">individual-emission-actions:structure:1</t>
  </si>
  <si>
    <t xml:space="preserve">Use public transport, shared trips, walking, or cycling where current air quality, heat, safety, and mobility needs make that reasonable. Avoid needless idling, maintain the engine and tyres, repair visible smoke, and complete the required emissions test; a passing test is a com…</t>
  </si>
  <si>
    <t xml:space="preserve">clean-air-room:structure:1</t>
  </si>
  <si>
    <t xml:space="preserve">Choose a portable cleaner with a clean-air delivery rate (CADR) appropriate to the room; a larger room or higher ceiling needs more clean-air delivery. EPA's example sizing table for an eight-foot ceiling is 65 cfm for 100 square feet, 130 cfm for 200, 195 cfm for 300, and 390 c…</t>
  </si>
  <si>
    <t xml:space="preserve">epa-air-cleaners-home-2026:structure:1</t>
  </si>
  <si>
    <t xml:space="preserve">The guide explains that a portable cleaner's clean air delivery rate (CADR) and the room size determine how much filtered air is delivered. A product recommendation therefore needs room dimensions and a stated particle CADR, rather than only a marketing label.</t>
  </si>
  <si>
    <t xml:space="preserve">jakarta-emission-testing</t>
  </si>
  <si>
    <t xml:space="preserve">jakarta-emission-testing:structure:0</t>
  </si>
  <si>
    <t xml:space="preserve">Jakarta vehicle-emissions testing obligation</t>
  </si>
  <si>
    <t xml:space="preserve">Published: page accessed 2026-09-07 (FAQ date not stated) Status as of: 2026-09-07; Pergub 66/2020 is listed as berlaku Document type: official_faq Tags: topic=regulation-implementation; audience=vehicle-owner; action=compliance</t>
  </si>
  <si>
    <t xml:space="preserve">https://lingkunganhidup.jakarta.go.id/faq/ujiemisi</t>
  </si>
  <si>
    <t xml:space="preserve">jakarta-cems-monitoring:structure:1</t>
  </si>
  <si>
    <t xml:space="preserve">DLH describes continuous emissions monitoring systems (CEMS) as a way to measure and calculate emissions released from stacks in near real time. Its public monitoring page lists operational-control and evaluation reports for stationary sources for 2020, 2021, 2022, 2023, and 202…</t>
  </si>
  <si>
    <t xml:space="preserve">permen-lhk-13-2021-cems</t>
  </si>
  <si>
    <t xml:space="preserve">permen-lhk-13-2021-cems:structure:0</t>
  </si>
  <si>
    <t xml:space="preserve">Permen LHK No. 13 Tahun 2021 — CEMS connectivity and emission monitoring</t>
  </si>
  <si>
    <t xml:space="preserve">The official BPK download URL identifies a 2021 Ministerial Environment and Forestry regulation. The PDF search extract exposes a CEMS connectivity test table with fields for stack code, emission source, CEMS brand, parameters and pass/fail connectivity result.</t>
  </si>
  <si>
    <t xml:space="preserve">https://peraturan.bpk.go.id/Download/288590/Permen%20LHK%20Nomor%2013%20Tahun%202021.pdf</t>
  </si>
  <si>
    <t xml:space="preserve">pergub-66-2020-vehicle-testing:structure:2</t>
  </si>
  <si>
    <t xml:space="preserve">The abstract says the regulation governs emission testing and exhaust gas by every motor-vehicle owner, together with inspection, supervision and control by the emission-test team. Its delayed effective date is six months after promulgation, rather than the promulgation date its…</t>
  </si>
  <si>
    <t xml:space="preserve">jakarta-sppu-official-status-2024:structure:2</t>
  </si>
  <si>
    <t xml:space="preserve">A statement describing an inventory or oversight program does not provide a complete denominator for all eligible vehicles, regulated stacks, inspections, sanctions, or CEMS follow-up. A reviewer should request the underlying dated datasets, methodology, coverage and quality con…</t>
  </si>
  <si>
    <t xml:space="preserve">ma-jakarta-air-lawsuit-record:structure:1</t>
  </si>
  <si>
    <t xml:space="preserve">A judgment or order can establish what a court directed or declared. It does not by itself establish that every direction was implemented, funded, monitored or completed. Those claims require subsequent official execution, government-response or monitoring records with dates.</t>
  </si>
  <si>
    <t xml:space="preserve">jakarta-policy-implementation:structure:4</t>
  </si>
  <si>
    <t xml:space="preserve">The official Supreme Court case directory records citizen lawsuit 374/Pdt.G/LH/2019/PN Jkt.Pst (decision 2021-09-16). [jakarta-court-air-quality] It is evidence of a court finding about public duties and regional coordination; it is not evidence that every ordered action was com…</t>
  </si>
  <si>
    <t xml:space="preserve">pp-22-2021-air-quality:structure:5</t>
  </si>
  <si>
    <t xml:space="preserve">This is a rule-on-paper source. It does not establish that Jakarta inspected every regulated source, that a sanction was imposed in a particular case, or that implementation changed a measured concentration. Those claims require dated implementation records.</t>
  </si>
  <si>
    <t xml:space="preserve">jakarta-policy-status:structure:2</t>
  </si>
  <si>
    <t xml:space="preserve">The Jakarta citizen lawsuit and later court decisions are evidence about public duties and legal findings, not proof that every recommended intervention has been implemented.</t>
  </si>
  <si>
    <t xml:space="preserve">bad-air-day-protection:structure:3</t>
  </si>
  <si>
    <t xml:space="preserve">Personal protection reduces a person's dose. It does not reduce Jakarta's emissions and cannot replace enforcement or clean-air policy. [bad-air-day-protection]</t>
  </si>
  <si>
    <t xml:space="preserve">who-personal-interventions-2024</t>
  </si>
  <si>
    <t xml:space="preserve">who-personal-interventions-2024:structure:0</t>
  </si>
  <si>
    <t xml:space="preserve">WHO personal interventions and risk communication (2024)</t>
  </si>
  <si>
    <t xml:space="preserve">The WHO Q&amp;A addresses personal interventions and risk communication for air pollution. It presents exposure-reduction options as public-health advice and does not replace emission-control policy or clinical care.</t>
  </si>
  <si>
    <t xml:space="preserve">who-personal-interventions-2024:structure:3</t>
  </si>
  <si>
    <t xml:space="preserve">Particulate respirators can reduce inhaled particles when they are appropriate for the pollutant and fit well. They do not filter every gas, fit varies, and they are not a substitute for reducing emissions. Advice for people with heart or lung disease should be individualized by…</t>
  </si>
  <si>
    <t xml:space="preserve">clean-air-room:structure:2</t>
  </si>
  <si>
    <t xml:space="preserve">CADR is a particle-cleaning rate, not proof that a device removes gases. A particle filter/HEPA unit will not remove all pollutants; activated carbon can help with some gases only when there is enough sorbent material, and there is no widely used gas-performance rating. Avoid oz…</t>
  </si>
  <si>
    <t xml:space="preserve">clean-air-room:structure:3</t>
  </si>
  <si>
    <t xml:space="preserve">During a particle episode, close windows and doors when outdoor air is dirtier than indoor air and use filtration. When outdoor air is cleaner, ventilate to remove indoor-generated particles and carbon dioxide. Always control indoor sources: do not smoke or burn incense indoors,…</t>
  </si>
  <si>
    <t xml:space="preserve">who-personal-interventions-2024:structure:1</t>
  </si>
  <si>
    <t xml:space="preserve">The guidance emphasizes checking air-quality information and reducing exposure during pollution episodes, including adjusting strenuous outdoor activity when conditions are poor. The appropriate action depends on the pollutant, duration, activity and vulnerability of the person.</t>
  </si>
  <si>
    <t xml:space="preserve">jakarta-causes:structure:2</t>
  </si>
  <si>
    <t xml:space="preserve">The evidence supports statements about likely contributors, not a claim that a single source caused one station's reading. Current station observations are descriptive and should be interpreted with their timestamp, location, and quality metadata.</t>
  </si>
  <si>
    <t xml:space="preserve">permen-lhk-8-2023-vehicle-emissions:structure:5</t>
  </si>
  <si>
    <t xml:space="preserve">The BPK page is evidence of the instrument's identity, scope and status. It does not provide a denominator for Jakarta testing coverage or proof that all eligible vehicles complied. Those implementation claims need DKI enforcement records and dated statistics.</t>
  </si>
  <si>
    <t xml:space="preserve">jakarta-emission-testing:structure:1</t>
  </si>
  <si>
    <t xml:space="preserve">DLH DKI's FAQ says emissions testing is mandatory for individual passenger cars and motorcycles older than three years under Pergub 66/2020. It also describes a traffic-ticket consequence for vehicles that fail, under the national traffic-law framework. The rule, a test result,…</t>
  </si>
  <si>
    <t xml:space="preserve">policy-improvements-evidence:structure:0</t>
  </si>
  <si>
    <t xml:space="preserve">Published: 2024-06-19; WHO personal-actions brief 2024-11-15 Status as of: 2026-09-07 (priority options; implementation and outcomes require evaluation) Document type: policy_options Tags: topic=policy-improvement; audience=decision-maker-and-public; action=accountability</t>
  </si>
  <si>
    <t xml:space="preserve">Reference</t>
  </si>
  <si>
    <t xml:space="preserve">Definitions and completion checks for this packet.</t>
  </si>
  <si>
    <t xml:space="preserve">Status</t>
  </si>
  <si>
    <t xml:space="preserve">Meaning</t>
  </si>
  <si>
    <t xml:space="preserve">Difficulty</t>
  </si>
  <si>
    <t xml:space="preserve">Guidance</t>
  </si>
  <si>
    <t xml:space="preserve">Pending</t>
  </si>
  <si>
    <t xml:space="preserve">Not yet decided; finalizer will refuse this row.</t>
  </si>
  <si>
    <t xml:space="preserve">easy</t>
  </si>
  <si>
    <t xml:space="preserve">One clear source and direct wording.</t>
  </si>
  <si>
    <t xml:space="preserve">Proposed question/evidence accepted; enter exact human chunk IDs.</t>
  </si>
  <si>
    <t xml:space="preserve">medium</t>
  </si>
  <si>
    <t xml:space="preserve">Several concepts, a caveat or complementary source.</t>
  </si>
  <si>
    <t xml:space="preserve">Question/evidence corrected; enter exact human chunk IDs and note the change.</t>
  </si>
  <si>
    <t xml:space="preserve">hard</t>
  </si>
  <si>
    <t xml:space="preserve">Ambiguity, negative evidence, cross-source reasoning or strict boundaries.</t>
  </si>
  <si>
    <t xml:space="preserve">Rejected</t>
  </si>
  <si>
    <t xml:space="preserve">Do not retain this item; record the reason in correction_notes.</t>
  </si>
  <si>
    <t xml:space="preserve">Topic</t>
  </si>
  <si>
    <t xml:space="preserve">Definition</t>
  </si>
  <si>
    <t xml:space="preserve">Proposed grade</t>
  </si>
  <si>
    <t xml:space="preserve">current_measurements</t>
  </si>
  <si>
    <t xml:space="preserve">Current station readings, timestamps and index interpretation.</t>
  </si>
  <si>
    <t xml:space="preserve">Directly supports the question's intended answer.</t>
  </si>
  <si>
    <t xml:space="preserve">historical_category_threshold</t>
  </si>
  <si>
    <t xml:space="preserve">Historical series provenance, category boundaries and guideline thresholds.</t>
  </si>
  <si>
    <t xml:space="preserve">Partially supports or supplies necessary context.</t>
  </si>
  <si>
    <t xml:space="preserve">causes</t>
  </si>
  <si>
    <t xml:space="preserve">Likely contributors, source apportionment and causal limits.</t>
  </si>
  <si>
    <t xml:space="preserve">Not relevant or a near-miss; human review required.</t>
  </si>
  <si>
    <t xml:space="preserve">regulations_implementation</t>
  </si>
  <si>
    <t xml:space="preserve">Instrument status, scope, monitoring and implementation evidence.</t>
  </si>
  <si>
    <t xml:space="preserve">protection_individual_action</t>
  </si>
  <si>
    <t xml:space="preserve">Exposure reduction, indoor filtration, respirators and individual actions.</t>
  </si>
  <si>
    <t xml:space="preserve">multi_turn_followups</t>
  </si>
  <si>
    <t xml:space="preserve">A follow-up question with explicit parent conversation context.</t>
  </si>
  <si>
    <t xml:space="preserve">missing_data_safety_abstention</t>
  </si>
  <si>
    <t xml:space="preserve">Missing values, health boundaries and claims that require later evidence.</t>
  </si>
  <si>
    <t xml:space="preserve">Completion checks</t>
  </si>
  <si>
    <t xml:space="preserve">☐ 30 rows have a nonblank decision.</t>
  </si>
  <si>
    <t xml:space="preserve">☐ All status values are Approved, Corrected or Rejected.</t>
  </si>
  <si>
    <t xml:space="preserve">☐ Human chunk IDs resolve exactly to data/index/chunks.jsonl.</t>
  </si>
  <si>
    <t xml:space="preserve">☐ Approved/Corrected rows have reviewer and reviewed_at.</t>
  </si>
  <si>
    <t xml:space="preserve">☐ Rejected rows have correction_notes.</t>
  </si>
</sst>
</file>

<file path=xl/styles.xml><?xml version="1.0" encoding="utf-8"?>
<styleSheet xmlns="http://schemas.openxmlformats.org/spreadsheetml/2006/main">
  <numFmts count="4">
    <numFmt numFmtId="164" formatCode="General"/>
    <numFmt numFmtId="165" formatCode="yyyy\-mm\-dd"/>
    <numFmt numFmtId="166" formatCode="0"/>
    <numFmt numFmtId="167" formatCode="0.00000000"/>
  </numFmts>
  <fonts count="16">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i val="true"/>
      <sz val="10"/>
      <color rgb="FF355268"/>
      <name val="Calibri"/>
      <family val="0"/>
      <charset val="1"/>
    </font>
    <font>
      <b val="true"/>
      <sz val="11"/>
      <color rgb="FFFFFFFF"/>
      <name val="Calibri"/>
      <family val="0"/>
      <charset val="1"/>
    </font>
    <font>
      <sz val="10"/>
      <color rgb="FF233746"/>
      <name val="Calibri"/>
      <family val="0"/>
      <charset val="1"/>
    </font>
    <font>
      <b val="true"/>
      <sz val="10"/>
      <color rgb="FFFFFFFF"/>
      <name val="Calibri"/>
      <family val="0"/>
      <charset val="1"/>
    </font>
    <font>
      <b val="true"/>
      <sz val="10"/>
      <color rgb="FF17324D"/>
      <name val="Calibri"/>
      <family val="0"/>
      <charset val="1"/>
    </font>
    <font>
      <b val="true"/>
      <sz val="18"/>
      <color rgb="FFFFFFFF"/>
      <name val="Calibri"/>
      <family val="0"/>
      <charset val="1"/>
    </font>
    <font>
      <i val="true"/>
      <sz val="10"/>
      <color rgb="FF40566D"/>
      <name val="Calibri"/>
      <family val="0"/>
      <charset val="1"/>
    </font>
    <font>
      <sz val="9"/>
      <color rgb="FF17202A"/>
      <name val="Calibri"/>
      <family val="0"/>
      <charset val="1"/>
    </font>
    <font>
      <sz val="11"/>
      <color rgb="FF17202A"/>
      <name val="Calibri"/>
      <family val="0"/>
      <charset val="1"/>
    </font>
    <font>
      <b val="true"/>
      <sz val="11"/>
      <color rgb="FF17324D"/>
      <name val="Calibri"/>
      <family val="0"/>
      <charset val="1"/>
    </font>
  </fonts>
  <fills count="11">
    <fill>
      <patternFill patternType="none"/>
    </fill>
    <fill>
      <patternFill patternType="gray125"/>
    </fill>
    <fill>
      <patternFill patternType="solid">
        <fgColor rgb="FF17324D"/>
        <bgColor rgb="FF233746"/>
      </patternFill>
    </fill>
    <fill>
      <patternFill patternType="solid">
        <fgColor rgb="FFEAF2F8"/>
        <bgColor rgb="FFEAF2FB"/>
      </patternFill>
    </fill>
    <fill>
      <patternFill patternType="solid">
        <fgColor rgb="FF2F75B5"/>
        <bgColor rgb="FF1F6FEB"/>
      </patternFill>
    </fill>
    <fill>
      <patternFill patternType="solid">
        <fgColor rgb="FFFFFFFF"/>
        <bgColor rgb="FFF3F6F9"/>
      </patternFill>
    </fill>
    <fill>
      <patternFill patternType="solid">
        <fgColor rgb="FFFFF2CC"/>
        <bgColor rgb="FFFCE4D6"/>
      </patternFill>
    </fill>
    <fill>
      <patternFill patternType="solid">
        <fgColor rgb="FFF3F6F8"/>
        <bgColor rgb="FFF3F6F9"/>
      </patternFill>
    </fill>
    <fill>
      <patternFill patternType="solid">
        <fgColor rgb="FFEAF2FB"/>
        <bgColor rgb="FFEAF2F8"/>
      </patternFill>
    </fill>
    <fill>
      <patternFill patternType="solid">
        <fgColor rgb="FF1F6FEB"/>
        <bgColor rgb="FF2F75B5"/>
      </patternFill>
    </fill>
    <fill>
      <patternFill patternType="solid">
        <fgColor rgb="FFF3F6F9"/>
        <bgColor rgb="FFF3F6F8"/>
      </patternFill>
    </fill>
  </fills>
  <borders count="12">
    <border diagonalUp="false" diagonalDown="false">
      <left/>
      <right/>
      <top/>
      <bottom/>
      <diagonal/>
    </border>
    <border diagonalUp="false" diagonalDown="false">
      <left style="thin">
        <color rgb="FF2F75B5"/>
      </left>
      <right/>
      <top style="thin">
        <color rgb="FF2F75B5"/>
      </top>
      <bottom style="thin">
        <color rgb="FF2F75B5"/>
      </bottom>
      <diagonal/>
    </border>
    <border diagonalUp="false" diagonalDown="false">
      <left/>
      <right/>
      <top style="thin">
        <color rgb="FF2F75B5"/>
      </top>
      <bottom style="thin">
        <color rgb="FF2F75B5"/>
      </bottom>
      <diagonal/>
    </border>
    <border diagonalUp="false" diagonalDown="false">
      <left/>
      <right style="thin">
        <color rgb="FF2F75B5"/>
      </right>
      <top style="thin">
        <color rgb="FF2F75B5"/>
      </top>
      <bottom style="thin">
        <color rgb="FF2F75B5"/>
      </bottom>
      <diagonal/>
    </border>
    <border diagonalUp="false" diagonalDown="false">
      <left/>
      <right/>
      <top/>
      <bottom style="thin">
        <color rgb="FFD9E2EA"/>
      </bottom>
      <diagonal/>
    </border>
    <border diagonalUp="false" diagonalDown="false">
      <left/>
      <right/>
      <top style="thin">
        <color rgb="FFD9E2EA"/>
      </top>
      <bottom style="thin">
        <color rgb="FFD9E2EA"/>
      </bottom>
      <diagonal/>
    </border>
    <border diagonalUp="false" diagonalDown="false">
      <left/>
      <right/>
      <top style="thin">
        <color rgb="FFD9E2EA"/>
      </top>
      <bottom/>
      <diagonal/>
    </border>
    <border diagonalUp="false" diagonalDown="false">
      <left style="thin">
        <color rgb="FFD7E0EA"/>
      </left>
      <right/>
      <top style="thin">
        <color rgb="FFD7E0EA"/>
      </top>
      <bottom style="thin">
        <color rgb="FFD7E0EA"/>
      </bottom>
      <diagonal/>
    </border>
    <border diagonalUp="false" diagonalDown="false">
      <left/>
      <right/>
      <top style="thin">
        <color rgb="FFD7E0EA"/>
      </top>
      <bottom style="thin">
        <color rgb="FFD7E0EA"/>
      </bottom>
      <diagonal/>
    </border>
    <border diagonalUp="false" diagonalDown="false">
      <left/>
      <right style="thin">
        <color rgb="FFD7E0EA"/>
      </right>
      <top style="thin">
        <color rgb="FFD7E0EA"/>
      </top>
      <bottom style="thin">
        <color rgb="FFD7E0EA"/>
      </bottom>
      <diagonal/>
    </border>
    <border diagonalUp="false" diagonalDown="false">
      <left/>
      <right/>
      <top/>
      <bottom style="thin">
        <color rgb="FFD7E0EA"/>
      </bottom>
      <diagonal/>
    </border>
    <border diagonalUp="false" diagonalDown="false">
      <left style="thin">
        <color rgb="FFD7E0EA"/>
      </left>
      <right style="thin">
        <color rgb="FFD7E0EA"/>
      </right>
      <top style="thin">
        <color rgb="FFD7E0EA"/>
      </top>
      <bottom style="thin">
        <color rgb="FFD7E0EA"/>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false" indent="0" shrinkToFit="false"/>
      <protection locked="true" hidden="false"/>
    </xf>
    <xf numFmtId="164" fontId="6" fillId="3" borderId="0" xfId="20" applyFont="true" applyBorder="true" applyAlignment="true" applyProtection="false">
      <alignment horizontal="general" vertical="center" textRotation="0" wrapText="true" indent="0" shrinkToFit="false"/>
      <protection locked="true" hidden="false"/>
    </xf>
    <xf numFmtId="164" fontId="7" fillId="4" borderId="0" xfId="20" applyFont="true" applyBorder="true" applyAlignment="true" applyProtection="false">
      <alignment horizontal="left" vertical="center" textRotation="0" wrapText="false" indent="0" shrinkToFit="false"/>
      <protection locked="true" hidden="false"/>
    </xf>
    <xf numFmtId="164" fontId="8" fillId="3" borderId="0" xfId="20" applyFont="true" applyBorder="true" applyAlignment="true" applyProtection="false">
      <alignment horizontal="general" vertical="center" textRotation="0" wrapText="true" indent="0" shrinkToFit="false"/>
      <protection locked="true" hidden="false"/>
    </xf>
    <xf numFmtId="164" fontId="9" fillId="4" borderId="1" xfId="20" applyFont="true" applyBorder="true" applyAlignment="true" applyProtection="false">
      <alignment horizontal="center" vertical="center" textRotation="0" wrapText="true" indent="0" shrinkToFit="false"/>
      <protection locked="true" hidden="false"/>
    </xf>
    <xf numFmtId="164" fontId="9" fillId="4" borderId="2" xfId="20" applyFont="true" applyBorder="true" applyAlignment="true" applyProtection="false">
      <alignment horizontal="center" vertical="center" textRotation="0" wrapText="true" indent="0" shrinkToFit="false"/>
      <protection locked="true" hidden="false"/>
    </xf>
    <xf numFmtId="164" fontId="9" fillId="4" borderId="3" xfId="20" applyFont="true" applyBorder="true" applyAlignment="true" applyProtection="false">
      <alignment horizontal="center" vertical="center" textRotation="0" wrapText="true" indent="0" shrinkToFit="false"/>
      <protection locked="true" hidden="false"/>
    </xf>
    <xf numFmtId="164" fontId="10" fillId="5" borderId="4" xfId="20" applyFont="true" applyBorder="true" applyAlignment="true" applyProtection="false">
      <alignment horizontal="general" vertical="top" textRotation="0" wrapText="true" indent="0" shrinkToFit="false"/>
      <protection locked="true" hidden="false"/>
    </xf>
    <xf numFmtId="164" fontId="8" fillId="5" borderId="4" xfId="20" applyFont="true" applyBorder="true" applyAlignment="true" applyProtection="false">
      <alignment horizontal="general" vertical="top" textRotation="0" wrapText="true" indent="0" shrinkToFit="false"/>
      <protection locked="true" hidden="false"/>
    </xf>
    <xf numFmtId="164" fontId="8" fillId="6" borderId="4" xfId="20" applyFont="true" applyBorder="true" applyAlignment="true" applyProtection="false">
      <alignment horizontal="general" vertical="top" textRotation="0" wrapText="true" indent="0" shrinkToFit="false"/>
      <protection locked="true" hidden="false"/>
    </xf>
    <xf numFmtId="165" fontId="8" fillId="6" borderId="4" xfId="20" applyFont="true" applyBorder="true" applyAlignment="true" applyProtection="false">
      <alignment horizontal="general" vertical="top" textRotation="0" wrapText="true" indent="0" shrinkToFit="false"/>
      <protection locked="true" hidden="false"/>
    </xf>
    <xf numFmtId="164" fontId="10" fillId="7" borderId="4" xfId="20" applyFont="true" applyBorder="true" applyAlignment="true" applyProtection="false">
      <alignment horizontal="general" vertical="top" textRotation="0" wrapText="true" indent="0" shrinkToFit="false"/>
      <protection locked="true" hidden="false"/>
    </xf>
    <xf numFmtId="164" fontId="8" fillId="7" borderId="4" xfId="20" applyFont="true" applyBorder="true" applyAlignment="true" applyProtection="false">
      <alignment horizontal="general" vertical="top" textRotation="0" wrapText="true" indent="0" shrinkToFit="false"/>
      <protection locked="true" hidden="false"/>
    </xf>
    <xf numFmtId="165" fontId="8" fillId="7" borderId="4" xfId="20" applyFont="true" applyBorder="true" applyAlignment="true" applyProtection="false">
      <alignment horizontal="general" vertical="top" textRotation="0" wrapText="true" indent="0" shrinkToFit="false"/>
      <protection locked="true" hidden="false"/>
    </xf>
    <xf numFmtId="164" fontId="10" fillId="5" borderId="5" xfId="20" applyFont="true" applyBorder="true" applyAlignment="true" applyProtection="false">
      <alignment horizontal="general" vertical="top" textRotation="0" wrapText="true" indent="0" shrinkToFit="false"/>
      <protection locked="true" hidden="false"/>
    </xf>
    <xf numFmtId="164" fontId="8" fillId="5" borderId="5" xfId="20" applyFont="true" applyBorder="true" applyAlignment="true" applyProtection="false">
      <alignment horizontal="general" vertical="top" textRotation="0" wrapText="true" indent="0" shrinkToFit="false"/>
      <protection locked="true" hidden="false"/>
    </xf>
    <xf numFmtId="164" fontId="8" fillId="6" borderId="5" xfId="20" applyFont="true" applyBorder="true" applyAlignment="true" applyProtection="false">
      <alignment horizontal="general" vertical="top" textRotation="0" wrapText="true" indent="0" shrinkToFit="false"/>
      <protection locked="true" hidden="false"/>
    </xf>
    <xf numFmtId="165" fontId="8" fillId="6" borderId="5" xfId="20" applyFont="true" applyBorder="true" applyAlignment="true" applyProtection="false">
      <alignment horizontal="general" vertical="top" textRotation="0" wrapText="true" indent="0" shrinkToFit="false"/>
      <protection locked="true" hidden="false"/>
    </xf>
    <xf numFmtId="164" fontId="10" fillId="7" borderId="5" xfId="20" applyFont="true" applyBorder="true" applyAlignment="true" applyProtection="false">
      <alignment horizontal="general" vertical="top" textRotation="0" wrapText="true" indent="0" shrinkToFit="false"/>
      <protection locked="true" hidden="false"/>
    </xf>
    <xf numFmtId="164" fontId="8" fillId="7" borderId="5" xfId="20" applyFont="true" applyBorder="true" applyAlignment="true" applyProtection="false">
      <alignment horizontal="general" vertical="top" textRotation="0" wrapText="true" indent="0" shrinkToFit="false"/>
      <protection locked="true" hidden="false"/>
    </xf>
    <xf numFmtId="165" fontId="8" fillId="7" borderId="5" xfId="20" applyFont="true" applyBorder="true" applyAlignment="true" applyProtection="false">
      <alignment horizontal="general" vertical="top" textRotation="0" wrapText="true" indent="0" shrinkToFit="false"/>
      <protection locked="true" hidden="false"/>
    </xf>
    <xf numFmtId="164" fontId="10" fillId="5" borderId="6" xfId="20" applyFont="true" applyBorder="true" applyAlignment="true" applyProtection="false">
      <alignment horizontal="general" vertical="top" textRotation="0" wrapText="true" indent="0" shrinkToFit="false"/>
      <protection locked="true" hidden="false"/>
    </xf>
    <xf numFmtId="164" fontId="8" fillId="5" borderId="6" xfId="20" applyFont="true" applyBorder="true" applyAlignment="true" applyProtection="false">
      <alignment horizontal="general" vertical="top" textRotation="0" wrapText="true" indent="0" shrinkToFit="false"/>
      <protection locked="true" hidden="false"/>
    </xf>
    <xf numFmtId="164" fontId="8" fillId="6" borderId="6" xfId="20" applyFont="true" applyBorder="true" applyAlignment="true" applyProtection="false">
      <alignment horizontal="general" vertical="top" textRotation="0" wrapText="true" indent="0" shrinkToFit="false"/>
      <protection locked="true" hidden="false"/>
    </xf>
    <xf numFmtId="165" fontId="8" fillId="6" borderId="6" xfId="20" applyFont="true" applyBorder="true" applyAlignment="true" applyProtection="false">
      <alignment horizontal="general" vertical="top" textRotation="0" wrapText="true" indent="0" shrinkToFit="false"/>
      <protection locked="true" hidden="false"/>
    </xf>
    <xf numFmtId="164" fontId="10" fillId="7" borderId="6" xfId="20" applyFont="true" applyBorder="true" applyAlignment="true" applyProtection="false">
      <alignment horizontal="general" vertical="top" textRotation="0" wrapText="true" indent="0" shrinkToFit="false"/>
      <protection locked="true" hidden="false"/>
    </xf>
    <xf numFmtId="164" fontId="8" fillId="7" borderId="6" xfId="20" applyFont="true" applyBorder="true" applyAlignment="true" applyProtection="false">
      <alignment horizontal="general" vertical="top" textRotation="0" wrapText="true" indent="0" shrinkToFit="false"/>
      <protection locked="true" hidden="false"/>
    </xf>
    <xf numFmtId="165" fontId="8" fillId="7" borderId="6" xfId="20" applyFont="true" applyBorder="true" applyAlignment="true" applyProtection="false">
      <alignment horizontal="general" vertical="top" textRotation="0" wrapText="true" indent="0" shrinkToFit="false"/>
      <protection locked="true" hidden="false"/>
    </xf>
    <xf numFmtId="164" fontId="11" fillId="2" borderId="0" xfId="20" applyFont="true" applyBorder="true" applyAlignment="true" applyProtection="false">
      <alignment horizontal="left" vertical="center" textRotation="0" wrapText="false" indent="0" shrinkToFit="false"/>
      <protection locked="true" hidden="false"/>
    </xf>
    <xf numFmtId="164" fontId="12" fillId="8" borderId="0" xfId="20" applyFont="true" applyBorder="true" applyAlignment="true" applyProtection="false">
      <alignment horizontal="general" vertical="center" textRotation="0" wrapText="true" indent="0" shrinkToFit="false"/>
      <protection locked="true" hidden="false"/>
    </xf>
    <xf numFmtId="164" fontId="9" fillId="9" borderId="7" xfId="20" applyFont="true" applyBorder="true" applyAlignment="true" applyProtection="false">
      <alignment horizontal="center" vertical="center" textRotation="0" wrapText="true" indent="0" shrinkToFit="false"/>
      <protection locked="true" hidden="false"/>
    </xf>
    <xf numFmtId="164" fontId="9" fillId="9" borderId="8" xfId="20" applyFont="true" applyBorder="true" applyAlignment="true" applyProtection="false">
      <alignment horizontal="center" vertical="center" textRotation="0" wrapText="true" indent="0" shrinkToFit="false"/>
      <protection locked="true" hidden="false"/>
    </xf>
    <xf numFmtId="164" fontId="9" fillId="9" borderId="9" xfId="20" applyFont="true" applyBorder="true" applyAlignment="true" applyProtection="false">
      <alignment horizontal="center" vertical="center" textRotation="0" wrapText="true" indent="0" shrinkToFit="false"/>
      <protection locked="true" hidden="false"/>
    </xf>
    <xf numFmtId="164" fontId="13" fillId="5" borderId="10" xfId="20" applyFont="true" applyBorder="true" applyAlignment="true" applyProtection="false">
      <alignment horizontal="general" vertical="top" textRotation="0" wrapText="true" indent="0" shrinkToFit="false"/>
      <protection locked="true" hidden="false"/>
    </xf>
    <xf numFmtId="166" fontId="13" fillId="5" borderId="10" xfId="20" applyFont="true" applyBorder="true" applyAlignment="true" applyProtection="false">
      <alignment horizontal="right" vertical="top" textRotation="0" wrapText="true" indent="0" shrinkToFit="false"/>
      <protection locked="true" hidden="false"/>
    </xf>
    <xf numFmtId="167" fontId="13" fillId="5" borderId="10" xfId="20" applyFont="true" applyBorder="true" applyAlignment="true" applyProtection="false">
      <alignment horizontal="right" vertical="top" textRotation="0" wrapText="true" indent="0" shrinkToFit="false"/>
      <protection locked="true" hidden="false"/>
    </xf>
    <xf numFmtId="164" fontId="13" fillId="5" borderId="8" xfId="20" applyFont="true" applyBorder="true" applyAlignment="true" applyProtection="false">
      <alignment horizontal="general" vertical="top" textRotation="0" wrapText="true" indent="0" shrinkToFit="false"/>
      <protection locked="true" hidden="false"/>
    </xf>
    <xf numFmtId="166" fontId="13" fillId="5" borderId="8" xfId="20" applyFont="true" applyBorder="true" applyAlignment="true" applyProtection="false">
      <alignment horizontal="right" vertical="top" textRotation="0" wrapText="true" indent="0" shrinkToFit="false"/>
      <protection locked="true" hidden="false"/>
    </xf>
    <xf numFmtId="167" fontId="13" fillId="5" borderId="8" xfId="20" applyFont="true" applyBorder="true" applyAlignment="true" applyProtection="false">
      <alignment horizontal="right" vertical="top" textRotation="0" wrapText="true" indent="0" shrinkToFit="false"/>
      <protection locked="true" hidden="false"/>
    </xf>
    <xf numFmtId="164" fontId="14" fillId="5" borderId="11" xfId="20" applyFont="true" applyBorder="true" applyAlignment="true" applyProtection="false">
      <alignment horizontal="general" vertical="top" textRotation="0" wrapText="true" indent="0" shrinkToFit="false"/>
      <protection locked="true" hidden="false"/>
    </xf>
    <xf numFmtId="166" fontId="15" fillId="10" borderId="11" xfId="20" applyFont="true" applyBorder="true" applyAlignment="true" applyProtection="false">
      <alignment horizontal="center" vertical="bottom" textRotation="0" wrapText="false" indent="0" shrinkToFit="false"/>
      <protection locked="true" hidden="false"/>
    </xf>
    <xf numFmtId="164" fontId="14" fillId="5" borderId="11" xfId="20" applyFont="true" applyBorder="true" applyAlignment="true" applyProtection="false">
      <alignment horizontal="general" vertical="bottom" textRotation="0" wrapText="true" indent="0" shrinkToFit="false"/>
      <protection locked="true" hidden="false"/>
    </xf>
    <xf numFmtId="164" fontId="9" fillId="9" borderId="11" xfId="20" applyFont="true" applyBorder="true" applyAlignment="true" applyProtection="false">
      <alignment horizontal="center" vertical="center" textRotation="0" wrapText="true" indent="0" shrinkToFit="false"/>
      <protection locked="true" hidden="false"/>
    </xf>
    <xf numFmtId="164" fontId="14" fillId="5" borderId="11" xfId="2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0">
    <dxf>
      <fill>
        <patternFill patternType="solid">
          <fgColor rgb="FF2F75B5"/>
          <bgColor rgb="FF000000"/>
        </patternFill>
      </fill>
    </dxf>
    <dxf>
      <fill>
        <patternFill patternType="solid">
          <fgColor rgb="FFF3F6F8"/>
          <bgColor rgb="FF000000"/>
        </patternFill>
      </fill>
    </dxf>
    <dxf>
      <fill>
        <patternFill patternType="solid">
          <fgColor rgb="FF17324D"/>
          <bgColor rgb="FF000000"/>
        </patternFill>
      </fill>
    </dxf>
    <dxf>
      <fill>
        <patternFill patternType="solid">
          <fgColor rgb="FFFFFFFF"/>
          <bgColor rgb="FF000000"/>
        </patternFill>
      </fill>
    </dxf>
    <dxf>
      <fill>
        <patternFill patternType="solid">
          <fgColor rgb="FF233746"/>
          <bgColor rgb="FF000000"/>
        </patternFill>
      </fill>
    </dxf>
    <dxf>
      <fill>
        <patternFill patternType="solid">
          <fgColor rgb="FFDDEBF7"/>
          <bgColor rgb="FF000000"/>
        </patternFill>
      </fill>
    </dxf>
    <dxf>
      <fill>
        <patternFill patternType="solid">
          <fgColor rgb="FFE2F0D9"/>
          <bgColor rgb="FF000000"/>
        </patternFill>
      </fill>
    </dxf>
    <dxf>
      <fill>
        <patternFill patternType="solid">
          <fgColor rgb="FF1F4E78"/>
          <bgColor rgb="FF000000"/>
        </patternFill>
      </fill>
    </dxf>
    <dxf>
      <fill>
        <patternFill patternType="solid">
          <fgColor rgb="FF375623"/>
          <bgColor rgb="FF000000"/>
        </patternFill>
      </fill>
    </dxf>
    <dxf>
      <fill>
        <patternFill patternType="solid">
          <fgColor rgb="FFFFF2CC"/>
          <bgColor rgb="FF000000"/>
        </patternFill>
      </fill>
    </dxf>
    <dxf>
      <font>
        <color rgb="FF7F6000"/>
      </font>
      <fill>
        <patternFill>
          <bgColor rgb="FFFFF2CC"/>
        </patternFill>
      </fill>
    </dxf>
    <dxf>
      <font>
        <color rgb="FF375623"/>
      </font>
      <fill>
        <patternFill>
          <bgColor rgb="FFE2F0D9"/>
        </patternFill>
      </fill>
    </dxf>
    <dxf>
      <font>
        <color rgb="FF1F4E78"/>
      </font>
      <fill>
        <patternFill>
          <bgColor rgb="FFDDEBF7"/>
        </patternFill>
      </fill>
    </dxf>
    <dxf>
      <font>
        <color rgb="FF843C0C"/>
      </font>
      <fill>
        <patternFill>
          <bgColor rgb="FFFCE4D6"/>
        </patternFill>
      </fill>
    </dxf>
    <dxf>
      <font>
        <color rgb="FF7F6000"/>
      </font>
      <fill>
        <patternFill>
          <bgColor rgb="FFFFF2CC"/>
        </patternFill>
      </fill>
    </dxf>
    <dxf>
      <font>
        <color rgb="FF375623"/>
      </font>
      <fill>
        <patternFill>
          <bgColor rgb="FFE2F0D9"/>
        </patternFill>
      </fill>
    </dxf>
    <dxf>
      <font>
        <color rgb="FF1F4E78"/>
      </font>
      <fill>
        <patternFill>
          <bgColor rgb="FFDDEBF7"/>
        </patternFill>
      </fill>
    </dxf>
    <dxf>
      <font>
        <color rgb="FF843C0C"/>
      </font>
      <fill>
        <patternFill>
          <bgColor rgb="FFFCE4D6"/>
        </patternFill>
      </fill>
    </dxf>
    <dxf>
      <fill>
        <patternFill patternType="solid">
          <fgColor rgb="FF1F6FEB"/>
          <bgColor rgb="FF000000"/>
        </patternFill>
      </fill>
    </dxf>
    <dxf>
      <fill>
        <patternFill patternType="solid">
          <fgColor rgb="FF17202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355268"/>
      <rgbColor rgb="FFD9E2EA"/>
      <rgbColor rgb="FF808080"/>
      <rgbColor rgb="FF9999FF"/>
      <rgbColor rgb="FF993366"/>
      <rgbColor rgb="FFFFF2CC"/>
      <rgbColor rgb="FFDDEBF7"/>
      <rgbColor rgb="FF660066"/>
      <rgbColor rgb="FFFF8080"/>
      <rgbColor rgb="FF2F75B5"/>
      <rgbColor rgb="FFD7E0EA"/>
      <rgbColor rgb="FF000080"/>
      <rgbColor rgb="FFFF00FF"/>
      <rgbColor rgb="FFFFFF00"/>
      <rgbColor rgb="FF00FFFF"/>
      <rgbColor rgb="FF800080"/>
      <rgbColor rgb="FF800000"/>
      <rgbColor rgb="FF008080"/>
      <rgbColor rgb="FF0000FF"/>
      <rgbColor rgb="FF00CCFF"/>
      <rgbColor rgb="FFEAF2FB"/>
      <rgbColor rgb="FFE2F0D9"/>
      <rgbColor rgb="FFF3F6F8"/>
      <rgbColor rgb="FFEAF2F8"/>
      <rgbColor rgb="FFF3F6F9"/>
      <rgbColor rgb="FFCC99FF"/>
      <rgbColor rgb="FFFCE4D6"/>
      <rgbColor rgb="FF1F6FEB"/>
      <rgbColor rgb="FF33CCCC"/>
      <rgbColor rgb="FF99CC00"/>
      <rgbColor rgb="FFFFCC00"/>
      <rgbColor rgb="FFFF9900"/>
      <rgbColor rgb="FFFF6600"/>
      <rgbColor rgb="FF40566D"/>
      <rgbColor rgb="FF969696"/>
      <rgbColor rgb="FF17324D"/>
      <rgbColor rgb="FF339966"/>
      <rgbColor rgb="FF17202A"/>
      <rgbColor rgb="FF375623"/>
      <rgbColor rgb="FF843C0C"/>
      <rgbColor rgb="FF993366"/>
      <rgbColor rgb="FF1F4E78"/>
      <rgbColor rgb="FF23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EvidenceTable" displayName="EvidenceTable" ref="A5:M605" headerRowCount="1" totalsRowCount="0" totalsRowShown="0">
  <autoFilter ref="A5:M605"/>
  <tableColumns count="13">
    <tableColumn id="1" name="question_id"/>
    <tableColumn id="2" name="mode"/>
    <tableColumn id="3" name="rank"/>
    <tableColumn id="4" name="source_id"/>
    <tableColumn id="5" name="chunk_id"/>
    <tableColumn id="6" name="locator"/>
    <tableColumn id="7" name="score"/>
    <tableColumn id="8" name="title"/>
    <tableColumn id="9" name="publisher"/>
    <tableColumn id="10" name="excerpt"/>
    <tableColumn id="11" name="URL"/>
    <tableColumn id="12" name="proposed grade"/>
    <tableColumn id="13" name="proposed rationale"/>
  </tableColumns>
</table>
</file>

<file path=xl/tables/table2.xml><?xml version="1.0" encoding="utf-8"?>
<table xmlns="http://schemas.openxmlformats.org/spreadsheetml/2006/main" id="2" name="ReviewExportTable" displayName="ReviewExportTable" ref="K7:P37" headerRowCount="1" totalsRowCount="0" totalsRowShown="0">
  <autoFilter ref="K7:P37"/>
  <tableColumns count="6">
    <tableColumn id="1" name="question_id"/>
    <tableColumn id="2" name="status"/>
    <tableColumn id="3" name="human_relevant_chunk_ids"/>
    <tableColumn id="4" name="reviewer"/>
    <tableColumn id="5" name="reviewed_at"/>
    <tableColumn id="6" name="correction_notes"/>
  </tableColumns>
</table>
</file>

<file path=xl/tables/table3.xml><?xml version="1.0" encoding="utf-8"?>
<table xmlns="http://schemas.openxmlformats.org/spreadsheetml/2006/main" id="3" name="ReviewFormTable" displayName="ReviewFormTable" ref="A7:I37" headerRowCount="1" totalsRowCount="0" totalsRowShown="0">
  <autoFilter ref="A7:I37"/>
  <tableColumns count="9">
    <tableColumn id="1" name="question_id"/>
    <tableColumn id="2" name="language"/>
    <tableColumn id="3" name="question"/>
    <tableColumn id="4" name="proposed evidence summary"/>
    <tableColumn id="5" name="status"/>
    <tableColumn id="6" name="human_relevant_chunk_ids"/>
    <tableColumn id="7" name="correction_notes"/>
    <tableColumn id="8" name="reviewer"/>
    <tableColumn id="9" name="reviewed_at"/>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46"/>
    <col collapsed="false" customWidth="true" hidden="false" outlineLevel="0" max="4" min="4" style="0" width="58"/>
    <col collapsed="false" customWidth="true" hidden="false" outlineLevel="0" max="5" min="5" style="0" width="15"/>
    <col collapsed="false" customWidth="true" hidden="false" outlineLevel="0" max="6" min="6" style="0" width="32"/>
    <col collapsed="false" customWidth="true" hidden="false" outlineLevel="0" max="7" min="7" style="0" width="34"/>
    <col collapsed="false" customWidth="true" hidden="false" outlineLevel="0" max="8" min="8" style="0" width="16"/>
    <col collapsed="false" customWidth="true" hidden="false" outlineLevel="0" max="9" min="9" style="0" width="15"/>
    <col collapsed="false" customWidth="true" hidden="false" outlineLevel="0" max="10" min="10" style="0" width="3"/>
    <col collapsed="false" customWidth="true" hidden="false" outlineLevel="0" max="11" min="11" style="0" width="16"/>
    <col collapsed="false" customWidth="true" hidden="false" outlineLevel="0" max="12" min="12" style="0" width="15"/>
    <col collapsed="false" customWidth="true" hidden="false" outlineLevel="0" max="13" min="13" style="0" width="30"/>
    <col collapsed="false" customWidth="true" hidden="false" outlineLevel="0" max="14" min="14" style="0" width="16"/>
    <col collapsed="false" customWidth="true" hidden="false" outlineLevel="0" max="15" min="15" style="0" width="15"/>
    <col collapsed="false" customWidth="true" hidden="false" outlineLevel="0" max="16" min="16" style="0" width="34"/>
  </cols>
  <sheetData>
    <row r="1" customFormat="false" ht="27.75" hidden="false" customHeight="true" outlineLevel="0" collapsed="false">
      <c r="A1" s="1" t="s">
        <v>0</v>
      </c>
      <c r="B1" s="1"/>
      <c r="C1" s="1"/>
      <c r="D1" s="1"/>
      <c r="E1" s="1"/>
      <c r="F1" s="1"/>
      <c r="G1" s="1"/>
      <c r="H1" s="1"/>
      <c r="I1" s="1"/>
      <c r="J1" s="1"/>
      <c r="K1" s="1"/>
      <c r="L1" s="1"/>
      <c r="M1" s="1"/>
      <c r="N1" s="1"/>
      <c r="O1" s="1"/>
      <c r="P1" s="1"/>
    </row>
    <row r="2" customFormat="false" ht="24" hidden="false" customHeight="true" outlineLevel="0" collapsed="false">
      <c r="A2" s="2" t="s">
        <v>1</v>
      </c>
      <c r="B2" s="2"/>
      <c r="C2" s="2"/>
      <c r="D2" s="2"/>
      <c r="E2" s="2"/>
      <c r="F2" s="2"/>
      <c r="G2" s="2"/>
      <c r="H2" s="2"/>
      <c r="I2" s="2"/>
      <c r="J2" s="2"/>
      <c r="K2" s="2"/>
      <c r="L2" s="2"/>
      <c r="M2" s="2"/>
      <c r="N2" s="2"/>
      <c r="O2" s="2"/>
      <c r="P2" s="2"/>
    </row>
    <row r="4" customFormat="false" ht="21.75" hidden="false" customHeight="true" outlineLevel="0" collapsed="false">
      <c r="A4" s="3" t="s">
        <v>2</v>
      </c>
      <c r="B4" s="3"/>
      <c r="C4" s="3"/>
      <c r="D4" s="3"/>
      <c r="E4" s="3"/>
      <c r="F4" s="3"/>
      <c r="G4" s="3"/>
      <c r="H4" s="3"/>
      <c r="I4" s="3"/>
      <c r="K4" s="3" t="s">
        <v>3</v>
      </c>
      <c r="L4" s="3"/>
      <c r="M4" s="3"/>
      <c r="N4" s="3"/>
      <c r="O4" s="3"/>
      <c r="P4" s="3"/>
    </row>
    <row r="5" customFormat="false" ht="42" hidden="false" customHeight="true" outlineLevel="0" collapsed="false">
      <c r="A5" s="4" t="s">
        <v>4</v>
      </c>
      <c r="B5" s="4"/>
      <c r="C5" s="4"/>
      <c r="D5" s="4"/>
      <c r="E5" s="4"/>
      <c r="F5" s="4"/>
      <c r="G5" s="4"/>
      <c r="H5" s="4"/>
      <c r="I5" s="4"/>
      <c r="K5" s="4" t="s">
        <v>5</v>
      </c>
      <c r="L5" s="4"/>
      <c r="M5" s="4"/>
      <c r="N5" s="4"/>
      <c r="O5" s="4"/>
      <c r="P5" s="4"/>
    </row>
    <row r="6" customFormat="false" ht="31.5" hidden="false" customHeight="true" outlineLevel="0" collapsed="false"/>
    <row r="7" customFormat="false" ht="31.5" hidden="false" customHeight="true" outlineLevel="0" collapsed="false">
      <c r="A7" s="5" t="s">
        <v>6</v>
      </c>
      <c r="B7" s="6" t="s">
        <v>7</v>
      </c>
      <c r="C7" s="6" t="s">
        <v>8</v>
      </c>
      <c r="D7" s="6" t="s">
        <v>9</v>
      </c>
      <c r="E7" s="6" t="s">
        <v>10</v>
      </c>
      <c r="F7" s="6" t="s">
        <v>11</v>
      </c>
      <c r="G7" s="6" t="s">
        <v>12</v>
      </c>
      <c r="H7" s="6" t="s">
        <v>13</v>
      </c>
      <c r="I7" s="7" t="s">
        <v>14</v>
      </c>
      <c r="K7" s="5" t="s">
        <v>6</v>
      </c>
      <c r="L7" s="6" t="s">
        <v>10</v>
      </c>
      <c r="M7" s="6" t="s">
        <v>11</v>
      </c>
      <c r="N7" s="6" t="s">
        <v>13</v>
      </c>
      <c r="O7" s="6" t="s">
        <v>14</v>
      </c>
      <c r="P7" s="7" t="s">
        <v>12</v>
      </c>
    </row>
    <row r="8" customFormat="false" ht="60" hidden="false" customHeight="true" outlineLevel="0" collapsed="false">
      <c r="A8" s="8" t="s">
        <v>15</v>
      </c>
      <c r="B8" s="9" t="s">
        <v>16</v>
      </c>
      <c r="C8" s="9" t="s">
        <v>17</v>
      </c>
      <c r="D8" s="9" t="s">
        <v>18</v>
      </c>
      <c r="E8" s="10" t="s">
        <v>19</v>
      </c>
      <c r="F8" s="10" t="s">
        <v>20</v>
      </c>
      <c r="G8" s="10"/>
      <c r="H8" s="10" t="s">
        <v>21</v>
      </c>
      <c r="I8" s="11" t="n">
        <v>46272</v>
      </c>
      <c r="K8" s="12" t="str">
        <f aca="false">A8</f>
        <v>gold30-001</v>
      </c>
      <c r="L8" s="13" t="str">
        <f aca="false">E8</f>
        <v>Approved</v>
      </c>
      <c r="M8" s="14" t="str">
        <f aca="false">IF(F8="","",F8)</f>
        <v>jakarta-monitoring:structure:0</v>
      </c>
      <c r="N8" s="13" t="str">
        <f aca="false">IF(H8="","",H8)</f>
        <v>Armand</v>
      </c>
      <c r="O8" s="14" t="n">
        <f aca="false">IF(I8="","",I8)</f>
        <v>46272</v>
      </c>
      <c r="P8" s="13" t="str">
        <f aca="false">IF(G8="","",G8)</f>
        <v/>
      </c>
    </row>
    <row r="9" customFormat="false" ht="60" hidden="false" customHeight="true" outlineLevel="0" collapsed="false">
      <c r="A9" s="15" t="s">
        <v>22</v>
      </c>
      <c r="B9" s="16" t="s">
        <v>23</v>
      </c>
      <c r="C9" s="16" t="s">
        <v>24</v>
      </c>
      <c r="D9" s="16" t="s">
        <v>25</v>
      </c>
      <c r="E9" s="17" t="s">
        <v>19</v>
      </c>
      <c r="F9" s="17" t="s">
        <v>26</v>
      </c>
      <c r="G9" s="17"/>
      <c r="H9" s="17" t="s">
        <v>21</v>
      </c>
      <c r="I9" s="18" t="n">
        <v>46272</v>
      </c>
      <c r="K9" s="19" t="str">
        <f aca="false">A9</f>
        <v>gold30-002</v>
      </c>
      <c r="L9" s="20" t="str">
        <f aca="false">E9</f>
        <v>Approved</v>
      </c>
      <c r="M9" s="21" t="str">
        <f aca="false">IF(F9="","",F9)</f>
        <v>jakarta-monitoring:structure:0, ispu:structure:0</v>
      </c>
      <c r="N9" s="20" t="str">
        <f aca="false">IF(H9="","",H9)</f>
        <v>Armand</v>
      </c>
      <c r="O9" s="21" t="n">
        <f aca="false">IF(I9="","",I9)</f>
        <v>46272</v>
      </c>
      <c r="P9" s="20" t="str">
        <f aca="false">IF(G9="","",G9)</f>
        <v/>
      </c>
    </row>
    <row r="10" customFormat="false" ht="60" hidden="false" customHeight="true" outlineLevel="0" collapsed="false">
      <c r="A10" s="15" t="s">
        <v>27</v>
      </c>
      <c r="B10" s="16" t="s">
        <v>16</v>
      </c>
      <c r="C10" s="16" t="s">
        <v>28</v>
      </c>
      <c r="D10" s="16" t="s">
        <v>29</v>
      </c>
      <c r="E10" s="17" t="s">
        <v>19</v>
      </c>
      <c r="F10" s="17" t="s">
        <v>30</v>
      </c>
      <c r="G10" s="17"/>
      <c r="H10" s="17" t="s">
        <v>21</v>
      </c>
      <c r="I10" s="18" t="n">
        <v>46272</v>
      </c>
      <c r="K10" s="19" t="str">
        <f aca="false">A10</f>
        <v>gold30-003</v>
      </c>
      <c r="L10" s="20" t="str">
        <f aca="false">E10</f>
        <v>Approved</v>
      </c>
      <c r="M10" s="21" t="str">
        <f aca="false">IF(F10="","",F10)</f>
        <v>ispu:structure:0</v>
      </c>
      <c r="N10" s="20" t="str">
        <f aca="false">IF(H10="","",H10)</f>
        <v>Armand</v>
      </c>
      <c r="O10" s="21" t="n">
        <f aca="false">IF(I10="","",I10)</f>
        <v>46272</v>
      </c>
      <c r="P10" s="20" t="str">
        <f aca="false">IF(G10="","",G10)</f>
        <v/>
      </c>
    </row>
    <row r="11" customFormat="false" ht="60" hidden="false" customHeight="true" outlineLevel="0" collapsed="false">
      <c r="A11" s="15" t="s">
        <v>31</v>
      </c>
      <c r="B11" s="16" t="s">
        <v>23</v>
      </c>
      <c r="C11" s="16" t="s">
        <v>32</v>
      </c>
      <c r="D11" s="16" t="s">
        <v>33</v>
      </c>
      <c r="E11" s="17" t="s">
        <v>19</v>
      </c>
      <c r="F11" s="17" t="s">
        <v>20</v>
      </c>
      <c r="G11" s="17"/>
      <c r="H11" s="17" t="s">
        <v>21</v>
      </c>
      <c r="I11" s="18" t="n">
        <v>46272</v>
      </c>
      <c r="K11" s="19" t="str">
        <f aca="false">A11</f>
        <v>gold30-004</v>
      </c>
      <c r="L11" s="20" t="str">
        <f aca="false">E11</f>
        <v>Approved</v>
      </c>
      <c r="M11" s="21" t="str">
        <f aca="false">IF(F11="","",F11)</f>
        <v>jakarta-monitoring:structure:0</v>
      </c>
      <c r="N11" s="20" t="str">
        <f aca="false">IF(H11="","",H11)</f>
        <v>Armand</v>
      </c>
      <c r="O11" s="21" t="n">
        <f aca="false">IF(I11="","",I11)</f>
        <v>46272</v>
      </c>
      <c r="P11" s="20" t="str">
        <f aca="false">IF(G11="","",G11)</f>
        <v/>
      </c>
    </row>
    <row r="12" customFormat="false" ht="60" hidden="false" customHeight="true" outlineLevel="0" collapsed="false">
      <c r="A12" s="15" t="s">
        <v>34</v>
      </c>
      <c r="B12" s="16" t="s">
        <v>16</v>
      </c>
      <c r="C12" s="16" t="s">
        <v>35</v>
      </c>
      <c r="D12" s="16" t="s">
        <v>36</v>
      </c>
      <c r="E12" s="17" t="s">
        <v>37</v>
      </c>
      <c r="F12" s="17" t="s">
        <v>38</v>
      </c>
      <c r="G12" s="17" t="s">
        <v>39</v>
      </c>
      <c r="H12" s="17" t="s">
        <v>21</v>
      </c>
      <c r="I12" s="18" t="n">
        <v>46272</v>
      </c>
      <c r="K12" s="19" t="str">
        <f aca="false">A12</f>
        <v>gold30-005</v>
      </c>
      <c r="L12" s="20" t="str">
        <f aca="false">E12</f>
        <v>Corrected</v>
      </c>
      <c r="M12" s="21" t="str">
        <f aca="false">IF(F12="","",F12)</f>
        <v>ispu:structure:0, ispu:structure:1</v>
      </c>
      <c r="N12" s="20" t="str">
        <f aca="false">IF(H12="","",H12)</f>
        <v>Armand</v>
      </c>
      <c r="O12" s="21" t="n">
        <f aca="false">IF(I12="","",I12)</f>
        <v>46272</v>
      </c>
      <c r="P12" s="20" t="str">
        <f aca="false">IF(G12="","",G12)</f>
        <v>Added structure:0 because structure:1 distinguishes the index from concentration but does not establish that ISPU 45 is Baik.</v>
      </c>
    </row>
    <row r="13" customFormat="false" ht="60" hidden="false" customHeight="true" outlineLevel="0" collapsed="false">
      <c r="A13" s="15" t="s">
        <v>40</v>
      </c>
      <c r="B13" s="16" t="s">
        <v>23</v>
      </c>
      <c r="C13" s="16" t="s">
        <v>41</v>
      </c>
      <c r="D13" s="16" t="s">
        <v>42</v>
      </c>
      <c r="E13" s="17" t="s">
        <v>37</v>
      </c>
      <c r="F13" s="17" t="s">
        <v>43</v>
      </c>
      <c r="G13" s="17" t="s">
        <v>44</v>
      </c>
      <c r="H13" s="17" t="s">
        <v>21</v>
      </c>
      <c r="I13" s="18" t="n">
        <v>46272</v>
      </c>
      <c r="K13" s="19" t="str">
        <f aca="false">A13</f>
        <v>gold30-006</v>
      </c>
      <c r="L13" s="20" t="str">
        <f aca="false">E13</f>
        <v>Corrected</v>
      </c>
      <c r="M13" s="21" t="str">
        <f aca="false">IF(F13="","",F13)</f>
        <v>who-aqg-2021-extract:structure:1, who-aqg-2021-extract:structure:2, jakarta-regulations:structure:0</v>
      </c>
      <c r="N13" s="20" t="str">
        <f aca="false">IF(H13="","",H13)</f>
        <v>Armand</v>
      </c>
      <c r="O13" s="21" t="n">
        <f aca="false">IF(I13="","",I13)</f>
        <v>46272</v>
      </c>
      <c r="P13" s="20" t="str">
        <f aca="false">IF(G13="","",G13)</f>
        <v>Added the WHO legal-status chunk; the numeric WHO values and Indonesian instruments alone do not establish that the WHO guideline is not Indonesian law.</v>
      </c>
    </row>
    <row r="14" customFormat="false" ht="60" hidden="false" customHeight="true" outlineLevel="0" collapsed="false">
      <c r="A14" s="15" t="s">
        <v>45</v>
      </c>
      <c r="B14" s="16" t="s">
        <v>16</v>
      </c>
      <c r="C14" s="16" t="s">
        <v>46</v>
      </c>
      <c r="D14" s="16" t="s">
        <v>47</v>
      </c>
      <c r="E14" s="17" t="s">
        <v>37</v>
      </c>
      <c r="F14" s="17" t="s">
        <v>48</v>
      </c>
      <c r="G14" s="17" t="s">
        <v>49</v>
      </c>
      <c r="H14" s="17" t="s">
        <v>21</v>
      </c>
      <c r="I14" s="18" t="n">
        <v>46272</v>
      </c>
      <c r="K14" s="19" t="str">
        <f aca="false">A14</f>
        <v>gold30-007</v>
      </c>
      <c r="L14" s="20" t="str">
        <f aca="false">E14</f>
        <v>Corrected</v>
      </c>
      <c r="M14" s="21" t="str">
        <f aca="false">IF(F14="","",F14)</f>
        <v>jakarta-historical-city-series:structure:1</v>
      </c>
      <c r="N14" s="20" t="str">
        <f aca="false">IF(H14="","",H14)</f>
        <v>Armand</v>
      </c>
      <c r="O14" s="21" t="n">
        <f aca="false">IF(I14="","",I14)</f>
        <v>46272</v>
      </c>
      <c r="P14" s="20" t="str">
        <f aca="false">IF(G14="","",G14)</f>
        <v>Replaced structure:2 with structure:1, which explicitly identifies CAMS/Open-Meteo model concentrations and excludes DKI station measurements.</v>
      </c>
    </row>
    <row r="15" customFormat="false" ht="60" hidden="false" customHeight="true" outlineLevel="0" collapsed="false">
      <c r="A15" s="15" t="s">
        <v>50</v>
      </c>
      <c r="B15" s="16" t="s">
        <v>23</v>
      </c>
      <c r="C15" s="16" t="s">
        <v>51</v>
      </c>
      <c r="D15" s="16" t="s">
        <v>52</v>
      </c>
      <c r="E15" s="17" t="s">
        <v>37</v>
      </c>
      <c r="F15" s="17" t="s">
        <v>53</v>
      </c>
      <c r="G15" s="17" t="s">
        <v>54</v>
      </c>
      <c r="H15" s="17" t="s">
        <v>21</v>
      </c>
      <c r="I15" s="18" t="n">
        <v>46272</v>
      </c>
      <c r="K15" s="19" t="str">
        <f aca="false">A15</f>
        <v>gold30-008</v>
      </c>
      <c r="L15" s="20" t="str">
        <f aca="false">E15</f>
        <v>Corrected</v>
      </c>
      <c r="M15" s="21" t="str">
        <f aca="false">IF(F15="","",F15)</f>
        <v>jakarta-historical-city-series:structure:1, jakarta-historical-city-series:structure:2</v>
      </c>
      <c r="N15" s="20" t="str">
        <f aca="false">IF(H15="","",H15)</f>
        <v>Armand</v>
      </c>
      <c r="O15" s="21" t="n">
        <f aca="false">IF(I15="","",I15)</f>
        <v>46272</v>
      </c>
      <c r="P15" s="20" t="str">
        <f aca="false">IF(G15="","",G15)</f>
        <v>Added structure:1 to establish that PM10 and PM2.5 are distinct variables; structure:2 supports separate aggregation and missing-data handling.</v>
      </c>
    </row>
    <row r="16" customFormat="false" ht="60" hidden="false" customHeight="true" outlineLevel="0" collapsed="false">
      <c r="A16" s="15" t="s">
        <v>55</v>
      </c>
      <c r="B16" s="16" t="s">
        <v>16</v>
      </c>
      <c r="C16" s="16" t="s">
        <v>56</v>
      </c>
      <c r="D16" s="16" t="s">
        <v>57</v>
      </c>
      <c r="E16" s="17" t="s">
        <v>19</v>
      </c>
      <c r="F16" s="17" t="s">
        <v>58</v>
      </c>
      <c r="G16" s="17"/>
      <c r="H16" s="17" t="s">
        <v>21</v>
      </c>
      <c r="I16" s="18" t="n">
        <v>46272</v>
      </c>
      <c r="K16" s="19" t="str">
        <f aca="false">A16</f>
        <v>gold30-009</v>
      </c>
      <c r="L16" s="20" t="str">
        <f aca="false">E16</f>
        <v>Approved</v>
      </c>
      <c r="M16" s="21" t="str">
        <f aca="false">IF(F16="","",F16)</f>
        <v>ispu:structure:0, who-aqg-2021-extract:structure:2</v>
      </c>
      <c r="N16" s="20" t="str">
        <f aca="false">IF(H16="","",H16)</f>
        <v>Armand</v>
      </c>
      <c r="O16" s="21" t="n">
        <f aca="false">IF(I16="","",I16)</f>
        <v>46272</v>
      </c>
      <c r="P16" s="20" t="str">
        <f aca="false">IF(G16="","",G16)</f>
        <v/>
      </c>
    </row>
    <row r="17" customFormat="false" ht="60" hidden="false" customHeight="true" outlineLevel="0" collapsed="false">
      <c r="A17" s="15" t="s">
        <v>59</v>
      </c>
      <c r="B17" s="16" t="s">
        <v>23</v>
      </c>
      <c r="C17" s="16" t="s">
        <v>60</v>
      </c>
      <c r="D17" s="16" t="s">
        <v>61</v>
      </c>
      <c r="E17" s="17" t="s">
        <v>37</v>
      </c>
      <c r="F17" s="17" t="s">
        <v>62</v>
      </c>
      <c r="G17" s="17" t="s">
        <v>63</v>
      </c>
      <c r="H17" s="17" t="s">
        <v>21</v>
      </c>
      <c r="I17" s="18" t="n">
        <v>46272</v>
      </c>
      <c r="K17" s="19" t="str">
        <f aca="false">A17</f>
        <v>gold30-010</v>
      </c>
      <c r="L17" s="20" t="str">
        <f aca="false">E17</f>
        <v>Corrected</v>
      </c>
      <c r="M17" s="21" t="str">
        <f aca="false">IF(F17="","",F17)</f>
        <v>jakarta-causes:structure:0, jakarta-causes:structure:2</v>
      </c>
      <c r="N17" s="20" t="str">
        <f aca="false">IF(H17="","",H17)</f>
        <v>Armand</v>
      </c>
      <c r="O17" s="21" t="n">
        <f aca="false">IF(I17="","",I17)</f>
        <v>46272</v>
      </c>
      <c r="P17" s="20" t="str">
        <f aca="false">IF(G17="","",G17)</f>
        <v>Added structure:2 because it directly states that likely contributors do not prove the cause of one station reading.</v>
      </c>
    </row>
    <row r="18" customFormat="false" ht="60" hidden="false" customHeight="true" outlineLevel="0" collapsed="false">
      <c r="A18" s="15" t="s">
        <v>64</v>
      </c>
      <c r="B18" s="16" t="s">
        <v>16</v>
      </c>
      <c r="C18" s="16" t="s">
        <v>65</v>
      </c>
      <c r="D18" s="16" t="s">
        <v>66</v>
      </c>
      <c r="E18" s="17" t="s">
        <v>37</v>
      </c>
      <c r="F18" s="17" t="s">
        <v>67</v>
      </c>
      <c r="G18" s="17" t="s">
        <v>68</v>
      </c>
      <c r="H18" s="17" t="s">
        <v>21</v>
      </c>
      <c r="I18" s="18" t="n">
        <v>46272</v>
      </c>
      <c r="K18" s="19" t="str">
        <f aca="false">A18</f>
        <v>gold30-011</v>
      </c>
      <c r="L18" s="20" t="str">
        <f aca="false">E18</f>
        <v>Corrected</v>
      </c>
      <c r="M18" s="21" t="str">
        <f aca="false">IF(F18="","",F18)</f>
        <v>jakarta-causes:structure:0, jakarta-causes:structure:1</v>
      </c>
      <c r="N18" s="20" t="str">
        <f aca="false">IF(H18="","",H18)</f>
        <v>Armand</v>
      </c>
      <c r="O18" s="21" t="n">
        <f aca="false">IF(I18="","",I18)</f>
        <v>46272</v>
      </c>
      <c r="P18" s="20" t="str">
        <f aca="false">IF(G18="","",G18)</f>
        <v>Added structure:0 for the emissions-inventory context; structure:1 supplies the receptor-apportionment evidence and method boundary.</v>
      </c>
    </row>
    <row r="19" customFormat="false" ht="60" hidden="false" customHeight="true" outlineLevel="0" collapsed="false">
      <c r="A19" s="15" t="s">
        <v>69</v>
      </c>
      <c r="B19" s="16" t="s">
        <v>23</v>
      </c>
      <c r="C19" s="16" t="s">
        <v>70</v>
      </c>
      <c r="D19" s="16" t="s">
        <v>71</v>
      </c>
      <c r="E19" s="17" t="s">
        <v>37</v>
      </c>
      <c r="F19" s="17" t="s">
        <v>62</v>
      </c>
      <c r="G19" s="17" t="s">
        <v>72</v>
      </c>
      <c r="H19" s="17" t="s">
        <v>21</v>
      </c>
      <c r="I19" s="18" t="n">
        <v>46272</v>
      </c>
      <c r="K19" s="19" t="str">
        <f aca="false">A19</f>
        <v>gold30-012</v>
      </c>
      <c r="L19" s="20" t="str">
        <f aca="false">E19</f>
        <v>Corrected</v>
      </c>
      <c r="M19" s="21" t="str">
        <f aca="false">IF(F19="","",F19)</f>
        <v>jakarta-causes:structure:0, jakarta-causes:structure:2</v>
      </c>
      <c r="N19" s="20" t="str">
        <f aca="false">IF(H19="","",H19)</f>
        <v>Armand</v>
      </c>
      <c r="O19" s="21" t="n">
        <f aca="false">IF(I19="","",I19)</f>
        <v>46272</v>
      </c>
      <c r="P19" s="20" t="str">
        <f aca="false">IF(G19="","",G19)</f>
        <v>Added the direct single-reading causal boundary; the source-share discussion alone cannot prove a factory caused a street-level observation.</v>
      </c>
    </row>
    <row r="20" customFormat="false" ht="60" hidden="false" customHeight="true" outlineLevel="0" collapsed="false">
      <c r="A20" s="15" t="s">
        <v>73</v>
      </c>
      <c r="B20" s="16" t="s">
        <v>16</v>
      </c>
      <c r="C20" s="16" t="s">
        <v>74</v>
      </c>
      <c r="D20" s="16" t="s">
        <v>75</v>
      </c>
      <c r="E20" s="17" t="s">
        <v>19</v>
      </c>
      <c r="F20" s="17" t="s">
        <v>76</v>
      </c>
      <c r="G20" s="17"/>
      <c r="H20" s="17" t="s">
        <v>21</v>
      </c>
      <c r="I20" s="18" t="n">
        <v>46272</v>
      </c>
      <c r="K20" s="19" t="str">
        <f aca="false">A20</f>
        <v>gold30-013</v>
      </c>
      <c r="L20" s="20" t="str">
        <f aca="false">E20</f>
        <v>Approved</v>
      </c>
      <c r="M20" s="21" t="str">
        <f aca="false">IF(F20="","",F20)</f>
        <v>jakarta-causes:structure:0, jakarta-policy-implementation:structure:2</v>
      </c>
      <c r="N20" s="20" t="str">
        <f aca="false">IF(H20="","",H20)</f>
        <v>Armand</v>
      </c>
      <c r="O20" s="21" t="n">
        <f aca="false">IF(I20="","",I20)</f>
        <v>46272</v>
      </c>
      <c r="P20" s="20" t="str">
        <f aca="false">IF(G20="","",G20)</f>
        <v/>
      </c>
    </row>
    <row r="21" customFormat="false" ht="60" hidden="false" customHeight="true" outlineLevel="0" collapsed="false">
      <c r="A21" s="15" t="s">
        <v>77</v>
      </c>
      <c r="B21" s="16" t="s">
        <v>23</v>
      </c>
      <c r="C21" s="16" t="s">
        <v>78</v>
      </c>
      <c r="D21" s="16" t="s">
        <v>79</v>
      </c>
      <c r="E21" s="17" t="s">
        <v>37</v>
      </c>
      <c r="F21" s="17" t="s">
        <v>80</v>
      </c>
      <c r="G21" s="17" t="s">
        <v>81</v>
      </c>
      <c r="H21" s="17" t="s">
        <v>21</v>
      </c>
      <c r="I21" s="18" t="n">
        <v>46272</v>
      </c>
      <c r="K21" s="19" t="str">
        <f aca="false">A21</f>
        <v>gold30-014</v>
      </c>
      <c r="L21" s="20" t="str">
        <f aca="false">E21</f>
        <v>Corrected</v>
      </c>
      <c r="M21" s="21" t="str">
        <f aca="false">IF(F21="","",F21)</f>
        <v>jakarta-emission-testing:structure:0, jakarta-emission-testing:structure:1</v>
      </c>
      <c r="N21" s="20" t="str">
        <f aca="false">IF(H21="","",H21)</f>
        <v>Armand</v>
      </c>
      <c r="O21" s="21" t="n">
        <f aca="false">IF(I21="","",I21)</f>
        <v>46272</v>
      </c>
      <c r="P21" s="20" t="str">
        <f aca="false">IF(G21="","",G21)</f>
        <v>Used the FAQ status and enforcement-boundary chunks; regulation dates alone do not show testing or repair coverage or actual sanctions.</v>
      </c>
    </row>
    <row r="22" customFormat="false" ht="60" hidden="false" customHeight="true" outlineLevel="0" collapsed="false">
      <c r="A22" s="15" t="s">
        <v>82</v>
      </c>
      <c r="B22" s="16" t="s">
        <v>16</v>
      </c>
      <c r="C22" s="16" t="s">
        <v>83</v>
      </c>
      <c r="D22" s="16" t="s">
        <v>84</v>
      </c>
      <c r="E22" s="17" t="s">
        <v>37</v>
      </c>
      <c r="F22" s="17" t="s">
        <v>85</v>
      </c>
      <c r="G22" s="17" t="s">
        <v>86</v>
      </c>
      <c r="H22" s="17" t="s">
        <v>21</v>
      </c>
      <c r="I22" s="18" t="n">
        <v>46272</v>
      </c>
      <c r="K22" s="19" t="str">
        <f aca="false">A22</f>
        <v>gold30-015</v>
      </c>
      <c r="L22" s="20" t="str">
        <f aca="false">E22</f>
        <v>Corrected</v>
      </c>
      <c r="M22" s="21" t="str">
        <f aca="false">IF(F22="","",F22)</f>
        <v>permen-lhk-8-2023-vehicle-emissions:structure:2</v>
      </c>
      <c r="N22" s="20" t="str">
        <f aca="false">IF(H22="","",H22)</f>
        <v>Armand</v>
      </c>
      <c r="O22" s="21" t="n">
        <f aca="false">IF(I22="","",I22)</f>
        <v>46272</v>
      </c>
      <c r="P22" s="20" t="str">
        <f aca="false">IF(G22="","",G22)</f>
        <v>Replaced structure:0 because it gives the categories but not the age condition; structure:2 covers both categories M/N/O/L and more than three years in service.</v>
      </c>
    </row>
    <row r="23" customFormat="false" ht="60" hidden="false" customHeight="true" outlineLevel="0" collapsed="false">
      <c r="A23" s="15" t="s">
        <v>87</v>
      </c>
      <c r="B23" s="16" t="s">
        <v>23</v>
      </c>
      <c r="C23" s="16" t="s">
        <v>88</v>
      </c>
      <c r="D23" s="16" t="s">
        <v>89</v>
      </c>
      <c r="E23" s="17" t="s">
        <v>37</v>
      </c>
      <c r="F23" s="17" t="s">
        <v>90</v>
      </c>
      <c r="G23" s="17" t="s">
        <v>91</v>
      </c>
      <c r="H23" s="17" t="s">
        <v>21</v>
      </c>
      <c r="I23" s="18" t="n">
        <v>46272</v>
      </c>
      <c r="K23" s="19" t="str">
        <f aca="false">A23</f>
        <v>gold30-016</v>
      </c>
      <c r="L23" s="20" t="str">
        <f aca="false">E23</f>
        <v>Corrected</v>
      </c>
      <c r="M23" s="21" t="str">
        <f aca="false">IF(F23="","",F23)</f>
        <v>permen-lhk-13-2021-cems:structure:1, jakarta-cems-monitoring:structure:2</v>
      </c>
      <c r="N23" s="20" t="str">
        <f aca="false">IF(H23="","",H23)</f>
        <v>Armand</v>
      </c>
      <c r="O23" s="21" t="n">
        <f aca="false">IF(I23="","",I23)</f>
        <v>46272</v>
      </c>
      <c r="P23" s="20" t="str">
        <f aca="false">IF(G23="","",G23)</f>
        <v>Replaced descriptive CEMS chunks with the passages that directly separate connectivity, coverage and monitoring activity from emissions compliance.</v>
      </c>
    </row>
    <row r="24" customFormat="false" ht="60" hidden="false" customHeight="true" outlineLevel="0" collapsed="false">
      <c r="A24" s="15" t="s">
        <v>92</v>
      </c>
      <c r="B24" s="16" t="s">
        <v>16</v>
      </c>
      <c r="C24" s="16" t="s">
        <v>93</v>
      </c>
      <c r="D24" s="16" t="s">
        <v>94</v>
      </c>
      <c r="E24" s="17" t="s">
        <v>19</v>
      </c>
      <c r="F24" s="17" t="s">
        <v>95</v>
      </c>
      <c r="G24" s="17"/>
      <c r="H24" s="17" t="s">
        <v>21</v>
      </c>
      <c r="I24" s="18" t="n">
        <v>46272</v>
      </c>
      <c r="K24" s="19" t="str">
        <f aca="false">A24</f>
        <v>gold30-017</v>
      </c>
      <c r="L24" s="20" t="str">
        <f aca="false">E24</f>
        <v>Approved</v>
      </c>
      <c r="M24" s="21" t="str">
        <f aca="false">IF(F24="","",F24)</f>
        <v>jakarta-court-air-quality:structure:1, ma-jakarta-air-lawsuit-record:structure:1</v>
      </c>
      <c r="N24" s="20" t="str">
        <f aca="false">IF(H24="","",H24)</f>
        <v>Armand</v>
      </c>
      <c r="O24" s="21" t="n">
        <f aca="false">IF(I24="","",I24)</f>
        <v>46272</v>
      </c>
      <c r="P24" s="20" t="str">
        <f aca="false">IF(G24="","",G24)</f>
        <v/>
      </c>
    </row>
    <row r="25" customFormat="false" ht="60" hidden="false" customHeight="true" outlineLevel="0" collapsed="false">
      <c r="A25" s="15" t="s">
        <v>96</v>
      </c>
      <c r="B25" s="16" t="s">
        <v>23</v>
      </c>
      <c r="C25" s="16" t="s">
        <v>97</v>
      </c>
      <c r="D25" s="16" t="s">
        <v>98</v>
      </c>
      <c r="E25" s="17" t="s">
        <v>37</v>
      </c>
      <c r="F25" s="17" t="s">
        <v>99</v>
      </c>
      <c r="G25" s="17" t="s">
        <v>100</v>
      </c>
      <c r="H25" s="17" t="s">
        <v>21</v>
      </c>
      <c r="I25" s="18" t="n">
        <v>46272</v>
      </c>
      <c r="K25" s="19" t="str">
        <f aca="false">A25</f>
        <v>gold30-018</v>
      </c>
      <c r="L25" s="20" t="str">
        <f aca="false">E25</f>
        <v>Corrected</v>
      </c>
      <c r="M25" s="21" t="str">
        <f aca="false">IF(F25="","",F25)</f>
        <v>jakarta-regulations:structure:0, jakarta-policy-implementation:structure:2, jakarta-court-air-quality:structure:1</v>
      </c>
      <c r="N25" s="20" t="str">
        <f aca="false">IF(H25="","",H25)</f>
        <v>Armand</v>
      </c>
      <c r="O25" s="21" t="n">
        <f aca="false">IF(I25="","",I25)</f>
        <v>46272</v>
      </c>
      <c r="P25" s="20" t="str">
        <f aca="false">IF(G25="","",G25)</f>
        <v>Replaced the metadata-only implementation chunk with substantive evidence that implementation was ongoing and programme activity did not prove full compliance or outcomes.</v>
      </c>
    </row>
    <row r="26" customFormat="false" ht="60" hidden="false" customHeight="true" outlineLevel="0" collapsed="false">
      <c r="A26" s="15" t="s">
        <v>101</v>
      </c>
      <c r="B26" s="16" t="s">
        <v>16</v>
      </c>
      <c r="C26" s="16" t="s">
        <v>102</v>
      </c>
      <c r="D26" s="16" t="s">
        <v>103</v>
      </c>
      <c r="E26" s="17" t="s">
        <v>37</v>
      </c>
      <c r="F26" s="17" t="s">
        <v>104</v>
      </c>
      <c r="G26" s="17" t="s">
        <v>105</v>
      </c>
      <c r="H26" s="17" t="s">
        <v>21</v>
      </c>
      <c r="I26" s="18" t="n">
        <v>46272</v>
      </c>
      <c r="K26" s="19" t="str">
        <f aca="false">A26</f>
        <v>gold30-019</v>
      </c>
      <c r="L26" s="20" t="str">
        <f aca="false">E26</f>
        <v>Corrected</v>
      </c>
      <c r="M26" s="21" t="str">
        <f aca="false">IF(F26="","",F26)</f>
        <v>bad-air-day-protection:structure:1, bad-air-day-protection:structure:3, exposure-protection:structure:1</v>
      </c>
      <c r="N26" s="20" t="str">
        <f aca="false">IF(H26="","",H26)</f>
        <v>Armand</v>
      </c>
      <c r="O26" s="21" t="n">
        <f aca="false">IF(I26="","",I26)</f>
        <v>46272</v>
      </c>
      <c r="P26" s="20" t="str">
        <f aca="false">IF(G26="","",G26)</f>
        <v>Added the action chunk; the original pair covered mask limits and the policy boundary but not the requested bad-air-day steps.</v>
      </c>
    </row>
    <row r="27" customFormat="false" ht="60" hidden="false" customHeight="true" outlineLevel="0" collapsed="false">
      <c r="A27" s="15" t="s">
        <v>106</v>
      </c>
      <c r="B27" s="16" t="s">
        <v>23</v>
      </c>
      <c r="C27" s="16" t="s">
        <v>107</v>
      </c>
      <c r="D27" s="16" t="s">
        <v>108</v>
      </c>
      <c r="E27" s="17" t="s">
        <v>37</v>
      </c>
      <c r="F27" s="17" t="s">
        <v>109</v>
      </c>
      <c r="G27" s="17" t="s">
        <v>110</v>
      </c>
      <c r="H27" s="17" t="s">
        <v>21</v>
      </c>
      <c r="I27" s="18" t="n">
        <v>46272</v>
      </c>
      <c r="K27" s="19" t="str">
        <f aca="false">A27</f>
        <v>gold30-020</v>
      </c>
      <c r="L27" s="20" t="str">
        <f aca="false">E27</f>
        <v>Corrected</v>
      </c>
      <c r="M27" s="21" t="str">
        <f aca="false">IF(F27="","",F27)</f>
        <v>clean-air-room:structure:1, clean-air-room:structure:4</v>
      </c>
      <c r="N27" s="20" t="str">
        <f aca="false">IF(H27="","",H27)</f>
        <v>Armand</v>
      </c>
      <c r="O27" s="21" t="n">
        <f aca="false">IF(I27="","",I27)</f>
        <v>46272</v>
      </c>
      <c r="P27" s="20" t="str">
        <f aca="false">IF(G27="","",G27)</f>
        <v>Replaced metadata with the room/CADR sizing guidance and the explicit limitations on cleaner effectiveness.</v>
      </c>
    </row>
    <row r="28" customFormat="false" ht="60" hidden="false" customHeight="true" outlineLevel="0" collapsed="false">
      <c r="A28" s="15" t="s">
        <v>111</v>
      </c>
      <c r="B28" s="16" t="s">
        <v>16</v>
      </c>
      <c r="C28" s="16" t="s">
        <v>112</v>
      </c>
      <c r="D28" s="16" t="s">
        <v>113</v>
      </c>
      <c r="E28" s="17" t="s">
        <v>19</v>
      </c>
      <c r="F28" s="17" t="s">
        <v>114</v>
      </c>
      <c r="G28" s="17"/>
      <c r="H28" s="17" t="s">
        <v>21</v>
      </c>
      <c r="I28" s="18" t="n">
        <v>46272</v>
      </c>
      <c r="K28" s="19" t="str">
        <f aca="false">A28</f>
        <v>gold30-021</v>
      </c>
      <c r="L28" s="20" t="str">
        <f aca="false">E28</f>
        <v>Approved</v>
      </c>
      <c r="M28" s="21" t="str">
        <f aca="false">IF(F28="","",F28)</f>
        <v>who-personal-interventions-2024:structure:3, exposure-protection:structure:1</v>
      </c>
      <c r="N28" s="20" t="str">
        <f aca="false">IF(H28="","",H28)</f>
        <v>Armand</v>
      </c>
      <c r="O28" s="21" t="n">
        <f aca="false">IF(I28="","",I28)</f>
        <v>46272</v>
      </c>
      <c r="P28" s="20" t="str">
        <f aca="false">IF(G28="","",G28)</f>
        <v/>
      </c>
    </row>
    <row r="29" customFormat="false" ht="60" hidden="false" customHeight="true" outlineLevel="0" collapsed="false">
      <c r="A29" s="15" t="s">
        <v>115</v>
      </c>
      <c r="B29" s="16" t="s">
        <v>23</v>
      </c>
      <c r="C29" s="16" t="s">
        <v>116</v>
      </c>
      <c r="D29" s="16" t="s">
        <v>117</v>
      </c>
      <c r="E29" s="17" t="s">
        <v>37</v>
      </c>
      <c r="F29" s="17" t="s">
        <v>118</v>
      </c>
      <c r="G29" s="17" t="s">
        <v>119</v>
      </c>
      <c r="H29" s="17" t="s">
        <v>21</v>
      </c>
      <c r="I29" s="18" t="n">
        <v>46272</v>
      </c>
      <c r="K29" s="19" t="str">
        <f aca="false">A29</f>
        <v>gold30-022</v>
      </c>
      <c r="L29" s="20" t="str">
        <f aca="false">E29</f>
        <v>Corrected</v>
      </c>
      <c r="M29" s="21" t="str">
        <f aca="false">IF(F29="","",F29)</f>
        <v>individual-emission-actions:structure:1, individual-emission-actions:structure:2</v>
      </c>
      <c r="N29" s="20" t="str">
        <f aca="false">IF(H29="","",H29)</f>
        <v>Armand</v>
      </c>
      <c r="O29" s="21" t="n">
        <f aca="false">IF(I29="","",I29)</f>
        <v>46272</v>
      </c>
      <c r="P29" s="20" t="str">
        <f aca="false">IF(G29="","",G29)</f>
        <v>Replaced metadata with the passages covering lower-emission choices, vehicle maintenance and evidence-preserving reports of smoky vehicles.</v>
      </c>
    </row>
    <row r="30" customFormat="false" ht="60" hidden="false" customHeight="true" outlineLevel="0" collapsed="false">
      <c r="A30" s="15" t="s">
        <v>120</v>
      </c>
      <c r="B30" s="16" t="s">
        <v>16</v>
      </c>
      <c r="C30" s="16" t="s">
        <v>121</v>
      </c>
      <c r="D30" s="16" t="s">
        <v>122</v>
      </c>
      <c r="E30" s="17" t="s">
        <v>37</v>
      </c>
      <c r="F30" s="17" t="s">
        <v>123</v>
      </c>
      <c r="G30" s="17" t="s">
        <v>124</v>
      </c>
      <c r="H30" s="17" t="s">
        <v>21</v>
      </c>
      <c r="I30" s="18" t="n">
        <v>46272</v>
      </c>
      <c r="K30" s="19" t="str">
        <f aca="false">A30</f>
        <v>gold30-023</v>
      </c>
      <c r="L30" s="20" t="str">
        <f aca="false">E30</f>
        <v>Corrected</v>
      </c>
      <c r="M30" s="21" t="str">
        <f aca="false">IF(F30="","",F30)</f>
        <v>exposure-protection:structure:0, clean-air-room:structure:3</v>
      </c>
      <c r="N30" s="20" t="str">
        <f aca="false">IF(H30="","",H30)</f>
        <v>Armand</v>
      </c>
      <c r="O30" s="21" t="n">
        <f aca="false">IF(I30="","",I30)</f>
        <v>46272</v>
      </c>
      <c r="P30" s="20" t="str">
        <f aca="false">IF(G30="","",G30)</f>
        <v>Removed the metadata-only bad-air-day chunk; the retained chunks directly cover infiltration, ventilation, filtration and indoor sources.</v>
      </c>
    </row>
    <row r="31" customFormat="false" ht="60" hidden="false" customHeight="true" outlineLevel="0" collapsed="false">
      <c r="A31" s="15" t="s">
        <v>125</v>
      </c>
      <c r="B31" s="16" t="s">
        <v>23</v>
      </c>
      <c r="C31" s="16" t="s">
        <v>126</v>
      </c>
      <c r="D31" s="16" t="s">
        <v>127</v>
      </c>
      <c r="E31" s="17" t="s">
        <v>19</v>
      </c>
      <c r="F31" s="17" t="s">
        <v>128</v>
      </c>
      <c r="G31" s="17"/>
      <c r="H31" s="17" t="s">
        <v>21</v>
      </c>
      <c r="I31" s="18" t="n">
        <v>46272</v>
      </c>
      <c r="K31" s="19" t="str">
        <f aca="false">A31</f>
        <v>gold30-024</v>
      </c>
      <c r="L31" s="20" t="str">
        <f aca="false">E31</f>
        <v>Approved</v>
      </c>
      <c r="M31" s="21" t="str">
        <f aca="false">IF(F31="","",F31)</f>
        <v>jakarta-regulations:structure:0, who-aqg-2021-extract:structure:1</v>
      </c>
      <c r="N31" s="20" t="str">
        <f aca="false">IF(H31="","",H31)</f>
        <v>Armand</v>
      </c>
      <c r="O31" s="21" t="n">
        <f aca="false">IF(I31="","",I31)</f>
        <v>46272</v>
      </c>
      <c r="P31" s="20" t="str">
        <f aca="false">IF(G31="","",G31)</f>
        <v/>
      </c>
    </row>
    <row r="32" customFormat="false" ht="60" hidden="false" customHeight="true" outlineLevel="0" collapsed="false">
      <c r="A32" s="15" t="s">
        <v>129</v>
      </c>
      <c r="B32" s="16" t="s">
        <v>16</v>
      </c>
      <c r="C32" s="16" t="s">
        <v>130</v>
      </c>
      <c r="D32" s="16" t="s">
        <v>131</v>
      </c>
      <c r="E32" s="17" t="s">
        <v>19</v>
      </c>
      <c r="F32" s="17" t="s">
        <v>132</v>
      </c>
      <c r="G32" s="17"/>
      <c r="H32" s="17" t="s">
        <v>21</v>
      </c>
      <c r="I32" s="18" t="n">
        <v>46272</v>
      </c>
      <c r="K32" s="19" t="str">
        <f aca="false">A32</f>
        <v>gold30-025</v>
      </c>
      <c r="L32" s="20" t="str">
        <f aca="false">E32</f>
        <v>Approved</v>
      </c>
      <c r="M32" s="21" t="str">
        <f aca="false">IF(F32="","",F32)</f>
        <v>jakarta-monitoring:structure:0, ispu:structure:0, health-disclaimer:structure:0</v>
      </c>
      <c r="N32" s="20" t="str">
        <f aca="false">IF(H32="","",H32)</f>
        <v>Armand</v>
      </c>
      <c r="O32" s="21" t="n">
        <f aca="false">IF(I32="","",I32)</f>
        <v>46272</v>
      </c>
      <c r="P32" s="20" t="str">
        <f aca="false">IF(G32="","",G32)</f>
        <v/>
      </c>
    </row>
    <row r="33" customFormat="false" ht="60" hidden="false" customHeight="true" outlineLevel="0" collapsed="false">
      <c r="A33" s="15" t="s">
        <v>133</v>
      </c>
      <c r="B33" s="16" t="s">
        <v>23</v>
      </c>
      <c r="C33" s="16" t="s">
        <v>134</v>
      </c>
      <c r="D33" s="16" t="s">
        <v>135</v>
      </c>
      <c r="E33" s="17" t="s">
        <v>19</v>
      </c>
      <c r="F33" s="17" t="s">
        <v>136</v>
      </c>
      <c r="G33" s="17"/>
      <c r="H33" s="17" t="s">
        <v>21</v>
      </c>
      <c r="I33" s="18" t="n">
        <v>46272</v>
      </c>
      <c r="K33" s="19" t="str">
        <f aca="false">A33</f>
        <v>gold30-026</v>
      </c>
      <c r="L33" s="20" t="str">
        <f aca="false">E33</f>
        <v>Approved</v>
      </c>
      <c r="M33" s="21" t="str">
        <f aca="false">IF(F33="","",F33)</f>
        <v>jakarta-monitoring:structure:0, who-aqg-2021-extract:structure:2</v>
      </c>
      <c r="N33" s="20" t="str">
        <f aca="false">IF(H33="","",H33)</f>
        <v>Armand</v>
      </c>
      <c r="O33" s="21" t="n">
        <f aca="false">IF(I33="","",I33)</f>
        <v>46272</v>
      </c>
      <c r="P33" s="20" t="str">
        <f aca="false">IF(G33="","",G33)</f>
        <v/>
      </c>
    </row>
    <row r="34" customFormat="false" ht="60" hidden="false" customHeight="true" outlineLevel="0" collapsed="false">
      <c r="A34" s="15" t="s">
        <v>137</v>
      </c>
      <c r="B34" s="16" t="s">
        <v>16</v>
      </c>
      <c r="C34" s="16" t="s">
        <v>138</v>
      </c>
      <c r="D34" s="16" t="s">
        <v>139</v>
      </c>
      <c r="E34" s="17" t="s">
        <v>19</v>
      </c>
      <c r="F34" s="17" t="s">
        <v>140</v>
      </c>
      <c r="G34" s="17"/>
      <c r="H34" s="17" t="s">
        <v>21</v>
      </c>
      <c r="I34" s="18" t="n">
        <v>46272</v>
      </c>
      <c r="K34" s="19" t="str">
        <f aca="false">A34</f>
        <v>gold30-027</v>
      </c>
      <c r="L34" s="20" t="str">
        <f aca="false">E34</f>
        <v>Approved</v>
      </c>
      <c r="M34" s="21" t="str">
        <f aca="false">IF(F34="","",F34)</f>
        <v>jakarta-causes:structure:2, jakarta-monitoring:structure:0</v>
      </c>
      <c r="N34" s="20" t="str">
        <f aca="false">IF(H34="","",H34)</f>
        <v>Armand</v>
      </c>
      <c r="O34" s="21" t="n">
        <f aca="false">IF(I34="","",I34)</f>
        <v>46272</v>
      </c>
      <c r="P34" s="20" t="str">
        <f aca="false">IF(G34="","",G34)</f>
        <v/>
      </c>
    </row>
    <row r="35" customFormat="false" ht="60" hidden="false" customHeight="true" outlineLevel="0" collapsed="false">
      <c r="A35" s="15" t="s">
        <v>141</v>
      </c>
      <c r="B35" s="16" t="s">
        <v>23</v>
      </c>
      <c r="C35" s="16" t="s">
        <v>142</v>
      </c>
      <c r="D35" s="16" t="s">
        <v>143</v>
      </c>
      <c r="E35" s="17" t="s">
        <v>19</v>
      </c>
      <c r="F35" s="17" t="s">
        <v>144</v>
      </c>
      <c r="G35" s="17"/>
      <c r="H35" s="17" t="s">
        <v>21</v>
      </c>
      <c r="I35" s="18" t="n">
        <v>46272</v>
      </c>
      <c r="K35" s="19" t="str">
        <f aca="false">A35</f>
        <v>gold30-028</v>
      </c>
      <c r="L35" s="20" t="str">
        <f aca="false">E35</f>
        <v>Approved</v>
      </c>
      <c r="M35" s="21" t="str">
        <f aca="false">IF(F35="","",F35)</f>
        <v>health-disclaimer:structure:0</v>
      </c>
      <c r="N35" s="20" t="str">
        <f aca="false">IF(H35="","",H35)</f>
        <v>Armand</v>
      </c>
      <c r="O35" s="21" t="n">
        <f aca="false">IF(I35="","",I35)</f>
        <v>46272</v>
      </c>
      <c r="P35" s="20" t="str">
        <f aca="false">IF(G35="","",G35)</f>
        <v/>
      </c>
    </row>
    <row r="36" customFormat="false" ht="60" hidden="false" customHeight="true" outlineLevel="0" collapsed="false">
      <c r="A36" s="15" t="s">
        <v>145</v>
      </c>
      <c r="B36" s="16" t="s">
        <v>16</v>
      </c>
      <c r="C36" s="16" t="s">
        <v>146</v>
      </c>
      <c r="D36" s="16" t="s">
        <v>147</v>
      </c>
      <c r="E36" s="17" t="s">
        <v>19</v>
      </c>
      <c r="F36" s="17" t="s">
        <v>20</v>
      </c>
      <c r="G36" s="17"/>
      <c r="H36" s="17" t="s">
        <v>21</v>
      </c>
      <c r="I36" s="18" t="n">
        <v>46272</v>
      </c>
      <c r="K36" s="19" t="str">
        <f aca="false">A36</f>
        <v>gold30-029</v>
      </c>
      <c r="L36" s="20" t="str">
        <f aca="false">E36</f>
        <v>Approved</v>
      </c>
      <c r="M36" s="21" t="str">
        <f aca="false">IF(F36="","",F36)</f>
        <v>jakarta-monitoring:structure:0</v>
      </c>
      <c r="N36" s="20" t="str">
        <f aca="false">IF(H36="","",H36)</f>
        <v>Armand</v>
      </c>
      <c r="O36" s="21" t="n">
        <f aca="false">IF(I36="","",I36)</f>
        <v>46272</v>
      </c>
      <c r="P36" s="20" t="str">
        <f aca="false">IF(G36="","",G36)</f>
        <v/>
      </c>
    </row>
    <row r="37" customFormat="false" ht="60" hidden="false" customHeight="true" outlineLevel="0" collapsed="false">
      <c r="A37" s="22" t="s">
        <v>148</v>
      </c>
      <c r="B37" s="23" t="s">
        <v>23</v>
      </c>
      <c r="C37" s="23" t="s">
        <v>149</v>
      </c>
      <c r="D37" s="23" t="s">
        <v>150</v>
      </c>
      <c r="E37" s="24" t="s">
        <v>37</v>
      </c>
      <c r="F37" s="24" t="s">
        <v>151</v>
      </c>
      <c r="G37" s="24" t="s">
        <v>152</v>
      </c>
      <c r="H37" s="24" t="s">
        <v>21</v>
      </c>
      <c r="I37" s="25" t="n">
        <v>46272</v>
      </c>
      <c r="K37" s="26" t="str">
        <f aca="false">A37</f>
        <v>gold30-030</v>
      </c>
      <c r="L37" s="27" t="str">
        <f aca="false">E37</f>
        <v>Corrected</v>
      </c>
      <c r="M37" s="28" t="str">
        <f aca="false">IF(F37="","",F37)</f>
        <v>ma-jakarta-air-lawsuit-record:structure:1, jakarta-policy-implementation:structure:2</v>
      </c>
      <c r="N37" s="27" t="str">
        <f aca="false">IF(H37="","",H37)</f>
        <v>Armand</v>
      </c>
      <c r="O37" s="28" t="n">
        <f aca="false">IF(I37="","",I37)</f>
        <v>46272</v>
      </c>
      <c r="P37" s="27" t="str">
        <f aca="false">IF(G37="","",G37)</f>
        <v>Replaced record-identity and metadata chunks with the direct judgment-versus-implementation boundary and dated evidence that implementation was still ongoing.</v>
      </c>
    </row>
  </sheetData>
  <mergeCells count="6">
    <mergeCell ref="A1:P1"/>
    <mergeCell ref="A2:P2"/>
    <mergeCell ref="A4:I4"/>
    <mergeCell ref="K4:P4"/>
    <mergeCell ref="A5:I5"/>
    <mergeCell ref="K5:P5"/>
  </mergeCells>
  <conditionalFormatting sqref="E8:E37">
    <cfRule type="containsText" priority="2" operator="containsText" aboveAverage="0" equalAverage="0" bottom="0" percent="0" rank="0" text="Pending" dxfId="10">
      <formula>NOT(ISERROR(SEARCH("Pending",E8)))</formula>
    </cfRule>
    <cfRule type="containsText" priority="3" operator="containsText" aboveAverage="0" equalAverage="0" bottom="0" percent="0" rank="0" text="Approved" dxfId="11">
      <formula>NOT(ISERROR(SEARCH("Approved",E8)))</formula>
    </cfRule>
    <cfRule type="containsText" priority="4" operator="containsText" aboveAverage="0" equalAverage="0" bottom="0" percent="0" rank="0" text="Corrected" dxfId="12">
      <formula>NOT(ISERROR(SEARCH("Corrected",E8)))</formula>
    </cfRule>
    <cfRule type="containsText" priority="5" operator="containsText" aboveAverage="0" equalAverage="0" bottom="0" percent="0" rank="0" text="Rejected" dxfId="13">
      <formula>NOT(ISERROR(SEARCH("Rejected",E8)))</formula>
    </cfRule>
    <cfRule type="containsText" priority="6" operator="containsText" aboveAverage="0" equalAverage="0" bottom="0" percent="0" rank="0" text="Pending" dxfId="10">
      <formula>NOT(ISERROR(SEARCH("Pending",E8)))</formula>
    </cfRule>
    <cfRule type="containsText" priority="7" operator="containsText" aboveAverage="0" equalAverage="0" bottom="0" percent="0" rank="0" text="Approved" dxfId="11">
      <formula>NOT(ISERROR(SEARCH("Approved",E8)))</formula>
    </cfRule>
    <cfRule type="containsText" priority="8" operator="containsText" aboveAverage="0" equalAverage="0" bottom="0" percent="0" rank="0" text="Corrected" dxfId="12">
      <formula>NOT(ISERROR(SEARCH("Corrected",E8)))</formula>
    </cfRule>
    <cfRule type="containsText" priority="9" operator="containsText" aboveAverage="0" equalAverage="0" bottom="0" percent="0" rank="0" text="Rejected" dxfId="13">
      <formula>NOT(ISERROR(SEARCH("Rejected",E8)))</formula>
    </cfRule>
    <cfRule type="containsText" priority="10" operator="containsText" aboveAverage="0" equalAverage="0" bottom="0" percent="0" rank="0" text="Pending" dxfId="10">
      <formula>NOT(ISERROR(SEARCH("Pending",E8)))</formula>
    </cfRule>
    <cfRule type="containsText" priority="11" operator="containsText" aboveAverage="0" equalAverage="0" bottom="0" percent="0" rank="0" text="Approved" dxfId="11">
      <formula>NOT(ISERROR(SEARCH("Approved",E8)))</formula>
    </cfRule>
    <cfRule type="containsText" priority="12" operator="containsText" aboveAverage="0" equalAverage="0" bottom="0" percent="0" rank="0" text="Corrected" dxfId="12">
      <formula>NOT(ISERROR(SEARCH("Corrected",E8)))</formula>
    </cfRule>
    <cfRule type="containsText" priority="13" operator="containsText" aboveAverage="0" equalAverage="0" bottom="0" percent="0" rank="0" text="Rejected" dxfId="13">
      <formula>NOT(ISERROR(SEARCH("Rejected",E8)))</formula>
    </cfRule>
    <cfRule type="containsText" priority="14" operator="containsText" aboveAverage="0" equalAverage="0" bottom="0" percent="0" rank="0" text="Pending" dxfId="10">
      <formula>NOT(ISERROR(SEARCH("Pending",E8)))</formula>
    </cfRule>
    <cfRule type="containsText" priority="15" operator="containsText" aboveAverage="0" equalAverage="0" bottom="0" percent="0" rank="0" text="Approved" dxfId="11">
      <formula>NOT(ISERROR(SEARCH("Approved",E8)))</formula>
    </cfRule>
    <cfRule type="containsText" priority="16" operator="containsText" aboveAverage="0" equalAverage="0" bottom="0" percent="0" rank="0" text="Corrected" dxfId="12">
      <formula>NOT(ISERROR(SEARCH("Corrected",E8)))</formula>
    </cfRule>
    <cfRule type="containsText" priority="17" operator="containsText" aboveAverage="0" equalAverage="0" bottom="0" percent="0" rank="0" text="Rejected" dxfId="13">
      <formula>NOT(ISERROR(SEARCH("Rejected",E8)))</formula>
    </cfRule>
    <cfRule type="containsText" priority="18" operator="containsText" aboveAverage="0" equalAverage="0" bottom="0" percent="0" rank="0" text="Pending" dxfId="10">
      <formula>NOT(ISERROR(SEARCH("Pending",E8)))</formula>
    </cfRule>
    <cfRule type="containsText" priority="19" operator="containsText" aboveAverage="0" equalAverage="0" bottom="0" percent="0" rank="0" text="Approved" dxfId="11">
      <formula>NOT(ISERROR(SEARCH("Approved",E8)))</formula>
    </cfRule>
    <cfRule type="containsText" priority="20" operator="containsText" aboveAverage="0" equalAverage="0" bottom="0" percent="0" rank="0" text="Corrected" dxfId="12">
      <formula>NOT(ISERROR(SEARCH("Corrected",E8)))</formula>
    </cfRule>
    <cfRule type="containsText" priority="21" operator="containsText" aboveAverage="0" equalAverage="0" bottom="0" percent="0" rank="0" text="Rejected" dxfId="13">
      <formula>NOT(ISERROR(SEARCH("Rejected",E8)))</formula>
    </cfRule>
    <cfRule type="containsText" priority="22" operator="containsText" aboveAverage="0" equalAverage="0" bottom="0" percent="0" rank="0" text="Pending" dxfId="10">
      <formula>NOT(ISERROR(SEARCH("Pending",E8)))</formula>
    </cfRule>
    <cfRule type="containsText" priority="23" operator="containsText" aboveAverage="0" equalAverage="0" bottom="0" percent="0" rank="0" text="Approved" dxfId="11">
      <formula>NOT(ISERROR(SEARCH("Approved",E8)))</formula>
    </cfRule>
    <cfRule type="containsText" priority="24" operator="containsText" aboveAverage="0" equalAverage="0" bottom="0" percent="0" rank="0" text="Corrected" dxfId="12">
      <formula>NOT(ISERROR(SEARCH("Corrected",E8)))</formula>
    </cfRule>
    <cfRule type="containsText" priority="25" operator="containsText" aboveAverage="0" equalAverage="0" bottom="0" percent="0" rank="0" text="Rejected" dxfId="13">
      <formula>NOT(ISERROR(SEARCH("Rejected",E8)))</formula>
    </cfRule>
    <cfRule type="containsText" priority="26" operator="containsText" aboveAverage="0" equalAverage="0" bottom="0" percent="0" rank="0" text="Pending" dxfId="14">
      <formula>NOT(ISERROR(SEARCH("Pending",E8)))</formula>
    </cfRule>
    <cfRule type="containsText" priority="27" operator="containsText" aboveAverage="0" equalAverage="0" bottom="0" percent="0" rank="0" text="Approved" dxfId="15">
      <formula>NOT(ISERROR(SEARCH("Approved",E8)))</formula>
    </cfRule>
    <cfRule type="containsText" priority="28" operator="containsText" aboveAverage="0" equalAverage="0" bottom="0" percent="0" rank="0" text="Corrected" dxfId="16">
      <formula>NOT(ISERROR(SEARCH("Corrected",E8)))</formula>
    </cfRule>
    <cfRule type="containsText" priority="29" operator="containsText" aboveAverage="0" equalAverage="0" bottom="0" percent="0" rank="0" text="Rejected" dxfId="17">
      <formula>NOT(ISERROR(SEARCH("Rejected",E8)))</formula>
    </cfRule>
  </conditionalFormatting>
  <dataValidations count="1">
    <dataValidation allowBlank="false" errorStyle="stop" operator="between" showDropDown="false" showErrorMessage="false" showInputMessage="false" sqref="E8:E37" type="list">
      <formula1>"Pending,Approved,Corrected,Rejected"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7"/>
    <col collapsed="false" customWidth="true" hidden="false" outlineLevel="0" max="3" min="3" style="0" width="8"/>
    <col collapsed="false" customWidth="true" hidden="false" outlineLevel="0" max="4" min="4" style="0" width="32"/>
    <col collapsed="false" customWidth="true" hidden="false" outlineLevel="0" max="5" min="5" style="0" width="38"/>
    <col collapsed="false" customWidth="true" hidden="false" outlineLevel="0" max="6" min="6" style="0" width="12"/>
    <col collapsed="false" customWidth="true" hidden="false" outlineLevel="0" max="7" min="7" style="0" width="14"/>
    <col collapsed="false" customWidth="true" hidden="false" outlineLevel="0" max="8" min="8" style="0" width="38"/>
    <col collapsed="false" customWidth="true" hidden="false" outlineLevel="0" max="9" min="9" style="0" width="36"/>
    <col collapsed="false" customWidth="true" hidden="false" outlineLevel="0" max="10" min="10" style="0" width="72"/>
    <col collapsed="false" customWidth="true" hidden="false" outlineLevel="0" max="11" min="11" style="0" width="56"/>
    <col collapsed="false" customWidth="true" hidden="false" outlineLevel="0" max="12" min="12" style="0" width="14"/>
    <col collapsed="false" customWidth="true" hidden="false" outlineLevel="0" max="13" min="13" style="0" width="46"/>
  </cols>
  <sheetData>
    <row r="1" customFormat="false" ht="33.75" hidden="false" customHeight="true" outlineLevel="0" collapsed="false">
      <c r="A1" s="29" t="s">
        <v>153</v>
      </c>
      <c r="B1" s="29"/>
      <c r="C1" s="29"/>
      <c r="D1" s="29"/>
      <c r="E1" s="29"/>
      <c r="F1" s="29"/>
      <c r="G1" s="29"/>
      <c r="H1" s="29"/>
      <c r="I1" s="29"/>
      <c r="J1" s="29"/>
      <c r="K1" s="29"/>
      <c r="L1" s="29"/>
      <c r="M1" s="29"/>
    </row>
    <row r="2" customFormat="false" ht="30" hidden="false" customHeight="true" outlineLevel="0" collapsed="false">
      <c r="A2" s="30" t="s">
        <v>154</v>
      </c>
      <c r="B2" s="30"/>
      <c r="C2" s="30"/>
      <c r="D2" s="30"/>
      <c r="E2" s="30"/>
      <c r="F2" s="30"/>
      <c r="G2" s="30"/>
      <c r="H2" s="30"/>
      <c r="I2" s="30"/>
      <c r="J2" s="30"/>
      <c r="K2" s="30"/>
      <c r="L2" s="30"/>
      <c r="M2" s="30"/>
    </row>
    <row r="5" customFormat="false" ht="31.5" hidden="false" customHeight="true" outlineLevel="0" collapsed="false">
      <c r="A5" s="31" t="s">
        <v>6</v>
      </c>
      <c r="B5" s="32" t="s">
        <v>155</v>
      </c>
      <c r="C5" s="32" t="s">
        <v>156</v>
      </c>
      <c r="D5" s="32" t="s">
        <v>157</v>
      </c>
      <c r="E5" s="32" t="s">
        <v>158</v>
      </c>
      <c r="F5" s="32" t="s">
        <v>159</v>
      </c>
      <c r="G5" s="32" t="s">
        <v>160</v>
      </c>
      <c r="H5" s="32" t="s">
        <v>161</v>
      </c>
      <c r="I5" s="32" t="s">
        <v>162</v>
      </c>
      <c r="J5" s="32" t="s">
        <v>163</v>
      </c>
      <c r="K5" s="32" t="s">
        <v>164</v>
      </c>
      <c r="L5" s="32" t="s">
        <v>165</v>
      </c>
      <c r="M5" s="33" t="s">
        <v>166</v>
      </c>
    </row>
    <row r="6" customFormat="false" ht="42" hidden="false" customHeight="true" outlineLevel="0" collapsed="false">
      <c r="A6" s="34" t="s">
        <v>15</v>
      </c>
      <c r="B6" s="34" t="s">
        <v>167</v>
      </c>
      <c r="C6" s="35" t="n">
        <v>1</v>
      </c>
      <c r="D6" s="34" t="s">
        <v>168</v>
      </c>
      <c r="E6" s="34" t="s">
        <v>169</v>
      </c>
      <c r="F6" s="34" t="s">
        <v>170</v>
      </c>
      <c r="G6" s="36" t="n">
        <v>0.57142857</v>
      </c>
      <c r="H6" s="34" t="s">
        <v>171</v>
      </c>
      <c r="I6" s="34" t="s">
        <v>172</v>
      </c>
      <c r="J6" s="34" t="s">
        <v>173</v>
      </c>
      <c r="K6" s="34" t="s">
        <v>174</v>
      </c>
      <c r="L6" s="34" t="n">
        <v>0</v>
      </c>
      <c r="M6" s="34" t="s">
        <v>175</v>
      </c>
    </row>
    <row r="7" customFormat="false" ht="42" hidden="false" customHeight="true" outlineLevel="0" collapsed="false">
      <c r="A7" s="37" t="s">
        <v>15</v>
      </c>
      <c r="B7" s="37" t="s">
        <v>167</v>
      </c>
      <c r="C7" s="38" t="n">
        <v>2</v>
      </c>
      <c r="D7" s="37" t="s">
        <v>176</v>
      </c>
      <c r="E7" s="37" t="s">
        <v>177</v>
      </c>
      <c r="F7" s="37" t="s">
        <v>178</v>
      </c>
      <c r="G7" s="39" t="n">
        <v>0.42857143</v>
      </c>
      <c r="H7" s="37" t="s">
        <v>179</v>
      </c>
      <c r="I7" s="37" t="s">
        <v>180</v>
      </c>
      <c r="J7" s="37" t="s">
        <v>181</v>
      </c>
      <c r="K7" s="37" t="s">
        <v>182</v>
      </c>
      <c r="L7" s="37" t="n">
        <v>0</v>
      </c>
      <c r="M7" s="37" t="s">
        <v>175</v>
      </c>
    </row>
    <row r="8" customFormat="false" ht="42" hidden="false" customHeight="true" outlineLevel="0" collapsed="false">
      <c r="A8" s="37" t="s">
        <v>15</v>
      </c>
      <c r="B8" s="37" t="s">
        <v>167</v>
      </c>
      <c r="C8" s="38" t="n">
        <v>3</v>
      </c>
      <c r="D8" s="37" t="s">
        <v>183</v>
      </c>
      <c r="E8" s="37" t="s">
        <v>184</v>
      </c>
      <c r="F8" s="37" t="s">
        <v>178</v>
      </c>
      <c r="G8" s="39" t="n">
        <v>0.42857143</v>
      </c>
      <c r="H8" s="37" t="s">
        <v>185</v>
      </c>
      <c r="I8" s="37" t="s">
        <v>186</v>
      </c>
      <c r="J8" s="37" t="s">
        <v>187</v>
      </c>
      <c r="K8" s="37" t="s">
        <v>188</v>
      </c>
      <c r="L8" s="37" t="n">
        <v>0</v>
      </c>
      <c r="M8" s="37" t="s">
        <v>175</v>
      </c>
    </row>
    <row r="9" customFormat="false" ht="42" hidden="false" customHeight="true" outlineLevel="0" collapsed="false">
      <c r="A9" s="37" t="s">
        <v>15</v>
      </c>
      <c r="B9" s="37" t="s">
        <v>167</v>
      </c>
      <c r="C9" s="38" t="n">
        <v>4</v>
      </c>
      <c r="D9" s="37" t="s">
        <v>189</v>
      </c>
      <c r="E9" s="37" t="s">
        <v>190</v>
      </c>
      <c r="F9" s="37" t="s">
        <v>170</v>
      </c>
      <c r="G9" s="39" t="n">
        <v>0.42857143</v>
      </c>
      <c r="H9" s="37" t="s">
        <v>191</v>
      </c>
      <c r="I9" s="37" t="s">
        <v>192</v>
      </c>
      <c r="J9" s="37" t="s">
        <v>193</v>
      </c>
      <c r="K9" s="37" t="s">
        <v>194</v>
      </c>
      <c r="L9" s="37" t="n">
        <v>0</v>
      </c>
      <c r="M9" s="37" t="s">
        <v>175</v>
      </c>
    </row>
    <row r="10" customFormat="false" ht="42" hidden="false" customHeight="true" outlineLevel="0" collapsed="false">
      <c r="A10" s="37" t="s">
        <v>15</v>
      </c>
      <c r="B10" s="37" t="s">
        <v>167</v>
      </c>
      <c r="C10" s="38" t="n">
        <v>5</v>
      </c>
      <c r="D10" s="37" t="s">
        <v>195</v>
      </c>
      <c r="E10" s="37" t="s">
        <v>196</v>
      </c>
      <c r="F10" s="37" t="s">
        <v>197</v>
      </c>
      <c r="G10" s="39" t="n">
        <v>0.28571429</v>
      </c>
      <c r="H10" s="37" t="s">
        <v>198</v>
      </c>
      <c r="I10" s="37" t="s">
        <v>192</v>
      </c>
      <c r="J10" s="37" t="s">
        <v>199</v>
      </c>
      <c r="K10" s="37" t="s">
        <v>200</v>
      </c>
      <c r="L10" s="37" t="n">
        <v>0</v>
      </c>
      <c r="M10" s="37" t="s">
        <v>175</v>
      </c>
    </row>
    <row r="11" customFormat="false" ht="42" hidden="false" customHeight="true" outlineLevel="0" collapsed="false">
      <c r="A11" s="37" t="s">
        <v>15</v>
      </c>
      <c r="B11" s="37" t="s">
        <v>201</v>
      </c>
      <c r="C11" s="38" t="n">
        <v>1</v>
      </c>
      <c r="D11" s="37" t="s">
        <v>202</v>
      </c>
      <c r="E11" s="37" t="s">
        <v>20</v>
      </c>
      <c r="F11" s="37" t="s">
        <v>170</v>
      </c>
      <c r="G11" s="39" t="n">
        <v>0.32748875</v>
      </c>
      <c r="H11" s="37" t="s">
        <v>203</v>
      </c>
      <c r="I11" s="37" t="s">
        <v>204</v>
      </c>
      <c r="J11" s="37" t="s">
        <v>205</v>
      </c>
      <c r="K11" s="37" t="s">
        <v>206</v>
      </c>
      <c r="L11" s="37" t="n">
        <v>3</v>
      </c>
      <c r="M11" s="37" t="s">
        <v>207</v>
      </c>
    </row>
    <row r="12" customFormat="false" ht="42" hidden="false" customHeight="true" outlineLevel="0" collapsed="false">
      <c r="A12" s="37" t="s">
        <v>15</v>
      </c>
      <c r="B12" s="37" t="s">
        <v>201</v>
      </c>
      <c r="C12" s="38" t="n">
        <v>2</v>
      </c>
      <c r="D12" s="37" t="s">
        <v>189</v>
      </c>
      <c r="E12" s="37" t="s">
        <v>190</v>
      </c>
      <c r="F12" s="37" t="s">
        <v>170</v>
      </c>
      <c r="G12" s="39" t="n">
        <v>0.30813135</v>
      </c>
      <c r="H12" s="37" t="s">
        <v>191</v>
      </c>
      <c r="I12" s="37" t="s">
        <v>192</v>
      </c>
      <c r="J12" s="37" t="s">
        <v>193</v>
      </c>
      <c r="K12" s="37" t="s">
        <v>194</v>
      </c>
      <c r="L12" s="37" t="n">
        <v>0</v>
      </c>
      <c r="M12" s="37" t="s">
        <v>175</v>
      </c>
    </row>
    <row r="13" customFormat="false" ht="42" hidden="false" customHeight="true" outlineLevel="0" collapsed="false">
      <c r="A13" s="37" t="s">
        <v>15</v>
      </c>
      <c r="B13" s="37" t="s">
        <v>201</v>
      </c>
      <c r="C13" s="38" t="n">
        <v>3</v>
      </c>
      <c r="D13" s="37" t="s">
        <v>183</v>
      </c>
      <c r="E13" s="37" t="s">
        <v>184</v>
      </c>
      <c r="F13" s="37" t="s">
        <v>178</v>
      </c>
      <c r="G13" s="39" t="n">
        <v>0.27365909</v>
      </c>
      <c r="H13" s="37" t="s">
        <v>185</v>
      </c>
      <c r="I13" s="37" t="s">
        <v>186</v>
      </c>
      <c r="J13" s="37" t="s">
        <v>187</v>
      </c>
      <c r="K13" s="37" t="s">
        <v>188</v>
      </c>
      <c r="L13" s="37" t="n">
        <v>0</v>
      </c>
      <c r="M13" s="37" t="s">
        <v>175</v>
      </c>
    </row>
    <row r="14" customFormat="false" ht="42" hidden="false" customHeight="true" outlineLevel="0" collapsed="false">
      <c r="A14" s="37" t="s">
        <v>15</v>
      </c>
      <c r="B14" s="37" t="s">
        <v>201</v>
      </c>
      <c r="C14" s="38" t="n">
        <v>4</v>
      </c>
      <c r="D14" s="37" t="s">
        <v>168</v>
      </c>
      <c r="E14" s="37" t="s">
        <v>169</v>
      </c>
      <c r="F14" s="37" t="s">
        <v>170</v>
      </c>
      <c r="G14" s="39" t="n">
        <v>0.25673599</v>
      </c>
      <c r="H14" s="37" t="s">
        <v>171</v>
      </c>
      <c r="I14" s="37" t="s">
        <v>172</v>
      </c>
      <c r="J14" s="37" t="s">
        <v>173</v>
      </c>
      <c r="K14" s="37" t="s">
        <v>174</v>
      </c>
      <c r="L14" s="37" t="n">
        <v>0</v>
      </c>
      <c r="M14" s="37" t="s">
        <v>175</v>
      </c>
    </row>
    <row r="15" customFormat="false" ht="42" hidden="false" customHeight="true" outlineLevel="0" collapsed="false">
      <c r="A15" s="37" t="s">
        <v>15</v>
      </c>
      <c r="B15" s="37" t="s">
        <v>201</v>
      </c>
      <c r="C15" s="38" t="n">
        <v>5</v>
      </c>
      <c r="D15" s="37" t="s">
        <v>208</v>
      </c>
      <c r="E15" s="37" t="s">
        <v>209</v>
      </c>
      <c r="F15" s="37" t="s">
        <v>170</v>
      </c>
      <c r="G15" s="39" t="n">
        <v>0.25659882</v>
      </c>
      <c r="H15" s="37" t="s">
        <v>210</v>
      </c>
      <c r="I15" s="37" t="s">
        <v>186</v>
      </c>
      <c r="J15" s="37" t="s">
        <v>211</v>
      </c>
      <c r="K15" s="37" t="s">
        <v>188</v>
      </c>
      <c r="L15" s="37" t="n">
        <v>0</v>
      </c>
      <c r="M15" s="37" t="s">
        <v>175</v>
      </c>
    </row>
    <row r="16" customFormat="false" ht="42" hidden="false" customHeight="true" outlineLevel="0" collapsed="false">
      <c r="A16" s="37" t="s">
        <v>15</v>
      </c>
      <c r="B16" s="37" t="s">
        <v>212</v>
      </c>
      <c r="C16" s="38" t="n">
        <v>1</v>
      </c>
      <c r="D16" s="37" t="s">
        <v>168</v>
      </c>
      <c r="E16" s="37" t="s">
        <v>169</v>
      </c>
      <c r="F16" s="37" t="s">
        <v>170</v>
      </c>
      <c r="G16" s="39" t="n">
        <v>0.03233094</v>
      </c>
      <c r="H16" s="37" t="s">
        <v>171</v>
      </c>
      <c r="I16" s="37" t="s">
        <v>172</v>
      </c>
      <c r="J16" s="37" t="s">
        <v>173</v>
      </c>
      <c r="K16" s="37" t="s">
        <v>174</v>
      </c>
      <c r="L16" s="37" t="n">
        <v>0</v>
      </c>
      <c r="M16" s="37" t="s">
        <v>175</v>
      </c>
    </row>
    <row r="17" customFormat="false" ht="42" hidden="false" customHeight="true" outlineLevel="0" collapsed="false">
      <c r="A17" s="37" t="s">
        <v>15</v>
      </c>
      <c r="B17" s="37" t="s">
        <v>212</v>
      </c>
      <c r="C17" s="38" t="n">
        <v>2</v>
      </c>
      <c r="D17" s="37" t="s">
        <v>189</v>
      </c>
      <c r="E17" s="37" t="s">
        <v>190</v>
      </c>
      <c r="F17" s="37" t="s">
        <v>170</v>
      </c>
      <c r="G17" s="39" t="n">
        <v>0.03207661</v>
      </c>
      <c r="H17" s="37" t="s">
        <v>191</v>
      </c>
      <c r="I17" s="37" t="s">
        <v>192</v>
      </c>
      <c r="J17" s="37" t="s">
        <v>193</v>
      </c>
      <c r="K17" s="37" t="s">
        <v>194</v>
      </c>
      <c r="L17" s="37" t="n">
        <v>0</v>
      </c>
      <c r="M17" s="37" t="s">
        <v>175</v>
      </c>
    </row>
    <row r="18" customFormat="false" ht="42" hidden="false" customHeight="true" outlineLevel="0" collapsed="false">
      <c r="A18" s="37" t="s">
        <v>15</v>
      </c>
      <c r="B18" s="37" t="s">
        <v>212</v>
      </c>
      <c r="C18" s="38" t="n">
        <v>3</v>
      </c>
      <c r="D18" s="37" t="s">
        <v>183</v>
      </c>
      <c r="E18" s="37" t="s">
        <v>184</v>
      </c>
      <c r="F18" s="37" t="s">
        <v>178</v>
      </c>
      <c r="G18" s="39" t="n">
        <v>0.03206349</v>
      </c>
      <c r="H18" s="37" t="s">
        <v>185</v>
      </c>
      <c r="I18" s="37" t="s">
        <v>186</v>
      </c>
      <c r="J18" s="37" t="s">
        <v>187</v>
      </c>
      <c r="K18" s="37" t="s">
        <v>188</v>
      </c>
      <c r="L18" s="37" t="n">
        <v>0</v>
      </c>
      <c r="M18" s="37" t="s">
        <v>175</v>
      </c>
    </row>
    <row r="19" customFormat="false" ht="42" hidden="false" customHeight="true" outlineLevel="0" collapsed="false">
      <c r="A19" s="37" t="s">
        <v>15</v>
      </c>
      <c r="B19" s="37" t="s">
        <v>212</v>
      </c>
      <c r="C19" s="38" t="n">
        <v>4</v>
      </c>
      <c r="D19" s="37" t="s">
        <v>213</v>
      </c>
      <c r="E19" s="37" t="s">
        <v>214</v>
      </c>
      <c r="F19" s="37" t="s">
        <v>170</v>
      </c>
      <c r="G19" s="39" t="n">
        <v>0.03037992</v>
      </c>
      <c r="H19" s="37" t="s">
        <v>215</v>
      </c>
      <c r="I19" s="37" t="s">
        <v>216</v>
      </c>
      <c r="J19" s="37" t="s">
        <v>217</v>
      </c>
      <c r="K19" s="37" t="s">
        <v>218</v>
      </c>
      <c r="L19" s="37" t="n">
        <v>0</v>
      </c>
      <c r="M19" s="37" t="s">
        <v>175</v>
      </c>
    </row>
    <row r="20" customFormat="false" ht="42" hidden="false" customHeight="true" outlineLevel="0" collapsed="false">
      <c r="A20" s="37" t="s">
        <v>15</v>
      </c>
      <c r="B20" s="37" t="s">
        <v>212</v>
      </c>
      <c r="C20" s="38" t="n">
        <v>5</v>
      </c>
      <c r="D20" s="37" t="s">
        <v>208</v>
      </c>
      <c r="E20" s="37" t="s">
        <v>209</v>
      </c>
      <c r="F20" s="37" t="s">
        <v>170</v>
      </c>
      <c r="G20" s="39" t="n">
        <v>0.02997802</v>
      </c>
      <c r="H20" s="37" t="s">
        <v>210</v>
      </c>
      <c r="I20" s="37" t="s">
        <v>186</v>
      </c>
      <c r="J20" s="37" t="s">
        <v>211</v>
      </c>
      <c r="K20" s="37" t="s">
        <v>188</v>
      </c>
      <c r="L20" s="37" t="n">
        <v>0</v>
      </c>
      <c r="M20" s="37" t="s">
        <v>175</v>
      </c>
    </row>
    <row r="21" customFormat="false" ht="42" hidden="false" customHeight="true" outlineLevel="0" collapsed="false">
      <c r="A21" s="37" t="s">
        <v>15</v>
      </c>
      <c r="B21" s="37" t="s">
        <v>219</v>
      </c>
      <c r="C21" s="38" t="n">
        <v>1</v>
      </c>
      <c r="D21" s="37" t="s">
        <v>168</v>
      </c>
      <c r="E21" s="37" t="s">
        <v>169</v>
      </c>
      <c r="F21" s="37" t="s">
        <v>170</v>
      </c>
      <c r="G21" s="39" t="n">
        <v>0.40969928</v>
      </c>
      <c r="H21" s="37" t="s">
        <v>171</v>
      </c>
      <c r="I21" s="37" t="s">
        <v>172</v>
      </c>
      <c r="J21" s="37" t="s">
        <v>173</v>
      </c>
      <c r="K21" s="37" t="s">
        <v>174</v>
      </c>
      <c r="L21" s="37" t="n">
        <v>0</v>
      </c>
      <c r="M21" s="37" t="s">
        <v>175</v>
      </c>
    </row>
    <row r="22" customFormat="false" ht="42" hidden="false" customHeight="true" outlineLevel="0" collapsed="false">
      <c r="A22" s="37" t="s">
        <v>15</v>
      </c>
      <c r="B22" s="37" t="s">
        <v>219</v>
      </c>
      <c r="C22" s="38" t="n">
        <v>2</v>
      </c>
      <c r="D22" s="37" t="s">
        <v>189</v>
      </c>
      <c r="E22" s="37" t="s">
        <v>190</v>
      </c>
      <c r="F22" s="37" t="s">
        <v>170</v>
      </c>
      <c r="G22" s="39" t="n">
        <v>0.30962298</v>
      </c>
      <c r="H22" s="37" t="s">
        <v>191</v>
      </c>
      <c r="I22" s="37" t="s">
        <v>192</v>
      </c>
      <c r="J22" s="37" t="s">
        <v>193</v>
      </c>
      <c r="K22" s="37" t="s">
        <v>194</v>
      </c>
      <c r="L22" s="37" t="n">
        <v>0</v>
      </c>
      <c r="M22" s="37" t="s">
        <v>175</v>
      </c>
    </row>
    <row r="23" customFormat="false" ht="42" hidden="false" customHeight="true" outlineLevel="0" collapsed="false">
      <c r="A23" s="37" t="s">
        <v>15</v>
      </c>
      <c r="B23" s="37" t="s">
        <v>219</v>
      </c>
      <c r="C23" s="38" t="n">
        <v>3</v>
      </c>
      <c r="D23" s="37" t="s">
        <v>183</v>
      </c>
      <c r="E23" s="37" t="s">
        <v>184</v>
      </c>
      <c r="F23" s="37" t="s">
        <v>178</v>
      </c>
      <c r="G23" s="39" t="n">
        <v>0.30961905</v>
      </c>
      <c r="H23" s="37" t="s">
        <v>185</v>
      </c>
      <c r="I23" s="37" t="s">
        <v>186</v>
      </c>
      <c r="J23" s="37" t="s">
        <v>187</v>
      </c>
      <c r="K23" s="37" t="s">
        <v>188</v>
      </c>
      <c r="L23" s="37" t="n">
        <v>0</v>
      </c>
      <c r="M23" s="37" t="s">
        <v>175</v>
      </c>
    </row>
    <row r="24" customFormat="false" ht="42" hidden="false" customHeight="true" outlineLevel="0" collapsed="false">
      <c r="A24" s="37" t="s">
        <v>15</v>
      </c>
      <c r="B24" s="37" t="s">
        <v>219</v>
      </c>
      <c r="C24" s="38" t="n">
        <v>4</v>
      </c>
      <c r="D24" s="37" t="s">
        <v>176</v>
      </c>
      <c r="E24" s="37" t="s">
        <v>177</v>
      </c>
      <c r="F24" s="37" t="s">
        <v>178</v>
      </c>
      <c r="G24" s="39" t="n">
        <v>0.30483871</v>
      </c>
      <c r="H24" s="37" t="s">
        <v>179</v>
      </c>
      <c r="I24" s="37" t="s">
        <v>180</v>
      </c>
      <c r="J24" s="37" t="s">
        <v>181</v>
      </c>
      <c r="K24" s="37" t="s">
        <v>182</v>
      </c>
      <c r="L24" s="37" t="n">
        <v>0</v>
      </c>
      <c r="M24" s="37" t="s">
        <v>175</v>
      </c>
    </row>
    <row r="25" customFormat="false" ht="42" hidden="false" customHeight="true" outlineLevel="0" collapsed="false">
      <c r="A25" s="37" t="s">
        <v>15</v>
      </c>
      <c r="B25" s="37" t="s">
        <v>219</v>
      </c>
      <c r="C25" s="38" t="n">
        <v>5</v>
      </c>
      <c r="D25" s="37" t="s">
        <v>213</v>
      </c>
      <c r="E25" s="37" t="s">
        <v>214</v>
      </c>
      <c r="F25" s="37" t="s">
        <v>170</v>
      </c>
      <c r="G25" s="39" t="n">
        <v>0.20911398</v>
      </c>
      <c r="H25" s="37" t="s">
        <v>215</v>
      </c>
      <c r="I25" s="37" t="s">
        <v>216</v>
      </c>
      <c r="J25" s="37" t="s">
        <v>217</v>
      </c>
      <c r="K25" s="37" t="s">
        <v>218</v>
      </c>
      <c r="L25" s="37" t="n">
        <v>0</v>
      </c>
      <c r="M25" s="37" t="s">
        <v>175</v>
      </c>
    </row>
    <row r="26" customFormat="false" ht="42" hidden="false" customHeight="true" outlineLevel="0" collapsed="false">
      <c r="A26" s="37" t="s">
        <v>22</v>
      </c>
      <c r="B26" s="37" t="s">
        <v>167</v>
      </c>
      <c r="C26" s="38" t="n">
        <v>1</v>
      </c>
      <c r="D26" s="37" t="s">
        <v>220</v>
      </c>
      <c r="E26" s="37" t="s">
        <v>48</v>
      </c>
      <c r="F26" s="37" t="s">
        <v>178</v>
      </c>
      <c r="G26" s="39" t="n">
        <v>0.22222222</v>
      </c>
      <c r="H26" s="37" t="s">
        <v>221</v>
      </c>
      <c r="I26" s="37" t="s">
        <v>222</v>
      </c>
      <c r="J26" s="37" t="s">
        <v>223</v>
      </c>
      <c r="K26" s="37" t="s">
        <v>224</v>
      </c>
      <c r="L26" s="37" t="n">
        <v>0</v>
      </c>
      <c r="M26" s="37" t="s">
        <v>175</v>
      </c>
    </row>
    <row r="27" customFormat="false" ht="42" hidden="false" customHeight="true" outlineLevel="0" collapsed="false">
      <c r="A27" s="37" t="s">
        <v>22</v>
      </c>
      <c r="B27" s="37" t="s">
        <v>167</v>
      </c>
      <c r="C27" s="38" t="n">
        <v>2</v>
      </c>
      <c r="D27" s="37" t="s">
        <v>225</v>
      </c>
      <c r="E27" s="37" t="s">
        <v>226</v>
      </c>
      <c r="F27" s="37" t="s">
        <v>170</v>
      </c>
      <c r="G27" s="39" t="n">
        <v>0.22222222</v>
      </c>
      <c r="H27" s="37" t="s">
        <v>227</v>
      </c>
      <c r="I27" s="37" t="s">
        <v>228</v>
      </c>
      <c r="J27" s="37" t="s">
        <v>229</v>
      </c>
      <c r="K27" s="37" t="s">
        <v>230</v>
      </c>
      <c r="L27" s="37" t="n">
        <v>0</v>
      </c>
      <c r="M27" s="37" t="s">
        <v>175</v>
      </c>
    </row>
    <row r="28" customFormat="false" ht="42" hidden="false" customHeight="true" outlineLevel="0" collapsed="false">
      <c r="A28" s="37" t="s">
        <v>22</v>
      </c>
      <c r="B28" s="37" t="s">
        <v>167</v>
      </c>
      <c r="C28" s="38" t="n">
        <v>3</v>
      </c>
      <c r="D28" s="37" t="s">
        <v>231</v>
      </c>
      <c r="E28" s="37" t="s">
        <v>232</v>
      </c>
      <c r="F28" s="37" t="s">
        <v>170</v>
      </c>
      <c r="G28" s="39" t="n">
        <v>0.22222222</v>
      </c>
      <c r="H28" s="37" t="s">
        <v>233</v>
      </c>
      <c r="I28" s="37" t="s">
        <v>234</v>
      </c>
      <c r="J28" s="37" t="s">
        <v>235</v>
      </c>
      <c r="K28" s="37" t="s">
        <v>236</v>
      </c>
      <c r="L28" s="37" t="n">
        <v>0</v>
      </c>
      <c r="M28" s="37" t="s">
        <v>175</v>
      </c>
    </row>
    <row r="29" customFormat="false" ht="42" hidden="false" customHeight="true" outlineLevel="0" collapsed="false">
      <c r="A29" s="37" t="s">
        <v>22</v>
      </c>
      <c r="B29" s="37" t="s">
        <v>167</v>
      </c>
      <c r="C29" s="38" t="n">
        <v>4</v>
      </c>
      <c r="D29" s="37" t="s">
        <v>237</v>
      </c>
      <c r="E29" s="37" t="s">
        <v>238</v>
      </c>
      <c r="F29" s="37" t="s">
        <v>197</v>
      </c>
      <c r="G29" s="39" t="n">
        <v>0.22222222</v>
      </c>
      <c r="H29" s="37" t="s">
        <v>239</v>
      </c>
      <c r="I29" s="37" t="s">
        <v>240</v>
      </c>
      <c r="J29" s="37" t="s">
        <v>241</v>
      </c>
      <c r="K29" s="37" t="s">
        <v>230</v>
      </c>
      <c r="L29" s="37" t="n">
        <v>0</v>
      </c>
      <c r="M29" s="37" t="s">
        <v>175</v>
      </c>
    </row>
    <row r="30" customFormat="false" ht="42" hidden="false" customHeight="true" outlineLevel="0" collapsed="false">
      <c r="A30" s="37" t="s">
        <v>22</v>
      </c>
      <c r="B30" s="37" t="s">
        <v>167</v>
      </c>
      <c r="C30" s="38" t="n">
        <v>5</v>
      </c>
      <c r="D30" s="37" t="s">
        <v>242</v>
      </c>
      <c r="E30" s="37" t="s">
        <v>243</v>
      </c>
      <c r="F30" s="37" t="s">
        <v>244</v>
      </c>
      <c r="G30" s="39" t="n">
        <v>0.22222222</v>
      </c>
      <c r="H30" s="37" t="s">
        <v>245</v>
      </c>
      <c r="I30" s="37" t="s">
        <v>246</v>
      </c>
      <c r="J30" s="37" t="s">
        <v>247</v>
      </c>
      <c r="K30" s="37" t="s">
        <v>248</v>
      </c>
      <c r="L30" s="37" t="n">
        <v>0</v>
      </c>
      <c r="M30" s="37" t="s">
        <v>175</v>
      </c>
    </row>
    <row r="31" customFormat="false" ht="42" hidden="false" customHeight="true" outlineLevel="0" collapsed="false">
      <c r="A31" s="37" t="s">
        <v>22</v>
      </c>
      <c r="B31" s="37" t="s">
        <v>201</v>
      </c>
      <c r="C31" s="38" t="n">
        <v>1</v>
      </c>
      <c r="D31" s="37" t="s">
        <v>202</v>
      </c>
      <c r="E31" s="37" t="s">
        <v>20</v>
      </c>
      <c r="F31" s="37" t="s">
        <v>170</v>
      </c>
      <c r="G31" s="39" t="n">
        <v>0.25461911</v>
      </c>
      <c r="H31" s="37" t="s">
        <v>203</v>
      </c>
      <c r="I31" s="37" t="s">
        <v>204</v>
      </c>
      <c r="J31" s="37" t="s">
        <v>205</v>
      </c>
      <c r="K31" s="37" t="s">
        <v>206</v>
      </c>
      <c r="L31" s="37" t="n">
        <v>3</v>
      </c>
      <c r="M31" s="37" t="s">
        <v>207</v>
      </c>
    </row>
    <row r="32" customFormat="false" ht="42" hidden="false" customHeight="true" outlineLevel="0" collapsed="false">
      <c r="A32" s="37" t="s">
        <v>22</v>
      </c>
      <c r="B32" s="37" t="s">
        <v>201</v>
      </c>
      <c r="C32" s="38" t="n">
        <v>2</v>
      </c>
      <c r="D32" s="37" t="s">
        <v>189</v>
      </c>
      <c r="E32" s="37" t="s">
        <v>190</v>
      </c>
      <c r="F32" s="37" t="s">
        <v>170</v>
      </c>
      <c r="G32" s="39" t="n">
        <v>0.23136802</v>
      </c>
      <c r="H32" s="37" t="s">
        <v>191</v>
      </c>
      <c r="I32" s="37" t="s">
        <v>192</v>
      </c>
      <c r="J32" s="37" t="s">
        <v>193</v>
      </c>
      <c r="K32" s="37" t="s">
        <v>194</v>
      </c>
      <c r="L32" s="37" t="n">
        <v>0</v>
      </c>
      <c r="M32" s="37" t="s">
        <v>175</v>
      </c>
    </row>
    <row r="33" customFormat="false" ht="42" hidden="false" customHeight="true" outlineLevel="0" collapsed="false">
      <c r="A33" s="37" t="s">
        <v>22</v>
      </c>
      <c r="B33" s="37" t="s">
        <v>201</v>
      </c>
      <c r="C33" s="38" t="n">
        <v>3</v>
      </c>
      <c r="D33" s="37" t="s">
        <v>213</v>
      </c>
      <c r="E33" s="37" t="s">
        <v>214</v>
      </c>
      <c r="F33" s="37" t="s">
        <v>170</v>
      </c>
      <c r="G33" s="39" t="n">
        <v>0.19786287</v>
      </c>
      <c r="H33" s="37" t="s">
        <v>215</v>
      </c>
      <c r="I33" s="37" t="s">
        <v>216</v>
      </c>
      <c r="J33" s="37" t="s">
        <v>217</v>
      </c>
      <c r="K33" s="37" t="s">
        <v>218</v>
      </c>
      <c r="L33" s="37" t="n">
        <v>0</v>
      </c>
      <c r="M33" s="37" t="s">
        <v>175</v>
      </c>
    </row>
    <row r="34" customFormat="false" ht="42" hidden="false" customHeight="true" outlineLevel="0" collapsed="false">
      <c r="A34" s="37" t="s">
        <v>22</v>
      </c>
      <c r="B34" s="37" t="s">
        <v>201</v>
      </c>
      <c r="C34" s="38" t="n">
        <v>4</v>
      </c>
      <c r="D34" s="37" t="s">
        <v>183</v>
      </c>
      <c r="E34" s="37" t="s">
        <v>184</v>
      </c>
      <c r="F34" s="37" t="s">
        <v>178</v>
      </c>
      <c r="G34" s="39" t="n">
        <v>0.19545769</v>
      </c>
      <c r="H34" s="37" t="s">
        <v>185</v>
      </c>
      <c r="I34" s="37" t="s">
        <v>186</v>
      </c>
      <c r="J34" s="37" t="s">
        <v>187</v>
      </c>
      <c r="K34" s="37" t="s">
        <v>188</v>
      </c>
      <c r="L34" s="37" t="n">
        <v>0</v>
      </c>
      <c r="M34" s="37" t="s">
        <v>175</v>
      </c>
    </row>
    <row r="35" customFormat="false" ht="42" hidden="false" customHeight="true" outlineLevel="0" collapsed="false">
      <c r="A35" s="37" t="s">
        <v>22</v>
      </c>
      <c r="B35" s="37" t="s">
        <v>201</v>
      </c>
      <c r="C35" s="38" t="n">
        <v>5</v>
      </c>
      <c r="D35" s="37" t="s">
        <v>231</v>
      </c>
      <c r="E35" s="37" t="s">
        <v>232</v>
      </c>
      <c r="F35" s="37" t="s">
        <v>170</v>
      </c>
      <c r="G35" s="39" t="n">
        <v>0.17982855</v>
      </c>
      <c r="H35" s="37" t="s">
        <v>233</v>
      </c>
      <c r="I35" s="37" t="s">
        <v>234</v>
      </c>
      <c r="J35" s="37" t="s">
        <v>235</v>
      </c>
      <c r="K35" s="37" t="s">
        <v>236</v>
      </c>
      <c r="L35" s="37" t="n">
        <v>0</v>
      </c>
      <c r="M35" s="37" t="s">
        <v>175</v>
      </c>
    </row>
    <row r="36" customFormat="false" ht="42" hidden="false" customHeight="true" outlineLevel="0" collapsed="false">
      <c r="A36" s="37" t="s">
        <v>22</v>
      </c>
      <c r="B36" s="37" t="s">
        <v>212</v>
      </c>
      <c r="C36" s="38" t="n">
        <v>1</v>
      </c>
      <c r="D36" s="37" t="s">
        <v>231</v>
      </c>
      <c r="E36" s="37" t="s">
        <v>232</v>
      </c>
      <c r="F36" s="37" t="s">
        <v>170</v>
      </c>
      <c r="G36" s="39" t="n">
        <v>0.03156532</v>
      </c>
      <c r="H36" s="37" t="s">
        <v>233</v>
      </c>
      <c r="I36" s="37" t="s">
        <v>234</v>
      </c>
      <c r="J36" s="37" t="s">
        <v>235</v>
      </c>
      <c r="K36" s="37" t="s">
        <v>236</v>
      </c>
      <c r="L36" s="37" t="n">
        <v>0</v>
      </c>
      <c r="M36" s="37" t="s">
        <v>175</v>
      </c>
    </row>
    <row r="37" customFormat="false" ht="42" hidden="false" customHeight="true" outlineLevel="0" collapsed="false">
      <c r="A37" s="37" t="s">
        <v>22</v>
      </c>
      <c r="B37" s="37" t="s">
        <v>212</v>
      </c>
      <c r="C37" s="38" t="n">
        <v>2</v>
      </c>
      <c r="D37" s="37" t="s">
        <v>225</v>
      </c>
      <c r="E37" s="37" t="s">
        <v>226</v>
      </c>
      <c r="F37" s="37" t="s">
        <v>170</v>
      </c>
      <c r="G37" s="39" t="n">
        <v>0.03112903</v>
      </c>
      <c r="H37" s="37" t="s">
        <v>227</v>
      </c>
      <c r="I37" s="37" t="s">
        <v>228</v>
      </c>
      <c r="J37" s="37" t="s">
        <v>229</v>
      </c>
      <c r="K37" s="37" t="s">
        <v>230</v>
      </c>
      <c r="L37" s="37" t="n">
        <v>0</v>
      </c>
      <c r="M37" s="37" t="s">
        <v>175</v>
      </c>
    </row>
    <row r="38" customFormat="false" ht="42" hidden="false" customHeight="true" outlineLevel="0" collapsed="false">
      <c r="A38" s="37" t="s">
        <v>22</v>
      </c>
      <c r="B38" s="37" t="s">
        <v>212</v>
      </c>
      <c r="C38" s="38" t="n">
        <v>3</v>
      </c>
      <c r="D38" s="37" t="s">
        <v>202</v>
      </c>
      <c r="E38" s="37" t="s">
        <v>20</v>
      </c>
      <c r="F38" s="37" t="s">
        <v>170</v>
      </c>
      <c r="G38" s="39" t="n">
        <v>0.01672131</v>
      </c>
      <c r="H38" s="37" t="s">
        <v>203</v>
      </c>
      <c r="I38" s="37" t="s">
        <v>204</v>
      </c>
      <c r="J38" s="37" t="s">
        <v>205</v>
      </c>
      <c r="K38" s="37" t="s">
        <v>206</v>
      </c>
      <c r="L38" s="37" t="n">
        <v>3</v>
      </c>
      <c r="M38" s="37" t="s">
        <v>207</v>
      </c>
    </row>
    <row r="39" customFormat="false" ht="42" hidden="false" customHeight="true" outlineLevel="0" collapsed="false">
      <c r="A39" s="37" t="s">
        <v>22</v>
      </c>
      <c r="B39" s="37" t="s">
        <v>212</v>
      </c>
      <c r="C39" s="38" t="n">
        <v>4</v>
      </c>
      <c r="D39" s="37" t="s">
        <v>189</v>
      </c>
      <c r="E39" s="37" t="s">
        <v>190</v>
      </c>
      <c r="F39" s="37" t="s">
        <v>170</v>
      </c>
      <c r="G39" s="39" t="n">
        <v>0.01645161</v>
      </c>
      <c r="H39" s="37" t="s">
        <v>191</v>
      </c>
      <c r="I39" s="37" t="s">
        <v>192</v>
      </c>
      <c r="J39" s="37" t="s">
        <v>193</v>
      </c>
      <c r="K39" s="37" t="s">
        <v>194</v>
      </c>
      <c r="L39" s="37" t="n">
        <v>0</v>
      </c>
      <c r="M39" s="37" t="s">
        <v>175</v>
      </c>
    </row>
    <row r="40" customFormat="false" ht="42" hidden="false" customHeight="true" outlineLevel="0" collapsed="false">
      <c r="A40" s="37" t="s">
        <v>22</v>
      </c>
      <c r="B40" s="37" t="s">
        <v>212</v>
      </c>
      <c r="C40" s="38" t="n">
        <v>5</v>
      </c>
      <c r="D40" s="37" t="s">
        <v>220</v>
      </c>
      <c r="E40" s="37" t="s">
        <v>48</v>
      </c>
      <c r="F40" s="37" t="s">
        <v>178</v>
      </c>
      <c r="G40" s="39" t="n">
        <v>0.01639344</v>
      </c>
      <c r="H40" s="37" t="s">
        <v>221</v>
      </c>
      <c r="I40" s="37" t="s">
        <v>222</v>
      </c>
      <c r="J40" s="37" t="s">
        <v>223</v>
      </c>
      <c r="K40" s="37" t="s">
        <v>224</v>
      </c>
      <c r="L40" s="37" t="n">
        <v>0</v>
      </c>
      <c r="M40" s="37" t="s">
        <v>175</v>
      </c>
    </row>
    <row r="41" customFormat="false" ht="42" hidden="false" customHeight="true" outlineLevel="0" collapsed="false">
      <c r="A41" s="37" t="s">
        <v>22</v>
      </c>
      <c r="B41" s="37" t="s">
        <v>219</v>
      </c>
      <c r="C41" s="38" t="n">
        <v>1</v>
      </c>
      <c r="D41" s="37" t="s">
        <v>231</v>
      </c>
      <c r="E41" s="37" t="s">
        <v>232</v>
      </c>
      <c r="F41" s="37" t="s">
        <v>170</v>
      </c>
      <c r="G41" s="39" t="n">
        <v>0.16502515</v>
      </c>
      <c r="H41" s="37" t="s">
        <v>233</v>
      </c>
      <c r="I41" s="37" t="s">
        <v>234</v>
      </c>
      <c r="J41" s="37" t="s">
        <v>235</v>
      </c>
      <c r="K41" s="37" t="s">
        <v>236</v>
      </c>
      <c r="L41" s="37" t="n">
        <v>0</v>
      </c>
      <c r="M41" s="37" t="s">
        <v>175</v>
      </c>
    </row>
    <row r="42" customFormat="false" ht="42" hidden="false" customHeight="true" outlineLevel="0" collapsed="false">
      <c r="A42" s="37" t="s">
        <v>22</v>
      </c>
      <c r="B42" s="37" t="s">
        <v>219</v>
      </c>
      <c r="C42" s="38" t="n">
        <v>2</v>
      </c>
      <c r="D42" s="37" t="s">
        <v>225</v>
      </c>
      <c r="E42" s="37" t="s">
        <v>226</v>
      </c>
      <c r="F42" s="37" t="s">
        <v>170</v>
      </c>
      <c r="G42" s="39" t="n">
        <v>0.16489427</v>
      </c>
      <c r="H42" s="37" t="s">
        <v>227</v>
      </c>
      <c r="I42" s="37" t="s">
        <v>228</v>
      </c>
      <c r="J42" s="37" t="s">
        <v>229</v>
      </c>
      <c r="K42" s="37" t="s">
        <v>230</v>
      </c>
      <c r="L42" s="37" t="n">
        <v>0</v>
      </c>
      <c r="M42" s="37" t="s">
        <v>175</v>
      </c>
    </row>
    <row r="43" customFormat="false" ht="42" hidden="false" customHeight="true" outlineLevel="0" collapsed="false">
      <c r="A43" s="37" t="s">
        <v>22</v>
      </c>
      <c r="B43" s="37" t="s">
        <v>219</v>
      </c>
      <c r="C43" s="38" t="n">
        <v>3</v>
      </c>
      <c r="D43" s="37" t="s">
        <v>220</v>
      </c>
      <c r="E43" s="37" t="s">
        <v>48</v>
      </c>
      <c r="F43" s="37" t="s">
        <v>178</v>
      </c>
      <c r="G43" s="39" t="n">
        <v>0.16047359</v>
      </c>
      <c r="H43" s="37" t="s">
        <v>221</v>
      </c>
      <c r="I43" s="37" t="s">
        <v>222</v>
      </c>
      <c r="J43" s="37" t="s">
        <v>223</v>
      </c>
      <c r="K43" s="37" t="s">
        <v>224</v>
      </c>
      <c r="L43" s="37" t="n">
        <v>0</v>
      </c>
      <c r="M43" s="37" t="s">
        <v>175</v>
      </c>
    </row>
    <row r="44" customFormat="false" ht="42" hidden="false" customHeight="true" outlineLevel="0" collapsed="false">
      <c r="A44" s="37" t="s">
        <v>22</v>
      </c>
      <c r="B44" s="37" t="s">
        <v>219</v>
      </c>
      <c r="C44" s="38" t="n">
        <v>4</v>
      </c>
      <c r="D44" s="37" t="s">
        <v>237</v>
      </c>
      <c r="E44" s="37" t="s">
        <v>238</v>
      </c>
      <c r="F44" s="37" t="s">
        <v>197</v>
      </c>
      <c r="G44" s="39" t="n">
        <v>0.16024306</v>
      </c>
      <c r="H44" s="37" t="s">
        <v>239</v>
      </c>
      <c r="I44" s="37" t="s">
        <v>240</v>
      </c>
      <c r="J44" s="37" t="s">
        <v>241</v>
      </c>
      <c r="K44" s="37" t="s">
        <v>230</v>
      </c>
      <c r="L44" s="37" t="n">
        <v>0</v>
      </c>
      <c r="M44" s="37" t="s">
        <v>175</v>
      </c>
    </row>
    <row r="45" customFormat="false" ht="42" hidden="false" customHeight="true" outlineLevel="0" collapsed="false">
      <c r="A45" s="37" t="s">
        <v>22</v>
      </c>
      <c r="B45" s="37" t="s">
        <v>219</v>
      </c>
      <c r="C45" s="38" t="n">
        <v>5</v>
      </c>
      <c r="D45" s="37" t="s">
        <v>242</v>
      </c>
      <c r="E45" s="37" t="s">
        <v>243</v>
      </c>
      <c r="F45" s="37" t="s">
        <v>244</v>
      </c>
      <c r="G45" s="39" t="n">
        <v>0.16017094</v>
      </c>
      <c r="H45" s="37" t="s">
        <v>245</v>
      </c>
      <c r="I45" s="37" t="s">
        <v>246</v>
      </c>
      <c r="J45" s="37" t="s">
        <v>247</v>
      </c>
      <c r="K45" s="37" t="s">
        <v>248</v>
      </c>
      <c r="L45" s="37" t="n">
        <v>0</v>
      </c>
      <c r="M45" s="37" t="s">
        <v>175</v>
      </c>
    </row>
    <row r="46" customFormat="false" ht="42" hidden="false" customHeight="true" outlineLevel="0" collapsed="false">
      <c r="A46" s="37" t="s">
        <v>27</v>
      </c>
      <c r="B46" s="37" t="s">
        <v>167</v>
      </c>
      <c r="C46" s="38" t="n">
        <v>1</v>
      </c>
      <c r="D46" s="37" t="s">
        <v>220</v>
      </c>
      <c r="E46" s="37" t="s">
        <v>48</v>
      </c>
      <c r="F46" s="37" t="s">
        <v>178</v>
      </c>
      <c r="G46" s="39" t="n">
        <v>0.5</v>
      </c>
      <c r="H46" s="37" t="s">
        <v>221</v>
      </c>
      <c r="I46" s="37" t="s">
        <v>222</v>
      </c>
      <c r="J46" s="37" t="s">
        <v>223</v>
      </c>
      <c r="K46" s="37" t="s">
        <v>224</v>
      </c>
      <c r="L46" s="37" t="n">
        <v>0</v>
      </c>
      <c r="M46" s="37" t="s">
        <v>175</v>
      </c>
    </row>
    <row r="47" customFormat="false" ht="42" hidden="false" customHeight="true" outlineLevel="0" collapsed="false">
      <c r="A47" s="37" t="s">
        <v>27</v>
      </c>
      <c r="B47" s="37" t="s">
        <v>167</v>
      </c>
      <c r="C47" s="38" t="n">
        <v>2</v>
      </c>
      <c r="D47" s="37" t="s">
        <v>249</v>
      </c>
      <c r="E47" s="37" t="s">
        <v>30</v>
      </c>
      <c r="F47" s="37" t="s">
        <v>170</v>
      </c>
      <c r="G47" s="39" t="n">
        <v>0.33333333</v>
      </c>
      <c r="H47" s="37" t="s">
        <v>250</v>
      </c>
      <c r="I47" s="37" t="s">
        <v>251</v>
      </c>
      <c r="J47" s="37" t="s">
        <v>252</v>
      </c>
      <c r="K47" s="37" t="s">
        <v>253</v>
      </c>
      <c r="L47" s="37" t="n">
        <v>3</v>
      </c>
      <c r="M47" s="37" t="s">
        <v>207</v>
      </c>
    </row>
    <row r="48" customFormat="false" ht="42" hidden="false" customHeight="true" outlineLevel="0" collapsed="false">
      <c r="A48" s="37" t="s">
        <v>27</v>
      </c>
      <c r="B48" s="37" t="s">
        <v>167</v>
      </c>
      <c r="C48" s="38" t="n">
        <v>3</v>
      </c>
      <c r="D48" s="37" t="s">
        <v>237</v>
      </c>
      <c r="E48" s="37" t="s">
        <v>238</v>
      </c>
      <c r="F48" s="37" t="s">
        <v>197</v>
      </c>
      <c r="G48" s="39" t="n">
        <v>0.33333333</v>
      </c>
      <c r="H48" s="37" t="s">
        <v>239</v>
      </c>
      <c r="I48" s="37" t="s">
        <v>240</v>
      </c>
      <c r="J48" s="37" t="s">
        <v>241</v>
      </c>
      <c r="K48" s="37" t="s">
        <v>230</v>
      </c>
      <c r="L48" s="37" t="n">
        <v>0</v>
      </c>
      <c r="M48" s="37" t="s">
        <v>175</v>
      </c>
    </row>
    <row r="49" customFormat="false" ht="42" hidden="false" customHeight="true" outlineLevel="0" collapsed="false">
      <c r="A49" s="37" t="s">
        <v>27</v>
      </c>
      <c r="B49" s="37" t="s">
        <v>167</v>
      </c>
      <c r="C49" s="38" t="n">
        <v>4</v>
      </c>
      <c r="D49" s="37" t="s">
        <v>242</v>
      </c>
      <c r="E49" s="37" t="s">
        <v>243</v>
      </c>
      <c r="F49" s="37" t="s">
        <v>244</v>
      </c>
      <c r="G49" s="39" t="n">
        <v>0.33333333</v>
      </c>
      <c r="H49" s="37" t="s">
        <v>245</v>
      </c>
      <c r="I49" s="37" t="s">
        <v>246</v>
      </c>
      <c r="J49" s="37" t="s">
        <v>247</v>
      </c>
      <c r="K49" s="37" t="s">
        <v>248</v>
      </c>
      <c r="L49" s="37" t="n">
        <v>0</v>
      </c>
      <c r="M49" s="37" t="s">
        <v>175</v>
      </c>
    </row>
    <row r="50" customFormat="false" ht="42" hidden="false" customHeight="true" outlineLevel="0" collapsed="false">
      <c r="A50" s="37" t="s">
        <v>27</v>
      </c>
      <c r="B50" s="37" t="s">
        <v>167</v>
      </c>
      <c r="C50" s="38" t="n">
        <v>5</v>
      </c>
      <c r="D50" s="37" t="s">
        <v>225</v>
      </c>
      <c r="E50" s="37" t="s">
        <v>254</v>
      </c>
      <c r="F50" s="37" t="s">
        <v>178</v>
      </c>
      <c r="G50" s="39" t="n">
        <v>0.16666667</v>
      </c>
      <c r="H50" s="37" t="s">
        <v>227</v>
      </c>
      <c r="I50" s="37" t="s">
        <v>228</v>
      </c>
      <c r="J50" s="37" t="s">
        <v>255</v>
      </c>
      <c r="K50" s="37" t="s">
        <v>230</v>
      </c>
      <c r="L50" s="37" t="n">
        <v>0</v>
      </c>
      <c r="M50" s="37" t="s">
        <v>175</v>
      </c>
    </row>
    <row r="51" customFormat="false" ht="42" hidden="false" customHeight="true" outlineLevel="0" collapsed="false">
      <c r="A51" s="37" t="s">
        <v>27</v>
      </c>
      <c r="B51" s="37" t="s">
        <v>201</v>
      </c>
      <c r="C51" s="38" t="n">
        <v>1</v>
      </c>
      <c r="D51" s="37" t="s">
        <v>249</v>
      </c>
      <c r="E51" s="37" t="s">
        <v>30</v>
      </c>
      <c r="F51" s="37" t="s">
        <v>170</v>
      </c>
      <c r="G51" s="39" t="n">
        <v>0.3548745</v>
      </c>
      <c r="H51" s="37" t="s">
        <v>250</v>
      </c>
      <c r="I51" s="37" t="s">
        <v>251</v>
      </c>
      <c r="J51" s="37" t="s">
        <v>252</v>
      </c>
      <c r="K51" s="37" t="s">
        <v>253</v>
      </c>
      <c r="L51" s="37" t="n">
        <v>3</v>
      </c>
      <c r="M51" s="37" t="s">
        <v>207</v>
      </c>
    </row>
    <row r="52" customFormat="false" ht="42" hidden="false" customHeight="true" outlineLevel="0" collapsed="false">
      <c r="A52" s="37" t="s">
        <v>27</v>
      </c>
      <c r="B52" s="37" t="s">
        <v>201</v>
      </c>
      <c r="C52" s="38" t="n">
        <v>2</v>
      </c>
      <c r="D52" s="37" t="s">
        <v>220</v>
      </c>
      <c r="E52" s="37" t="s">
        <v>48</v>
      </c>
      <c r="F52" s="37" t="s">
        <v>178</v>
      </c>
      <c r="G52" s="39" t="n">
        <v>0.25921744</v>
      </c>
      <c r="H52" s="37" t="s">
        <v>221</v>
      </c>
      <c r="I52" s="37" t="s">
        <v>222</v>
      </c>
      <c r="J52" s="37" t="s">
        <v>223</v>
      </c>
      <c r="K52" s="37" t="s">
        <v>224</v>
      </c>
      <c r="L52" s="37" t="n">
        <v>0</v>
      </c>
      <c r="M52" s="37" t="s">
        <v>175</v>
      </c>
    </row>
    <row r="53" customFormat="false" ht="42" hidden="false" customHeight="true" outlineLevel="0" collapsed="false">
      <c r="A53" s="37" t="s">
        <v>27</v>
      </c>
      <c r="B53" s="37" t="s">
        <v>201</v>
      </c>
      <c r="C53" s="38" t="n">
        <v>3</v>
      </c>
      <c r="D53" s="37" t="s">
        <v>237</v>
      </c>
      <c r="E53" s="37" t="s">
        <v>238</v>
      </c>
      <c r="F53" s="37" t="s">
        <v>197</v>
      </c>
      <c r="G53" s="39" t="n">
        <v>0.25445507</v>
      </c>
      <c r="H53" s="37" t="s">
        <v>239</v>
      </c>
      <c r="I53" s="37" t="s">
        <v>240</v>
      </c>
      <c r="J53" s="37" t="s">
        <v>241</v>
      </c>
      <c r="K53" s="37" t="s">
        <v>230</v>
      </c>
      <c r="L53" s="37" t="n">
        <v>0</v>
      </c>
      <c r="M53" s="37" t="s">
        <v>175</v>
      </c>
    </row>
    <row r="54" customFormat="false" ht="42" hidden="false" customHeight="true" outlineLevel="0" collapsed="false">
      <c r="A54" s="37" t="s">
        <v>27</v>
      </c>
      <c r="B54" s="37" t="s">
        <v>201</v>
      </c>
      <c r="C54" s="38" t="n">
        <v>4</v>
      </c>
      <c r="D54" s="37" t="s">
        <v>225</v>
      </c>
      <c r="E54" s="37" t="s">
        <v>254</v>
      </c>
      <c r="F54" s="37" t="s">
        <v>178</v>
      </c>
      <c r="G54" s="39" t="n">
        <v>0.24988863</v>
      </c>
      <c r="H54" s="37" t="s">
        <v>227</v>
      </c>
      <c r="I54" s="37" t="s">
        <v>228</v>
      </c>
      <c r="J54" s="37" t="s">
        <v>255</v>
      </c>
      <c r="K54" s="37" t="s">
        <v>230</v>
      </c>
      <c r="L54" s="37" t="n">
        <v>0</v>
      </c>
      <c r="M54" s="37" t="s">
        <v>175</v>
      </c>
    </row>
    <row r="55" customFormat="false" ht="42" hidden="false" customHeight="true" outlineLevel="0" collapsed="false">
      <c r="A55" s="37" t="s">
        <v>27</v>
      </c>
      <c r="B55" s="37" t="s">
        <v>201</v>
      </c>
      <c r="C55" s="38" t="n">
        <v>5</v>
      </c>
      <c r="D55" s="37" t="s">
        <v>242</v>
      </c>
      <c r="E55" s="37" t="s">
        <v>243</v>
      </c>
      <c r="F55" s="37" t="s">
        <v>244</v>
      </c>
      <c r="G55" s="39" t="n">
        <v>0.24897005</v>
      </c>
      <c r="H55" s="37" t="s">
        <v>245</v>
      </c>
      <c r="I55" s="37" t="s">
        <v>246</v>
      </c>
      <c r="J55" s="37" t="s">
        <v>247</v>
      </c>
      <c r="K55" s="37" t="s">
        <v>248</v>
      </c>
      <c r="L55" s="37" t="n">
        <v>0</v>
      </c>
      <c r="M55" s="37" t="s">
        <v>175</v>
      </c>
    </row>
    <row r="56" customFormat="false" ht="42" hidden="false" customHeight="true" outlineLevel="0" collapsed="false">
      <c r="A56" s="37" t="s">
        <v>27</v>
      </c>
      <c r="B56" s="37" t="s">
        <v>212</v>
      </c>
      <c r="C56" s="38" t="n">
        <v>1</v>
      </c>
      <c r="D56" s="37" t="s">
        <v>249</v>
      </c>
      <c r="E56" s="37" t="s">
        <v>30</v>
      </c>
      <c r="F56" s="37" t="s">
        <v>170</v>
      </c>
      <c r="G56" s="39" t="n">
        <v>0.03285034</v>
      </c>
      <c r="H56" s="37" t="s">
        <v>250</v>
      </c>
      <c r="I56" s="37" t="s">
        <v>251</v>
      </c>
      <c r="J56" s="37" t="s">
        <v>252</v>
      </c>
      <c r="K56" s="37" t="s">
        <v>253</v>
      </c>
      <c r="L56" s="37" t="n">
        <v>3</v>
      </c>
      <c r="M56" s="37" t="s">
        <v>207</v>
      </c>
    </row>
    <row r="57" customFormat="false" ht="42" hidden="false" customHeight="true" outlineLevel="0" collapsed="false">
      <c r="A57" s="37" t="s">
        <v>27</v>
      </c>
      <c r="B57" s="37" t="s">
        <v>212</v>
      </c>
      <c r="C57" s="38" t="n">
        <v>2</v>
      </c>
      <c r="D57" s="37" t="s">
        <v>220</v>
      </c>
      <c r="E57" s="37" t="s">
        <v>48</v>
      </c>
      <c r="F57" s="37" t="s">
        <v>178</v>
      </c>
      <c r="G57" s="39" t="n">
        <v>0.03284506</v>
      </c>
      <c r="H57" s="37" t="s">
        <v>221</v>
      </c>
      <c r="I57" s="37" t="s">
        <v>222</v>
      </c>
      <c r="J57" s="37" t="s">
        <v>223</v>
      </c>
      <c r="K57" s="37" t="s">
        <v>224</v>
      </c>
      <c r="L57" s="37" t="n">
        <v>0</v>
      </c>
      <c r="M57" s="37" t="s">
        <v>175</v>
      </c>
    </row>
    <row r="58" customFormat="false" ht="42" hidden="false" customHeight="true" outlineLevel="0" collapsed="false">
      <c r="A58" s="37" t="s">
        <v>27</v>
      </c>
      <c r="B58" s="37" t="s">
        <v>212</v>
      </c>
      <c r="C58" s="38" t="n">
        <v>3</v>
      </c>
      <c r="D58" s="37" t="s">
        <v>237</v>
      </c>
      <c r="E58" s="37" t="s">
        <v>238</v>
      </c>
      <c r="F58" s="37" t="s">
        <v>197</v>
      </c>
      <c r="G58" s="39" t="n">
        <v>0.03206349</v>
      </c>
      <c r="H58" s="37" t="s">
        <v>239</v>
      </c>
      <c r="I58" s="37" t="s">
        <v>240</v>
      </c>
      <c r="J58" s="37" t="s">
        <v>241</v>
      </c>
      <c r="K58" s="37" t="s">
        <v>230</v>
      </c>
      <c r="L58" s="37" t="n">
        <v>0</v>
      </c>
      <c r="M58" s="37" t="s">
        <v>175</v>
      </c>
    </row>
    <row r="59" customFormat="false" ht="42" hidden="false" customHeight="true" outlineLevel="0" collapsed="false">
      <c r="A59" s="37" t="s">
        <v>27</v>
      </c>
      <c r="B59" s="37" t="s">
        <v>212</v>
      </c>
      <c r="C59" s="38" t="n">
        <v>4</v>
      </c>
      <c r="D59" s="37" t="s">
        <v>225</v>
      </c>
      <c r="E59" s="37" t="s">
        <v>254</v>
      </c>
      <c r="F59" s="37" t="s">
        <v>178</v>
      </c>
      <c r="G59" s="39" t="n">
        <v>0.03132212</v>
      </c>
      <c r="H59" s="37" t="s">
        <v>227</v>
      </c>
      <c r="I59" s="37" t="s">
        <v>228</v>
      </c>
      <c r="J59" s="37" t="s">
        <v>255</v>
      </c>
      <c r="K59" s="37" t="s">
        <v>230</v>
      </c>
      <c r="L59" s="37" t="n">
        <v>0</v>
      </c>
      <c r="M59" s="37" t="s">
        <v>175</v>
      </c>
    </row>
    <row r="60" customFormat="false" ht="42" hidden="false" customHeight="true" outlineLevel="0" collapsed="false">
      <c r="A60" s="37" t="s">
        <v>27</v>
      </c>
      <c r="B60" s="37" t="s">
        <v>212</v>
      </c>
      <c r="C60" s="38" t="n">
        <v>5</v>
      </c>
      <c r="D60" s="37" t="s">
        <v>242</v>
      </c>
      <c r="E60" s="37" t="s">
        <v>243</v>
      </c>
      <c r="F60" s="37" t="s">
        <v>244</v>
      </c>
      <c r="G60" s="39" t="n">
        <v>0.03131731</v>
      </c>
      <c r="H60" s="37" t="s">
        <v>245</v>
      </c>
      <c r="I60" s="37" t="s">
        <v>246</v>
      </c>
      <c r="J60" s="37" t="s">
        <v>247</v>
      </c>
      <c r="K60" s="37" t="s">
        <v>248</v>
      </c>
      <c r="L60" s="37" t="n">
        <v>0</v>
      </c>
      <c r="M60" s="37" t="s">
        <v>175</v>
      </c>
    </row>
    <row r="61" customFormat="false" ht="42" hidden="false" customHeight="true" outlineLevel="0" collapsed="false">
      <c r="A61" s="37" t="s">
        <v>27</v>
      </c>
      <c r="B61" s="37" t="s">
        <v>219</v>
      </c>
      <c r="C61" s="38" t="n">
        <v>1</v>
      </c>
      <c r="D61" s="37" t="s">
        <v>220</v>
      </c>
      <c r="E61" s="37" t="s">
        <v>48</v>
      </c>
      <c r="F61" s="37" t="s">
        <v>178</v>
      </c>
      <c r="G61" s="39" t="n">
        <v>0.35985352</v>
      </c>
      <c r="H61" s="37" t="s">
        <v>221</v>
      </c>
      <c r="I61" s="37" t="s">
        <v>222</v>
      </c>
      <c r="J61" s="37" t="s">
        <v>223</v>
      </c>
      <c r="K61" s="37" t="s">
        <v>224</v>
      </c>
      <c r="L61" s="37" t="n">
        <v>0</v>
      </c>
      <c r="M61" s="37" t="s">
        <v>175</v>
      </c>
    </row>
    <row r="62" customFormat="false" ht="42" hidden="false" customHeight="true" outlineLevel="0" collapsed="false">
      <c r="A62" s="37" t="s">
        <v>27</v>
      </c>
      <c r="B62" s="37" t="s">
        <v>219</v>
      </c>
      <c r="C62" s="38" t="n">
        <v>2</v>
      </c>
      <c r="D62" s="37" t="s">
        <v>249</v>
      </c>
      <c r="E62" s="37" t="s">
        <v>30</v>
      </c>
      <c r="F62" s="37" t="s">
        <v>170</v>
      </c>
      <c r="G62" s="39" t="n">
        <v>0.24318844</v>
      </c>
      <c r="H62" s="37" t="s">
        <v>250</v>
      </c>
      <c r="I62" s="37" t="s">
        <v>251</v>
      </c>
      <c r="J62" s="37" t="s">
        <v>252</v>
      </c>
      <c r="K62" s="37" t="s">
        <v>253</v>
      </c>
      <c r="L62" s="37" t="n">
        <v>3</v>
      </c>
      <c r="M62" s="37" t="s">
        <v>207</v>
      </c>
    </row>
    <row r="63" customFormat="false" ht="42" hidden="false" customHeight="true" outlineLevel="0" collapsed="false">
      <c r="A63" s="37" t="s">
        <v>27</v>
      </c>
      <c r="B63" s="37" t="s">
        <v>219</v>
      </c>
      <c r="C63" s="38" t="n">
        <v>3</v>
      </c>
      <c r="D63" s="37" t="s">
        <v>237</v>
      </c>
      <c r="E63" s="37" t="s">
        <v>238</v>
      </c>
      <c r="F63" s="37" t="s">
        <v>197</v>
      </c>
      <c r="G63" s="39" t="n">
        <v>0.24295238</v>
      </c>
      <c r="H63" s="37" t="s">
        <v>239</v>
      </c>
      <c r="I63" s="37" t="s">
        <v>240</v>
      </c>
      <c r="J63" s="37" t="s">
        <v>241</v>
      </c>
      <c r="K63" s="37" t="s">
        <v>230</v>
      </c>
      <c r="L63" s="37" t="n">
        <v>0</v>
      </c>
      <c r="M63" s="37" t="s">
        <v>175</v>
      </c>
    </row>
    <row r="64" customFormat="false" ht="42" hidden="false" customHeight="true" outlineLevel="0" collapsed="false">
      <c r="A64" s="37" t="s">
        <v>27</v>
      </c>
      <c r="B64" s="37" t="s">
        <v>219</v>
      </c>
      <c r="C64" s="38" t="n">
        <v>4</v>
      </c>
      <c r="D64" s="37" t="s">
        <v>242</v>
      </c>
      <c r="E64" s="37" t="s">
        <v>243</v>
      </c>
      <c r="F64" s="37" t="s">
        <v>244</v>
      </c>
      <c r="G64" s="39" t="n">
        <v>0.24272853</v>
      </c>
      <c r="H64" s="37" t="s">
        <v>245</v>
      </c>
      <c r="I64" s="37" t="s">
        <v>246</v>
      </c>
      <c r="J64" s="37" t="s">
        <v>247</v>
      </c>
      <c r="K64" s="37" t="s">
        <v>248</v>
      </c>
      <c r="L64" s="37" t="n">
        <v>0</v>
      </c>
      <c r="M64" s="37" t="s">
        <v>175</v>
      </c>
    </row>
    <row r="65" customFormat="false" ht="42" hidden="false" customHeight="true" outlineLevel="0" collapsed="false">
      <c r="A65" s="37" t="s">
        <v>27</v>
      </c>
      <c r="B65" s="37" t="s">
        <v>219</v>
      </c>
      <c r="C65" s="38" t="n">
        <v>5</v>
      </c>
      <c r="D65" s="37" t="s">
        <v>225</v>
      </c>
      <c r="E65" s="37" t="s">
        <v>254</v>
      </c>
      <c r="F65" s="37" t="s">
        <v>178</v>
      </c>
      <c r="G65" s="39" t="n">
        <v>0.1260633</v>
      </c>
      <c r="H65" s="37" t="s">
        <v>227</v>
      </c>
      <c r="I65" s="37" t="s">
        <v>228</v>
      </c>
      <c r="J65" s="37" t="s">
        <v>255</v>
      </c>
      <c r="K65" s="37" t="s">
        <v>230</v>
      </c>
      <c r="L65" s="37" t="n">
        <v>0</v>
      </c>
      <c r="M65" s="37" t="s">
        <v>175</v>
      </c>
    </row>
    <row r="66" customFormat="false" ht="42" hidden="false" customHeight="true" outlineLevel="0" collapsed="false">
      <c r="A66" s="37" t="s">
        <v>31</v>
      </c>
      <c r="B66" s="37" t="s">
        <v>167</v>
      </c>
      <c r="C66" s="38" t="n">
        <v>1</v>
      </c>
      <c r="D66" s="37" t="s">
        <v>213</v>
      </c>
      <c r="E66" s="37" t="s">
        <v>214</v>
      </c>
      <c r="F66" s="37" t="s">
        <v>170</v>
      </c>
      <c r="G66" s="39" t="n">
        <v>0.22222222</v>
      </c>
      <c r="H66" s="37" t="s">
        <v>215</v>
      </c>
      <c r="I66" s="37" t="s">
        <v>216</v>
      </c>
      <c r="J66" s="37" t="s">
        <v>217</v>
      </c>
      <c r="K66" s="37" t="s">
        <v>218</v>
      </c>
      <c r="L66" s="37" t="n">
        <v>0</v>
      </c>
      <c r="M66" s="37" t="s">
        <v>175</v>
      </c>
    </row>
    <row r="67" customFormat="false" ht="42" hidden="false" customHeight="true" outlineLevel="0" collapsed="false">
      <c r="A67" s="37" t="s">
        <v>31</v>
      </c>
      <c r="B67" s="37" t="s">
        <v>167</v>
      </c>
      <c r="C67" s="38" t="n">
        <v>2</v>
      </c>
      <c r="D67" s="37" t="s">
        <v>189</v>
      </c>
      <c r="E67" s="37" t="s">
        <v>190</v>
      </c>
      <c r="F67" s="37" t="s">
        <v>170</v>
      </c>
      <c r="G67" s="39" t="n">
        <v>0.22222222</v>
      </c>
      <c r="H67" s="37" t="s">
        <v>191</v>
      </c>
      <c r="I67" s="37" t="s">
        <v>192</v>
      </c>
      <c r="J67" s="37" t="s">
        <v>193</v>
      </c>
      <c r="K67" s="37" t="s">
        <v>194</v>
      </c>
      <c r="L67" s="37" t="n">
        <v>0</v>
      </c>
      <c r="M67" s="37" t="s">
        <v>175</v>
      </c>
    </row>
    <row r="68" customFormat="false" ht="42" hidden="false" customHeight="true" outlineLevel="0" collapsed="false">
      <c r="A68" s="37" t="s">
        <v>31</v>
      </c>
      <c r="B68" s="37" t="s">
        <v>167</v>
      </c>
      <c r="C68" s="38" t="n">
        <v>3</v>
      </c>
      <c r="D68" s="37" t="s">
        <v>256</v>
      </c>
      <c r="E68" s="37" t="s">
        <v>257</v>
      </c>
      <c r="F68" s="37" t="s">
        <v>197</v>
      </c>
      <c r="G68" s="39" t="n">
        <v>0.11111111</v>
      </c>
      <c r="H68" s="37" t="s">
        <v>258</v>
      </c>
      <c r="I68" s="37" t="s">
        <v>259</v>
      </c>
      <c r="J68" s="37" t="s">
        <v>260</v>
      </c>
      <c r="K68" s="37" t="s">
        <v>261</v>
      </c>
      <c r="L68" s="37" t="n">
        <v>0</v>
      </c>
      <c r="M68" s="37" t="s">
        <v>175</v>
      </c>
    </row>
    <row r="69" customFormat="false" ht="42" hidden="false" customHeight="true" outlineLevel="0" collapsed="false">
      <c r="A69" s="37" t="s">
        <v>31</v>
      </c>
      <c r="B69" s="37" t="s">
        <v>167</v>
      </c>
      <c r="C69" s="38" t="n">
        <v>4</v>
      </c>
      <c r="D69" s="37" t="s">
        <v>220</v>
      </c>
      <c r="E69" s="37" t="s">
        <v>262</v>
      </c>
      <c r="F69" s="37" t="s">
        <v>197</v>
      </c>
      <c r="G69" s="39" t="n">
        <v>0.11111111</v>
      </c>
      <c r="H69" s="37" t="s">
        <v>221</v>
      </c>
      <c r="I69" s="37" t="s">
        <v>222</v>
      </c>
      <c r="J69" s="37" t="s">
        <v>263</v>
      </c>
      <c r="K69" s="37" t="s">
        <v>224</v>
      </c>
      <c r="L69" s="37" t="n">
        <v>0</v>
      </c>
      <c r="M69" s="37" t="s">
        <v>175</v>
      </c>
    </row>
    <row r="70" customFormat="false" ht="42" hidden="false" customHeight="true" outlineLevel="0" collapsed="false">
      <c r="A70" s="37" t="s">
        <v>31</v>
      </c>
      <c r="B70" s="37" t="s">
        <v>167</v>
      </c>
      <c r="C70" s="38" t="n">
        <v>5</v>
      </c>
      <c r="D70" s="37" t="s">
        <v>225</v>
      </c>
      <c r="E70" s="37" t="s">
        <v>264</v>
      </c>
      <c r="F70" s="37" t="s">
        <v>265</v>
      </c>
      <c r="G70" s="39" t="n">
        <v>0.11111111</v>
      </c>
      <c r="H70" s="37" t="s">
        <v>227</v>
      </c>
      <c r="I70" s="37" t="s">
        <v>228</v>
      </c>
      <c r="J70" s="37" t="s">
        <v>266</v>
      </c>
      <c r="K70" s="37" t="s">
        <v>230</v>
      </c>
      <c r="L70" s="37" t="n">
        <v>0</v>
      </c>
      <c r="M70" s="37" t="s">
        <v>175</v>
      </c>
    </row>
    <row r="71" customFormat="false" ht="42" hidden="false" customHeight="true" outlineLevel="0" collapsed="false">
      <c r="A71" s="37" t="s">
        <v>31</v>
      </c>
      <c r="B71" s="37" t="s">
        <v>201</v>
      </c>
      <c r="C71" s="38" t="n">
        <v>1</v>
      </c>
      <c r="D71" s="37" t="s">
        <v>220</v>
      </c>
      <c r="E71" s="37" t="s">
        <v>262</v>
      </c>
      <c r="F71" s="37" t="s">
        <v>197</v>
      </c>
      <c r="G71" s="39" t="n">
        <v>0.11914546</v>
      </c>
      <c r="H71" s="37" t="s">
        <v>221</v>
      </c>
      <c r="I71" s="37" t="s">
        <v>222</v>
      </c>
      <c r="J71" s="37" t="s">
        <v>263</v>
      </c>
      <c r="K71" s="37" t="s">
        <v>224</v>
      </c>
      <c r="L71" s="37" t="n">
        <v>0</v>
      </c>
      <c r="M71" s="37" t="s">
        <v>175</v>
      </c>
    </row>
    <row r="72" customFormat="false" ht="42" hidden="false" customHeight="true" outlineLevel="0" collapsed="false">
      <c r="A72" s="37" t="s">
        <v>31</v>
      </c>
      <c r="B72" s="37" t="s">
        <v>201</v>
      </c>
      <c r="C72" s="38" t="n">
        <v>2</v>
      </c>
      <c r="D72" s="37" t="s">
        <v>242</v>
      </c>
      <c r="E72" s="37" t="s">
        <v>267</v>
      </c>
      <c r="F72" s="37" t="s">
        <v>170</v>
      </c>
      <c r="G72" s="39" t="n">
        <v>0.10642469</v>
      </c>
      <c r="H72" s="37" t="s">
        <v>245</v>
      </c>
      <c r="I72" s="37" t="s">
        <v>246</v>
      </c>
      <c r="J72" s="37" t="s">
        <v>268</v>
      </c>
      <c r="K72" s="37" t="s">
        <v>248</v>
      </c>
      <c r="L72" s="37" t="n">
        <v>0</v>
      </c>
      <c r="M72" s="37" t="s">
        <v>175</v>
      </c>
    </row>
    <row r="73" customFormat="false" ht="42" hidden="false" customHeight="true" outlineLevel="0" collapsed="false">
      <c r="A73" s="37" t="s">
        <v>31</v>
      </c>
      <c r="B73" s="37" t="s">
        <v>201</v>
      </c>
      <c r="C73" s="38" t="n">
        <v>3</v>
      </c>
      <c r="D73" s="37" t="s">
        <v>213</v>
      </c>
      <c r="E73" s="37" t="s">
        <v>214</v>
      </c>
      <c r="F73" s="37" t="s">
        <v>170</v>
      </c>
      <c r="G73" s="39" t="n">
        <v>0.10551398</v>
      </c>
      <c r="H73" s="37" t="s">
        <v>215</v>
      </c>
      <c r="I73" s="37" t="s">
        <v>216</v>
      </c>
      <c r="J73" s="37" t="s">
        <v>217</v>
      </c>
      <c r="K73" s="37" t="s">
        <v>218</v>
      </c>
      <c r="L73" s="37" t="n">
        <v>0</v>
      </c>
      <c r="M73" s="37" t="s">
        <v>175</v>
      </c>
    </row>
    <row r="74" customFormat="false" ht="42" hidden="false" customHeight="true" outlineLevel="0" collapsed="false">
      <c r="A74" s="37" t="s">
        <v>31</v>
      </c>
      <c r="B74" s="37" t="s">
        <v>201</v>
      </c>
      <c r="C74" s="38" t="n">
        <v>4</v>
      </c>
      <c r="D74" s="37" t="s">
        <v>269</v>
      </c>
      <c r="E74" s="37" t="s">
        <v>270</v>
      </c>
      <c r="F74" s="37" t="s">
        <v>170</v>
      </c>
      <c r="G74" s="39" t="n">
        <v>0.10188664</v>
      </c>
      <c r="H74" s="37" t="s">
        <v>271</v>
      </c>
      <c r="I74" s="37" t="s">
        <v>272</v>
      </c>
      <c r="J74" s="37" t="s">
        <v>273</v>
      </c>
      <c r="K74" s="37" t="s">
        <v>274</v>
      </c>
      <c r="L74" s="37" t="n">
        <v>0</v>
      </c>
      <c r="M74" s="37" t="s">
        <v>175</v>
      </c>
    </row>
    <row r="75" customFormat="false" ht="42" hidden="false" customHeight="true" outlineLevel="0" collapsed="false">
      <c r="A75" s="37" t="s">
        <v>31</v>
      </c>
      <c r="B75" s="37" t="s">
        <v>201</v>
      </c>
      <c r="C75" s="38" t="n">
        <v>5</v>
      </c>
      <c r="D75" s="37" t="s">
        <v>189</v>
      </c>
      <c r="E75" s="37" t="s">
        <v>190</v>
      </c>
      <c r="F75" s="37" t="s">
        <v>170</v>
      </c>
      <c r="G75" s="39" t="n">
        <v>0.10162674</v>
      </c>
      <c r="H75" s="37" t="s">
        <v>191</v>
      </c>
      <c r="I75" s="37" t="s">
        <v>192</v>
      </c>
      <c r="J75" s="37" t="s">
        <v>193</v>
      </c>
      <c r="K75" s="37" t="s">
        <v>194</v>
      </c>
      <c r="L75" s="37" t="n">
        <v>0</v>
      </c>
      <c r="M75" s="37" t="s">
        <v>175</v>
      </c>
    </row>
    <row r="76" customFormat="false" ht="42" hidden="false" customHeight="true" outlineLevel="0" collapsed="false">
      <c r="A76" s="37" t="s">
        <v>31</v>
      </c>
      <c r="B76" s="37" t="s">
        <v>212</v>
      </c>
      <c r="C76" s="38" t="n">
        <v>1</v>
      </c>
      <c r="D76" s="37" t="s">
        <v>213</v>
      </c>
      <c r="E76" s="37" t="s">
        <v>214</v>
      </c>
      <c r="F76" s="37" t="s">
        <v>170</v>
      </c>
      <c r="G76" s="39" t="n">
        <v>0.03258392</v>
      </c>
      <c r="H76" s="37" t="s">
        <v>215</v>
      </c>
      <c r="I76" s="37" t="s">
        <v>216</v>
      </c>
      <c r="J76" s="37" t="s">
        <v>217</v>
      </c>
      <c r="K76" s="37" t="s">
        <v>218</v>
      </c>
      <c r="L76" s="37" t="n">
        <v>0</v>
      </c>
      <c r="M76" s="37" t="s">
        <v>175</v>
      </c>
    </row>
    <row r="77" customFormat="false" ht="42" hidden="false" customHeight="true" outlineLevel="0" collapsed="false">
      <c r="A77" s="37" t="s">
        <v>31</v>
      </c>
      <c r="B77" s="37" t="s">
        <v>212</v>
      </c>
      <c r="C77" s="38" t="n">
        <v>2</v>
      </c>
      <c r="D77" s="37" t="s">
        <v>220</v>
      </c>
      <c r="E77" s="37" t="s">
        <v>262</v>
      </c>
      <c r="F77" s="37" t="s">
        <v>197</v>
      </c>
      <c r="G77" s="39" t="n">
        <v>0.03234631</v>
      </c>
      <c r="H77" s="37" t="s">
        <v>221</v>
      </c>
      <c r="I77" s="37" t="s">
        <v>222</v>
      </c>
      <c r="J77" s="37" t="s">
        <v>263</v>
      </c>
      <c r="K77" s="37" t="s">
        <v>224</v>
      </c>
      <c r="L77" s="37" t="n">
        <v>0</v>
      </c>
      <c r="M77" s="37" t="s">
        <v>175</v>
      </c>
    </row>
    <row r="78" customFormat="false" ht="42" hidden="false" customHeight="true" outlineLevel="0" collapsed="false">
      <c r="A78" s="37" t="s">
        <v>31</v>
      </c>
      <c r="B78" s="37" t="s">
        <v>212</v>
      </c>
      <c r="C78" s="38" t="n">
        <v>3</v>
      </c>
      <c r="D78" s="37" t="s">
        <v>189</v>
      </c>
      <c r="E78" s="37" t="s">
        <v>190</v>
      </c>
      <c r="F78" s="37" t="s">
        <v>170</v>
      </c>
      <c r="G78" s="39" t="n">
        <v>0.03182134</v>
      </c>
      <c r="H78" s="37" t="s">
        <v>191</v>
      </c>
      <c r="I78" s="37" t="s">
        <v>192</v>
      </c>
      <c r="J78" s="37" t="s">
        <v>193</v>
      </c>
      <c r="K78" s="37" t="s">
        <v>194</v>
      </c>
      <c r="L78" s="37" t="n">
        <v>0</v>
      </c>
      <c r="M78" s="37" t="s">
        <v>175</v>
      </c>
    </row>
    <row r="79" customFormat="false" ht="42" hidden="false" customHeight="true" outlineLevel="0" collapsed="false">
      <c r="A79" s="37" t="s">
        <v>31</v>
      </c>
      <c r="B79" s="37" t="s">
        <v>212</v>
      </c>
      <c r="C79" s="38" t="n">
        <v>4</v>
      </c>
      <c r="D79" s="37" t="s">
        <v>242</v>
      </c>
      <c r="E79" s="37" t="s">
        <v>267</v>
      </c>
      <c r="F79" s="37" t="s">
        <v>170</v>
      </c>
      <c r="G79" s="39" t="n">
        <v>0.0311575</v>
      </c>
      <c r="H79" s="37" t="s">
        <v>245</v>
      </c>
      <c r="I79" s="37" t="s">
        <v>246</v>
      </c>
      <c r="J79" s="37" t="s">
        <v>268</v>
      </c>
      <c r="K79" s="37" t="s">
        <v>248</v>
      </c>
      <c r="L79" s="37" t="n">
        <v>0</v>
      </c>
      <c r="M79" s="37" t="s">
        <v>175</v>
      </c>
    </row>
    <row r="80" customFormat="false" ht="42" hidden="false" customHeight="true" outlineLevel="0" collapsed="false">
      <c r="A80" s="37" t="s">
        <v>31</v>
      </c>
      <c r="B80" s="37" t="s">
        <v>212</v>
      </c>
      <c r="C80" s="38" t="n">
        <v>5</v>
      </c>
      <c r="D80" s="37" t="s">
        <v>269</v>
      </c>
      <c r="E80" s="37" t="s">
        <v>270</v>
      </c>
      <c r="F80" s="37" t="s">
        <v>170</v>
      </c>
      <c r="G80" s="39" t="n">
        <v>0.0159375</v>
      </c>
      <c r="H80" s="37" t="s">
        <v>271</v>
      </c>
      <c r="I80" s="37" t="s">
        <v>272</v>
      </c>
      <c r="J80" s="37" t="s">
        <v>273</v>
      </c>
      <c r="K80" s="37" t="s">
        <v>274</v>
      </c>
      <c r="L80" s="37" t="n">
        <v>0</v>
      </c>
      <c r="M80" s="37" t="s">
        <v>175</v>
      </c>
    </row>
    <row r="81" customFormat="false" ht="42" hidden="false" customHeight="true" outlineLevel="0" collapsed="false">
      <c r="A81" s="37" t="s">
        <v>31</v>
      </c>
      <c r="B81" s="37" t="s">
        <v>219</v>
      </c>
      <c r="C81" s="38" t="n">
        <v>1</v>
      </c>
      <c r="D81" s="37" t="s">
        <v>213</v>
      </c>
      <c r="E81" s="37" t="s">
        <v>214</v>
      </c>
      <c r="F81" s="37" t="s">
        <v>170</v>
      </c>
      <c r="G81" s="39" t="n">
        <v>0.16533073</v>
      </c>
      <c r="H81" s="37" t="s">
        <v>215</v>
      </c>
      <c r="I81" s="37" t="s">
        <v>216</v>
      </c>
      <c r="J81" s="37" t="s">
        <v>217</v>
      </c>
      <c r="K81" s="37" t="s">
        <v>218</v>
      </c>
      <c r="L81" s="37" t="n">
        <v>0</v>
      </c>
      <c r="M81" s="37" t="s">
        <v>175</v>
      </c>
    </row>
    <row r="82" customFormat="false" ht="42" hidden="false" customHeight="true" outlineLevel="0" collapsed="false">
      <c r="A82" s="37" t="s">
        <v>31</v>
      </c>
      <c r="B82" s="37" t="s">
        <v>219</v>
      </c>
      <c r="C82" s="38" t="n">
        <v>2</v>
      </c>
      <c r="D82" s="37" t="s">
        <v>189</v>
      </c>
      <c r="E82" s="37" t="s">
        <v>190</v>
      </c>
      <c r="F82" s="37" t="s">
        <v>170</v>
      </c>
      <c r="G82" s="39" t="n">
        <v>0.16510196</v>
      </c>
      <c r="H82" s="37" t="s">
        <v>191</v>
      </c>
      <c r="I82" s="37" t="s">
        <v>192</v>
      </c>
      <c r="J82" s="37" t="s">
        <v>193</v>
      </c>
      <c r="K82" s="37" t="s">
        <v>194</v>
      </c>
      <c r="L82" s="37" t="n">
        <v>0</v>
      </c>
      <c r="M82" s="37" t="s">
        <v>175</v>
      </c>
    </row>
    <row r="83" customFormat="false" ht="42" hidden="false" customHeight="true" outlineLevel="0" collapsed="false">
      <c r="A83" s="37" t="s">
        <v>31</v>
      </c>
      <c r="B83" s="37" t="s">
        <v>219</v>
      </c>
      <c r="C83" s="38" t="n">
        <v>3</v>
      </c>
      <c r="D83" s="37" t="s">
        <v>220</v>
      </c>
      <c r="E83" s="37" t="s">
        <v>262</v>
      </c>
      <c r="F83" s="37" t="s">
        <v>197</v>
      </c>
      <c r="G83" s="39" t="n">
        <v>0.08748167</v>
      </c>
      <c r="H83" s="37" t="s">
        <v>221</v>
      </c>
      <c r="I83" s="37" t="s">
        <v>222</v>
      </c>
      <c r="J83" s="37" t="s">
        <v>263</v>
      </c>
      <c r="K83" s="37" t="s">
        <v>224</v>
      </c>
      <c r="L83" s="37" t="n">
        <v>0</v>
      </c>
      <c r="M83" s="37" t="s">
        <v>175</v>
      </c>
    </row>
    <row r="84" customFormat="false" ht="42" hidden="false" customHeight="true" outlineLevel="0" collapsed="false">
      <c r="A84" s="37" t="s">
        <v>31</v>
      </c>
      <c r="B84" s="37" t="s">
        <v>219</v>
      </c>
      <c r="C84" s="38" t="n">
        <v>4</v>
      </c>
      <c r="D84" s="37" t="s">
        <v>242</v>
      </c>
      <c r="E84" s="37" t="s">
        <v>267</v>
      </c>
      <c r="F84" s="37" t="s">
        <v>170</v>
      </c>
      <c r="G84" s="39" t="n">
        <v>0.08712503</v>
      </c>
      <c r="H84" s="37" t="s">
        <v>245</v>
      </c>
      <c r="I84" s="37" t="s">
        <v>246</v>
      </c>
      <c r="J84" s="37" t="s">
        <v>268</v>
      </c>
      <c r="K84" s="37" t="s">
        <v>248</v>
      </c>
      <c r="L84" s="37" t="n">
        <v>0</v>
      </c>
      <c r="M84" s="37" t="s">
        <v>175</v>
      </c>
    </row>
    <row r="85" customFormat="false" ht="42" hidden="false" customHeight="true" outlineLevel="0" collapsed="false">
      <c r="A85" s="37" t="s">
        <v>31</v>
      </c>
      <c r="B85" s="37" t="s">
        <v>219</v>
      </c>
      <c r="C85" s="38" t="n">
        <v>5</v>
      </c>
      <c r="D85" s="37" t="s">
        <v>256</v>
      </c>
      <c r="E85" s="37" t="s">
        <v>257</v>
      </c>
      <c r="F85" s="37" t="s">
        <v>197</v>
      </c>
      <c r="G85" s="39" t="n">
        <v>0.08253968</v>
      </c>
      <c r="H85" s="37" t="s">
        <v>258</v>
      </c>
      <c r="I85" s="37" t="s">
        <v>259</v>
      </c>
      <c r="J85" s="37" t="s">
        <v>260</v>
      </c>
      <c r="K85" s="37" t="s">
        <v>261</v>
      </c>
      <c r="L85" s="37" t="n">
        <v>0</v>
      </c>
      <c r="M85" s="37" t="s">
        <v>175</v>
      </c>
    </row>
    <row r="86" customFormat="false" ht="42" hidden="false" customHeight="true" outlineLevel="0" collapsed="false">
      <c r="A86" s="37" t="s">
        <v>34</v>
      </c>
      <c r="B86" s="37" t="s">
        <v>167</v>
      </c>
      <c r="C86" s="38" t="n">
        <v>1</v>
      </c>
      <c r="D86" s="37" t="s">
        <v>220</v>
      </c>
      <c r="E86" s="37" t="s">
        <v>275</v>
      </c>
      <c r="F86" s="37" t="s">
        <v>276</v>
      </c>
      <c r="G86" s="39" t="n">
        <v>0.77777778</v>
      </c>
      <c r="H86" s="37" t="s">
        <v>221</v>
      </c>
      <c r="I86" s="37" t="s">
        <v>222</v>
      </c>
      <c r="J86" s="37" t="s">
        <v>277</v>
      </c>
      <c r="K86" s="37" t="s">
        <v>224</v>
      </c>
      <c r="L86" s="37" t="n">
        <v>0</v>
      </c>
      <c r="M86" s="37" t="s">
        <v>175</v>
      </c>
    </row>
    <row r="87" customFormat="false" ht="42" hidden="false" customHeight="true" outlineLevel="0" collapsed="false">
      <c r="A87" s="37" t="s">
        <v>34</v>
      </c>
      <c r="B87" s="37" t="s">
        <v>167</v>
      </c>
      <c r="C87" s="38" t="n">
        <v>2</v>
      </c>
      <c r="D87" s="37" t="s">
        <v>237</v>
      </c>
      <c r="E87" s="37" t="s">
        <v>238</v>
      </c>
      <c r="F87" s="37" t="s">
        <v>197</v>
      </c>
      <c r="G87" s="39" t="n">
        <v>0.44444444</v>
      </c>
      <c r="H87" s="37" t="s">
        <v>239</v>
      </c>
      <c r="I87" s="37" t="s">
        <v>240</v>
      </c>
      <c r="J87" s="37" t="s">
        <v>241</v>
      </c>
      <c r="K87" s="37" t="s">
        <v>230</v>
      </c>
      <c r="L87" s="37" t="n">
        <v>0</v>
      </c>
      <c r="M87" s="37" t="s">
        <v>175</v>
      </c>
    </row>
    <row r="88" customFormat="false" ht="42" hidden="false" customHeight="true" outlineLevel="0" collapsed="false">
      <c r="A88" s="37" t="s">
        <v>34</v>
      </c>
      <c r="B88" s="37" t="s">
        <v>167</v>
      </c>
      <c r="C88" s="38" t="n">
        <v>3</v>
      </c>
      <c r="D88" s="37" t="s">
        <v>278</v>
      </c>
      <c r="E88" s="37" t="s">
        <v>279</v>
      </c>
      <c r="F88" s="37" t="s">
        <v>244</v>
      </c>
      <c r="G88" s="39" t="n">
        <v>0.44444444</v>
      </c>
      <c r="H88" s="37" t="s">
        <v>280</v>
      </c>
      <c r="I88" s="37" t="s">
        <v>281</v>
      </c>
      <c r="J88" s="37" t="s">
        <v>282</v>
      </c>
      <c r="K88" s="37" t="s">
        <v>283</v>
      </c>
      <c r="L88" s="37" t="n">
        <v>0</v>
      </c>
      <c r="M88" s="37" t="s">
        <v>175</v>
      </c>
    </row>
    <row r="89" customFormat="false" ht="42" hidden="false" customHeight="true" outlineLevel="0" collapsed="false">
      <c r="A89" s="37" t="s">
        <v>34</v>
      </c>
      <c r="B89" s="37" t="s">
        <v>167</v>
      </c>
      <c r="C89" s="38" t="n">
        <v>4</v>
      </c>
      <c r="D89" s="37" t="s">
        <v>176</v>
      </c>
      <c r="E89" s="37" t="s">
        <v>177</v>
      </c>
      <c r="F89" s="37" t="s">
        <v>178</v>
      </c>
      <c r="G89" s="39" t="n">
        <v>0.33333333</v>
      </c>
      <c r="H89" s="37" t="s">
        <v>179</v>
      </c>
      <c r="I89" s="37" t="s">
        <v>180</v>
      </c>
      <c r="J89" s="37" t="s">
        <v>181</v>
      </c>
      <c r="K89" s="37" t="s">
        <v>182</v>
      </c>
      <c r="L89" s="37" t="n">
        <v>0</v>
      </c>
      <c r="M89" s="37" t="s">
        <v>175</v>
      </c>
    </row>
    <row r="90" customFormat="false" ht="42" hidden="false" customHeight="true" outlineLevel="0" collapsed="false">
      <c r="A90" s="37" t="s">
        <v>34</v>
      </c>
      <c r="B90" s="37" t="s">
        <v>167</v>
      </c>
      <c r="C90" s="38" t="n">
        <v>5</v>
      </c>
      <c r="D90" s="37" t="s">
        <v>256</v>
      </c>
      <c r="E90" s="37" t="s">
        <v>284</v>
      </c>
      <c r="F90" s="37" t="s">
        <v>244</v>
      </c>
      <c r="G90" s="39" t="n">
        <v>0.33333333</v>
      </c>
      <c r="H90" s="37" t="s">
        <v>258</v>
      </c>
      <c r="I90" s="37" t="s">
        <v>259</v>
      </c>
      <c r="J90" s="37" t="s">
        <v>285</v>
      </c>
      <c r="K90" s="37" t="s">
        <v>261</v>
      </c>
      <c r="L90" s="37" t="n">
        <v>0</v>
      </c>
      <c r="M90" s="37" t="s">
        <v>175</v>
      </c>
    </row>
    <row r="91" customFormat="false" ht="42" hidden="false" customHeight="true" outlineLevel="0" collapsed="false">
      <c r="A91" s="37" t="s">
        <v>34</v>
      </c>
      <c r="B91" s="37" t="s">
        <v>201</v>
      </c>
      <c r="C91" s="38" t="n">
        <v>1</v>
      </c>
      <c r="D91" s="37" t="s">
        <v>220</v>
      </c>
      <c r="E91" s="37" t="s">
        <v>275</v>
      </c>
      <c r="F91" s="37" t="s">
        <v>276</v>
      </c>
      <c r="G91" s="39" t="n">
        <v>0.30399575</v>
      </c>
      <c r="H91" s="37" t="s">
        <v>221</v>
      </c>
      <c r="I91" s="37" t="s">
        <v>222</v>
      </c>
      <c r="J91" s="37" t="s">
        <v>277</v>
      </c>
      <c r="K91" s="37" t="s">
        <v>224</v>
      </c>
      <c r="L91" s="37" t="n">
        <v>0</v>
      </c>
      <c r="M91" s="37" t="s">
        <v>175</v>
      </c>
    </row>
    <row r="92" customFormat="false" ht="42" hidden="false" customHeight="true" outlineLevel="0" collapsed="false">
      <c r="A92" s="37" t="s">
        <v>34</v>
      </c>
      <c r="B92" s="37" t="s">
        <v>201</v>
      </c>
      <c r="C92" s="38" t="n">
        <v>2</v>
      </c>
      <c r="D92" s="37" t="s">
        <v>189</v>
      </c>
      <c r="E92" s="37" t="s">
        <v>286</v>
      </c>
      <c r="F92" s="37" t="s">
        <v>178</v>
      </c>
      <c r="G92" s="39" t="n">
        <v>0.18333954</v>
      </c>
      <c r="H92" s="37" t="s">
        <v>191</v>
      </c>
      <c r="I92" s="37" t="s">
        <v>192</v>
      </c>
      <c r="J92" s="37" t="s">
        <v>287</v>
      </c>
      <c r="K92" s="37" t="s">
        <v>194</v>
      </c>
      <c r="L92" s="37" t="n">
        <v>0</v>
      </c>
      <c r="M92" s="37" t="s">
        <v>175</v>
      </c>
    </row>
    <row r="93" customFormat="false" ht="42" hidden="false" customHeight="true" outlineLevel="0" collapsed="false">
      <c r="A93" s="37" t="s">
        <v>34</v>
      </c>
      <c r="B93" s="37" t="s">
        <v>201</v>
      </c>
      <c r="C93" s="38" t="n">
        <v>3</v>
      </c>
      <c r="D93" s="37" t="s">
        <v>249</v>
      </c>
      <c r="E93" s="37" t="s">
        <v>288</v>
      </c>
      <c r="F93" s="37" t="s">
        <v>178</v>
      </c>
      <c r="G93" s="39" t="n">
        <v>0.1741363</v>
      </c>
      <c r="H93" s="37" t="s">
        <v>250</v>
      </c>
      <c r="I93" s="37" t="s">
        <v>251</v>
      </c>
      <c r="J93" s="37" t="s">
        <v>289</v>
      </c>
      <c r="K93" s="37" t="s">
        <v>253</v>
      </c>
      <c r="L93" s="37" t="n">
        <v>3</v>
      </c>
      <c r="M93" s="37" t="s">
        <v>207</v>
      </c>
    </row>
    <row r="94" customFormat="false" ht="42" hidden="false" customHeight="true" outlineLevel="0" collapsed="false">
      <c r="A94" s="37" t="s">
        <v>34</v>
      </c>
      <c r="B94" s="37" t="s">
        <v>201</v>
      </c>
      <c r="C94" s="38" t="n">
        <v>4</v>
      </c>
      <c r="D94" s="37" t="s">
        <v>168</v>
      </c>
      <c r="E94" s="37" t="s">
        <v>290</v>
      </c>
      <c r="F94" s="37" t="s">
        <v>178</v>
      </c>
      <c r="G94" s="39" t="n">
        <v>0.17375949</v>
      </c>
      <c r="H94" s="37" t="s">
        <v>171</v>
      </c>
      <c r="I94" s="37" t="s">
        <v>172</v>
      </c>
      <c r="J94" s="37" t="s">
        <v>291</v>
      </c>
      <c r="K94" s="37" t="s">
        <v>174</v>
      </c>
      <c r="L94" s="37" t="n">
        <v>0</v>
      </c>
      <c r="M94" s="37" t="s">
        <v>175</v>
      </c>
    </row>
    <row r="95" customFormat="false" ht="42" hidden="false" customHeight="true" outlineLevel="0" collapsed="false">
      <c r="A95" s="37" t="s">
        <v>34</v>
      </c>
      <c r="B95" s="37" t="s">
        <v>201</v>
      </c>
      <c r="C95" s="38" t="n">
        <v>5</v>
      </c>
      <c r="D95" s="37" t="s">
        <v>242</v>
      </c>
      <c r="E95" s="37" t="s">
        <v>267</v>
      </c>
      <c r="F95" s="37" t="s">
        <v>170</v>
      </c>
      <c r="G95" s="39" t="n">
        <v>0.15183882</v>
      </c>
      <c r="H95" s="37" t="s">
        <v>245</v>
      </c>
      <c r="I95" s="37" t="s">
        <v>246</v>
      </c>
      <c r="J95" s="37" t="s">
        <v>268</v>
      </c>
      <c r="K95" s="37" t="s">
        <v>248</v>
      </c>
      <c r="L95" s="37" t="n">
        <v>0</v>
      </c>
      <c r="M95" s="37" t="s">
        <v>175</v>
      </c>
    </row>
    <row r="96" customFormat="false" ht="42" hidden="false" customHeight="true" outlineLevel="0" collapsed="false">
      <c r="A96" s="37" t="s">
        <v>34</v>
      </c>
      <c r="B96" s="37" t="s">
        <v>212</v>
      </c>
      <c r="C96" s="38" t="n">
        <v>1</v>
      </c>
      <c r="D96" s="37" t="s">
        <v>220</v>
      </c>
      <c r="E96" s="37" t="s">
        <v>275</v>
      </c>
      <c r="F96" s="37" t="s">
        <v>276</v>
      </c>
      <c r="G96" s="39" t="n">
        <v>0.03311475</v>
      </c>
      <c r="H96" s="37" t="s">
        <v>221</v>
      </c>
      <c r="I96" s="37" t="s">
        <v>222</v>
      </c>
      <c r="J96" s="37" t="s">
        <v>277</v>
      </c>
      <c r="K96" s="37" t="s">
        <v>224</v>
      </c>
      <c r="L96" s="37" t="n">
        <v>0</v>
      </c>
      <c r="M96" s="37" t="s">
        <v>175</v>
      </c>
    </row>
    <row r="97" customFormat="false" ht="42" hidden="false" customHeight="true" outlineLevel="0" collapsed="false">
      <c r="A97" s="37" t="s">
        <v>34</v>
      </c>
      <c r="B97" s="37" t="s">
        <v>212</v>
      </c>
      <c r="C97" s="38" t="n">
        <v>2</v>
      </c>
      <c r="D97" s="37" t="s">
        <v>189</v>
      </c>
      <c r="E97" s="37" t="s">
        <v>286</v>
      </c>
      <c r="F97" s="37" t="s">
        <v>178</v>
      </c>
      <c r="G97" s="39" t="n">
        <v>0.0311575</v>
      </c>
      <c r="H97" s="37" t="s">
        <v>191</v>
      </c>
      <c r="I97" s="37" t="s">
        <v>192</v>
      </c>
      <c r="J97" s="37" t="s">
        <v>287</v>
      </c>
      <c r="K97" s="37" t="s">
        <v>194</v>
      </c>
      <c r="L97" s="37" t="n">
        <v>0</v>
      </c>
      <c r="M97" s="37" t="s">
        <v>175</v>
      </c>
    </row>
    <row r="98" customFormat="false" ht="42" hidden="false" customHeight="true" outlineLevel="0" collapsed="false">
      <c r="A98" s="37" t="s">
        <v>34</v>
      </c>
      <c r="B98" s="37" t="s">
        <v>212</v>
      </c>
      <c r="C98" s="38" t="n">
        <v>3</v>
      </c>
      <c r="D98" s="37" t="s">
        <v>168</v>
      </c>
      <c r="E98" s="37" t="s">
        <v>290</v>
      </c>
      <c r="F98" s="37" t="s">
        <v>178</v>
      </c>
      <c r="G98" s="39" t="n">
        <v>0.03108902</v>
      </c>
      <c r="H98" s="37" t="s">
        <v>171</v>
      </c>
      <c r="I98" s="37" t="s">
        <v>172</v>
      </c>
      <c r="J98" s="37" t="s">
        <v>291</v>
      </c>
      <c r="K98" s="37" t="s">
        <v>174</v>
      </c>
      <c r="L98" s="37" t="n">
        <v>0</v>
      </c>
      <c r="M98" s="37" t="s">
        <v>175</v>
      </c>
    </row>
    <row r="99" customFormat="false" ht="42" hidden="false" customHeight="true" outlineLevel="0" collapsed="false">
      <c r="A99" s="37" t="s">
        <v>34</v>
      </c>
      <c r="B99" s="37" t="s">
        <v>212</v>
      </c>
      <c r="C99" s="38" t="n">
        <v>4</v>
      </c>
      <c r="D99" s="37" t="s">
        <v>249</v>
      </c>
      <c r="E99" s="37" t="s">
        <v>288</v>
      </c>
      <c r="F99" s="37" t="s">
        <v>178</v>
      </c>
      <c r="G99" s="39" t="n">
        <v>0.03068323</v>
      </c>
      <c r="H99" s="37" t="s">
        <v>250</v>
      </c>
      <c r="I99" s="37" t="s">
        <v>251</v>
      </c>
      <c r="J99" s="37" t="s">
        <v>289</v>
      </c>
      <c r="K99" s="37" t="s">
        <v>253</v>
      </c>
      <c r="L99" s="37" t="n">
        <v>3</v>
      </c>
      <c r="M99" s="37" t="s">
        <v>207</v>
      </c>
    </row>
    <row r="100" customFormat="false" ht="42" hidden="false" customHeight="true" outlineLevel="0" collapsed="false">
      <c r="A100" s="37" t="s">
        <v>34</v>
      </c>
      <c r="B100" s="37" t="s">
        <v>212</v>
      </c>
      <c r="C100" s="38" t="n">
        <v>5</v>
      </c>
      <c r="D100" s="37" t="s">
        <v>225</v>
      </c>
      <c r="E100" s="37" t="s">
        <v>254</v>
      </c>
      <c r="F100" s="37" t="s">
        <v>178</v>
      </c>
      <c r="G100" s="39" t="n">
        <v>0.02970798</v>
      </c>
      <c r="H100" s="37" t="s">
        <v>227</v>
      </c>
      <c r="I100" s="37" t="s">
        <v>228</v>
      </c>
      <c r="J100" s="37" t="s">
        <v>255</v>
      </c>
      <c r="K100" s="37" t="s">
        <v>230</v>
      </c>
      <c r="L100" s="37" t="n">
        <v>0</v>
      </c>
      <c r="M100" s="37" t="s">
        <v>175</v>
      </c>
    </row>
    <row r="101" customFormat="false" ht="42" hidden="false" customHeight="true" outlineLevel="0" collapsed="false">
      <c r="A101" s="37" t="s">
        <v>34</v>
      </c>
      <c r="B101" s="37" t="s">
        <v>219</v>
      </c>
      <c r="C101" s="38" t="n">
        <v>1</v>
      </c>
      <c r="D101" s="37" t="s">
        <v>220</v>
      </c>
      <c r="E101" s="37" t="s">
        <v>275</v>
      </c>
      <c r="F101" s="37" t="s">
        <v>276</v>
      </c>
      <c r="G101" s="39" t="n">
        <v>0.55437887</v>
      </c>
      <c r="H101" s="37" t="s">
        <v>221</v>
      </c>
      <c r="I101" s="37" t="s">
        <v>222</v>
      </c>
      <c r="J101" s="37" t="s">
        <v>277</v>
      </c>
      <c r="K101" s="37" t="s">
        <v>224</v>
      </c>
      <c r="L101" s="37" t="n">
        <v>0</v>
      </c>
      <c r="M101" s="37" t="s">
        <v>175</v>
      </c>
    </row>
    <row r="102" customFormat="false" ht="42" hidden="false" customHeight="true" outlineLevel="0" collapsed="false">
      <c r="A102" s="37" t="s">
        <v>34</v>
      </c>
      <c r="B102" s="37" t="s">
        <v>219</v>
      </c>
      <c r="C102" s="38" t="n">
        <v>2</v>
      </c>
      <c r="D102" s="37" t="s">
        <v>237</v>
      </c>
      <c r="E102" s="37" t="s">
        <v>238</v>
      </c>
      <c r="F102" s="37" t="s">
        <v>197</v>
      </c>
      <c r="G102" s="39" t="n">
        <v>0.31594982</v>
      </c>
      <c r="H102" s="37" t="s">
        <v>239</v>
      </c>
      <c r="I102" s="37" t="s">
        <v>240</v>
      </c>
      <c r="J102" s="37" t="s">
        <v>241</v>
      </c>
      <c r="K102" s="37" t="s">
        <v>230</v>
      </c>
      <c r="L102" s="37" t="n">
        <v>0</v>
      </c>
      <c r="M102" s="37" t="s">
        <v>175</v>
      </c>
    </row>
    <row r="103" customFormat="false" ht="42" hidden="false" customHeight="true" outlineLevel="0" collapsed="false">
      <c r="A103" s="37" t="s">
        <v>34</v>
      </c>
      <c r="B103" s="37" t="s">
        <v>219</v>
      </c>
      <c r="C103" s="38" t="n">
        <v>3</v>
      </c>
      <c r="D103" s="37" t="s">
        <v>278</v>
      </c>
      <c r="E103" s="37" t="s">
        <v>279</v>
      </c>
      <c r="F103" s="37" t="s">
        <v>244</v>
      </c>
      <c r="G103" s="39" t="n">
        <v>0.31587302</v>
      </c>
      <c r="H103" s="37" t="s">
        <v>280</v>
      </c>
      <c r="I103" s="37" t="s">
        <v>281</v>
      </c>
      <c r="J103" s="37" t="s">
        <v>282</v>
      </c>
      <c r="K103" s="37" t="s">
        <v>283</v>
      </c>
      <c r="L103" s="37" t="n">
        <v>0</v>
      </c>
      <c r="M103" s="37" t="s">
        <v>175</v>
      </c>
    </row>
    <row r="104" customFormat="false" ht="42" hidden="false" customHeight="true" outlineLevel="0" collapsed="false">
      <c r="A104" s="37" t="s">
        <v>34</v>
      </c>
      <c r="B104" s="37" t="s">
        <v>219</v>
      </c>
      <c r="C104" s="38" t="n">
        <v>4</v>
      </c>
      <c r="D104" s="37" t="s">
        <v>189</v>
      </c>
      <c r="E104" s="37" t="s">
        <v>286</v>
      </c>
      <c r="F104" s="37" t="s">
        <v>178</v>
      </c>
      <c r="G104" s="39" t="n">
        <v>0.24268058</v>
      </c>
      <c r="H104" s="37" t="s">
        <v>191</v>
      </c>
      <c r="I104" s="37" t="s">
        <v>192</v>
      </c>
      <c r="J104" s="37" t="s">
        <v>287</v>
      </c>
      <c r="K104" s="37" t="s">
        <v>194</v>
      </c>
      <c r="L104" s="37" t="n">
        <v>0</v>
      </c>
      <c r="M104" s="37" t="s">
        <v>175</v>
      </c>
    </row>
    <row r="105" customFormat="false" ht="42" hidden="false" customHeight="true" outlineLevel="0" collapsed="false">
      <c r="A105" s="37" t="s">
        <v>34</v>
      </c>
      <c r="B105" s="37" t="s">
        <v>219</v>
      </c>
      <c r="C105" s="38" t="n">
        <v>5</v>
      </c>
      <c r="D105" s="37" t="s">
        <v>168</v>
      </c>
      <c r="E105" s="37" t="s">
        <v>290</v>
      </c>
      <c r="F105" s="37" t="s">
        <v>178</v>
      </c>
      <c r="G105" s="39" t="n">
        <v>0.24266004</v>
      </c>
      <c r="H105" s="37" t="s">
        <v>171</v>
      </c>
      <c r="I105" s="37" t="s">
        <v>172</v>
      </c>
      <c r="J105" s="37" t="s">
        <v>291</v>
      </c>
      <c r="K105" s="37" t="s">
        <v>174</v>
      </c>
      <c r="L105" s="37" t="n">
        <v>0</v>
      </c>
      <c r="M105" s="37" t="s">
        <v>175</v>
      </c>
    </row>
    <row r="106" customFormat="false" ht="42" hidden="false" customHeight="true" outlineLevel="0" collapsed="false">
      <c r="A106" s="37" t="s">
        <v>40</v>
      </c>
      <c r="B106" s="37" t="s">
        <v>167</v>
      </c>
      <c r="C106" s="38" t="n">
        <v>1</v>
      </c>
      <c r="D106" s="37" t="s">
        <v>278</v>
      </c>
      <c r="E106" s="37" t="s">
        <v>292</v>
      </c>
      <c r="F106" s="37" t="s">
        <v>197</v>
      </c>
      <c r="G106" s="39" t="n">
        <v>0.2</v>
      </c>
      <c r="H106" s="37" t="s">
        <v>280</v>
      </c>
      <c r="I106" s="37" t="s">
        <v>281</v>
      </c>
      <c r="J106" s="37" t="s">
        <v>293</v>
      </c>
      <c r="K106" s="37" t="s">
        <v>283</v>
      </c>
      <c r="L106" s="37" t="n">
        <v>3</v>
      </c>
      <c r="M106" s="37" t="s">
        <v>207</v>
      </c>
    </row>
    <row r="107" customFormat="false" ht="42" hidden="false" customHeight="true" outlineLevel="0" collapsed="false">
      <c r="A107" s="37" t="s">
        <v>40</v>
      </c>
      <c r="B107" s="37" t="s">
        <v>167</v>
      </c>
      <c r="C107" s="38" t="n">
        <v>2</v>
      </c>
      <c r="D107" s="37" t="s">
        <v>176</v>
      </c>
      <c r="E107" s="37" t="s">
        <v>177</v>
      </c>
      <c r="F107" s="37" t="s">
        <v>178</v>
      </c>
      <c r="G107" s="39" t="n">
        <v>0.1</v>
      </c>
      <c r="H107" s="37" t="s">
        <v>179</v>
      </c>
      <c r="I107" s="37" t="s">
        <v>180</v>
      </c>
      <c r="J107" s="37" t="s">
        <v>181</v>
      </c>
      <c r="K107" s="37" t="s">
        <v>182</v>
      </c>
      <c r="L107" s="37" t="n">
        <v>0</v>
      </c>
      <c r="M107" s="37" t="s">
        <v>175</v>
      </c>
    </row>
    <row r="108" customFormat="false" ht="42" hidden="false" customHeight="true" outlineLevel="0" collapsed="false">
      <c r="A108" s="37" t="s">
        <v>40</v>
      </c>
      <c r="B108" s="37" t="s">
        <v>167</v>
      </c>
      <c r="C108" s="38" t="n">
        <v>3</v>
      </c>
      <c r="D108" s="37" t="s">
        <v>294</v>
      </c>
      <c r="E108" s="37" t="s">
        <v>295</v>
      </c>
      <c r="F108" s="37" t="s">
        <v>178</v>
      </c>
      <c r="G108" s="39" t="n">
        <v>0.1</v>
      </c>
      <c r="H108" s="37" t="s">
        <v>296</v>
      </c>
      <c r="I108" s="37" t="s">
        <v>281</v>
      </c>
      <c r="J108" s="37" t="s">
        <v>297</v>
      </c>
      <c r="K108" s="37" t="s">
        <v>298</v>
      </c>
      <c r="L108" s="37" t="n">
        <v>0</v>
      </c>
      <c r="M108" s="37" t="s">
        <v>175</v>
      </c>
    </row>
    <row r="109" customFormat="false" ht="42" hidden="false" customHeight="true" outlineLevel="0" collapsed="false">
      <c r="A109" s="37" t="s">
        <v>40</v>
      </c>
      <c r="B109" s="37" t="s">
        <v>167</v>
      </c>
      <c r="C109" s="38" t="n">
        <v>4</v>
      </c>
      <c r="D109" s="37" t="s">
        <v>249</v>
      </c>
      <c r="E109" s="37" t="s">
        <v>288</v>
      </c>
      <c r="F109" s="37" t="s">
        <v>178</v>
      </c>
      <c r="G109" s="39" t="n">
        <v>0.1</v>
      </c>
      <c r="H109" s="37" t="s">
        <v>250</v>
      </c>
      <c r="I109" s="37" t="s">
        <v>251</v>
      </c>
      <c r="J109" s="37" t="s">
        <v>289</v>
      </c>
      <c r="K109" s="37" t="s">
        <v>253</v>
      </c>
      <c r="L109" s="37" t="n">
        <v>0</v>
      </c>
      <c r="M109" s="37" t="s">
        <v>175</v>
      </c>
    </row>
    <row r="110" customFormat="false" ht="42" hidden="false" customHeight="true" outlineLevel="0" collapsed="false">
      <c r="A110" s="37" t="s">
        <v>40</v>
      </c>
      <c r="B110" s="37" t="s">
        <v>167</v>
      </c>
      <c r="C110" s="38" t="n">
        <v>5</v>
      </c>
      <c r="D110" s="37" t="s">
        <v>168</v>
      </c>
      <c r="E110" s="37" t="s">
        <v>169</v>
      </c>
      <c r="F110" s="37" t="s">
        <v>170</v>
      </c>
      <c r="G110" s="39" t="n">
        <v>0.1</v>
      </c>
      <c r="H110" s="37" t="s">
        <v>171</v>
      </c>
      <c r="I110" s="37" t="s">
        <v>172</v>
      </c>
      <c r="J110" s="37" t="s">
        <v>173</v>
      </c>
      <c r="K110" s="37" t="s">
        <v>174</v>
      </c>
      <c r="L110" s="37" t="n">
        <v>0</v>
      </c>
      <c r="M110" s="37" t="s">
        <v>175</v>
      </c>
    </row>
    <row r="111" customFormat="false" ht="42" hidden="false" customHeight="true" outlineLevel="0" collapsed="false">
      <c r="A111" s="37" t="s">
        <v>40</v>
      </c>
      <c r="B111" s="37" t="s">
        <v>201</v>
      </c>
      <c r="C111" s="38" t="n">
        <v>1</v>
      </c>
      <c r="D111" s="37" t="s">
        <v>249</v>
      </c>
      <c r="E111" s="37" t="s">
        <v>288</v>
      </c>
      <c r="F111" s="37" t="s">
        <v>178</v>
      </c>
      <c r="G111" s="39" t="n">
        <v>0.18355577</v>
      </c>
      <c r="H111" s="37" t="s">
        <v>250</v>
      </c>
      <c r="I111" s="37" t="s">
        <v>251</v>
      </c>
      <c r="J111" s="37" t="s">
        <v>289</v>
      </c>
      <c r="K111" s="37" t="s">
        <v>253</v>
      </c>
      <c r="L111" s="37" t="n">
        <v>0</v>
      </c>
      <c r="M111" s="37" t="s">
        <v>175</v>
      </c>
    </row>
    <row r="112" customFormat="false" ht="42" hidden="false" customHeight="true" outlineLevel="0" collapsed="false">
      <c r="A112" s="37" t="s">
        <v>40</v>
      </c>
      <c r="B112" s="37" t="s">
        <v>201</v>
      </c>
      <c r="C112" s="38" t="n">
        <v>2</v>
      </c>
      <c r="D112" s="37" t="s">
        <v>231</v>
      </c>
      <c r="E112" s="37" t="s">
        <v>232</v>
      </c>
      <c r="F112" s="37" t="s">
        <v>170</v>
      </c>
      <c r="G112" s="39" t="n">
        <v>0.16171115</v>
      </c>
      <c r="H112" s="37" t="s">
        <v>233</v>
      </c>
      <c r="I112" s="37" t="s">
        <v>234</v>
      </c>
      <c r="J112" s="37" t="s">
        <v>235</v>
      </c>
      <c r="K112" s="37" t="s">
        <v>236</v>
      </c>
      <c r="L112" s="37" t="n">
        <v>3</v>
      </c>
      <c r="M112" s="37" t="s">
        <v>207</v>
      </c>
    </row>
    <row r="113" customFormat="false" ht="42" hidden="false" customHeight="true" outlineLevel="0" collapsed="false">
      <c r="A113" s="37" t="s">
        <v>40</v>
      </c>
      <c r="B113" s="37" t="s">
        <v>201</v>
      </c>
      <c r="C113" s="38" t="n">
        <v>3</v>
      </c>
      <c r="D113" s="37" t="s">
        <v>242</v>
      </c>
      <c r="E113" s="37" t="s">
        <v>267</v>
      </c>
      <c r="F113" s="37" t="s">
        <v>170</v>
      </c>
      <c r="G113" s="39" t="n">
        <v>0.14004565</v>
      </c>
      <c r="H113" s="37" t="s">
        <v>245</v>
      </c>
      <c r="I113" s="37" t="s">
        <v>246</v>
      </c>
      <c r="J113" s="37" t="s">
        <v>268</v>
      </c>
      <c r="K113" s="37" t="s">
        <v>248</v>
      </c>
      <c r="L113" s="37" t="n">
        <v>0</v>
      </c>
      <c r="M113" s="37" t="s">
        <v>175</v>
      </c>
    </row>
    <row r="114" customFormat="false" ht="42" hidden="false" customHeight="true" outlineLevel="0" collapsed="false">
      <c r="A114" s="37" t="s">
        <v>40</v>
      </c>
      <c r="B114" s="37" t="s">
        <v>201</v>
      </c>
      <c r="C114" s="38" t="n">
        <v>4</v>
      </c>
      <c r="D114" s="37" t="s">
        <v>294</v>
      </c>
      <c r="E114" s="37" t="s">
        <v>295</v>
      </c>
      <c r="F114" s="37" t="s">
        <v>178</v>
      </c>
      <c r="G114" s="39" t="n">
        <v>0.13274503</v>
      </c>
      <c r="H114" s="37" t="s">
        <v>296</v>
      </c>
      <c r="I114" s="37" t="s">
        <v>281</v>
      </c>
      <c r="J114" s="37" t="s">
        <v>297</v>
      </c>
      <c r="K114" s="37" t="s">
        <v>298</v>
      </c>
      <c r="L114" s="37" t="n">
        <v>0</v>
      </c>
      <c r="M114" s="37" t="s">
        <v>175</v>
      </c>
    </row>
    <row r="115" customFormat="false" ht="42" hidden="false" customHeight="true" outlineLevel="0" collapsed="false">
      <c r="A115" s="37" t="s">
        <v>40</v>
      </c>
      <c r="B115" s="37" t="s">
        <v>201</v>
      </c>
      <c r="C115" s="38" t="n">
        <v>5</v>
      </c>
      <c r="D115" s="37" t="s">
        <v>299</v>
      </c>
      <c r="E115" s="37" t="s">
        <v>300</v>
      </c>
      <c r="F115" s="37" t="s">
        <v>170</v>
      </c>
      <c r="G115" s="39" t="n">
        <v>0.12477209</v>
      </c>
      <c r="H115" s="37" t="s">
        <v>301</v>
      </c>
      <c r="I115" s="37" t="s">
        <v>302</v>
      </c>
      <c r="J115" s="37" t="s">
        <v>303</v>
      </c>
      <c r="K115" s="37" t="s">
        <v>304</v>
      </c>
      <c r="L115" s="37" t="n">
        <v>0</v>
      </c>
      <c r="M115" s="37" t="s">
        <v>175</v>
      </c>
    </row>
    <row r="116" customFormat="false" ht="42" hidden="false" customHeight="true" outlineLevel="0" collapsed="false">
      <c r="A116" s="37" t="s">
        <v>40</v>
      </c>
      <c r="B116" s="37" t="s">
        <v>212</v>
      </c>
      <c r="C116" s="38" t="n">
        <v>1</v>
      </c>
      <c r="D116" s="37" t="s">
        <v>249</v>
      </c>
      <c r="E116" s="37" t="s">
        <v>288</v>
      </c>
      <c r="F116" s="37" t="s">
        <v>178</v>
      </c>
      <c r="G116" s="39" t="n">
        <v>0.03234631</v>
      </c>
      <c r="H116" s="37" t="s">
        <v>250</v>
      </c>
      <c r="I116" s="37" t="s">
        <v>251</v>
      </c>
      <c r="J116" s="37" t="s">
        <v>289</v>
      </c>
      <c r="K116" s="37" t="s">
        <v>253</v>
      </c>
      <c r="L116" s="37" t="n">
        <v>0</v>
      </c>
      <c r="M116" s="37" t="s">
        <v>175</v>
      </c>
    </row>
    <row r="117" customFormat="false" ht="42" hidden="false" customHeight="true" outlineLevel="0" collapsed="false">
      <c r="A117" s="37" t="s">
        <v>40</v>
      </c>
      <c r="B117" s="37" t="s">
        <v>212</v>
      </c>
      <c r="C117" s="38" t="n">
        <v>2</v>
      </c>
      <c r="D117" s="37" t="s">
        <v>294</v>
      </c>
      <c r="E117" s="37" t="s">
        <v>295</v>
      </c>
      <c r="F117" s="37" t="s">
        <v>178</v>
      </c>
      <c r="G117" s="39" t="n">
        <v>0.03181052</v>
      </c>
      <c r="H117" s="37" t="s">
        <v>296</v>
      </c>
      <c r="I117" s="37" t="s">
        <v>281</v>
      </c>
      <c r="J117" s="37" t="s">
        <v>297</v>
      </c>
      <c r="K117" s="37" t="s">
        <v>298</v>
      </c>
      <c r="L117" s="37" t="n">
        <v>0</v>
      </c>
      <c r="M117" s="37" t="s">
        <v>175</v>
      </c>
    </row>
    <row r="118" customFormat="false" ht="42" hidden="false" customHeight="true" outlineLevel="0" collapsed="false">
      <c r="A118" s="37" t="s">
        <v>40</v>
      </c>
      <c r="B118" s="37" t="s">
        <v>212</v>
      </c>
      <c r="C118" s="38" t="n">
        <v>3</v>
      </c>
      <c r="D118" s="37" t="s">
        <v>231</v>
      </c>
      <c r="E118" s="37" t="s">
        <v>232</v>
      </c>
      <c r="F118" s="37" t="s">
        <v>170</v>
      </c>
      <c r="G118" s="39" t="n">
        <v>0.03094437</v>
      </c>
      <c r="H118" s="37" t="s">
        <v>233</v>
      </c>
      <c r="I118" s="37" t="s">
        <v>234</v>
      </c>
      <c r="J118" s="37" t="s">
        <v>235</v>
      </c>
      <c r="K118" s="37" t="s">
        <v>236</v>
      </c>
      <c r="L118" s="37" t="n">
        <v>3</v>
      </c>
      <c r="M118" s="37" t="s">
        <v>207</v>
      </c>
    </row>
    <row r="119" customFormat="false" ht="42" hidden="false" customHeight="true" outlineLevel="0" collapsed="false">
      <c r="A119" s="37" t="s">
        <v>40</v>
      </c>
      <c r="B119" s="37" t="s">
        <v>212</v>
      </c>
      <c r="C119" s="38" t="n">
        <v>4</v>
      </c>
      <c r="D119" s="37" t="s">
        <v>220</v>
      </c>
      <c r="E119" s="37" t="s">
        <v>262</v>
      </c>
      <c r="F119" s="37" t="s">
        <v>197</v>
      </c>
      <c r="G119" s="39" t="n">
        <v>0.03037992</v>
      </c>
      <c r="H119" s="37" t="s">
        <v>221</v>
      </c>
      <c r="I119" s="37" t="s">
        <v>222</v>
      </c>
      <c r="J119" s="37" t="s">
        <v>263</v>
      </c>
      <c r="K119" s="37" t="s">
        <v>224</v>
      </c>
      <c r="L119" s="37" t="n">
        <v>0</v>
      </c>
      <c r="M119" s="37" t="s">
        <v>175</v>
      </c>
    </row>
    <row r="120" customFormat="false" ht="42" hidden="false" customHeight="true" outlineLevel="0" collapsed="false">
      <c r="A120" s="37" t="s">
        <v>40</v>
      </c>
      <c r="B120" s="37" t="s">
        <v>212</v>
      </c>
      <c r="C120" s="38" t="n">
        <v>5</v>
      </c>
      <c r="D120" s="37" t="s">
        <v>189</v>
      </c>
      <c r="E120" s="37" t="s">
        <v>190</v>
      </c>
      <c r="F120" s="37" t="s">
        <v>170</v>
      </c>
      <c r="G120" s="39" t="n">
        <v>0.02885714</v>
      </c>
      <c r="H120" s="37" t="s">
        <v>191</v>
      </c>
      <c r="I120" s="37" t="s">
        <v>192</v>
      </c>
      <c r="J120" s="37" t="s">
        <v>193</v>
      </c>
      <c r="K120" s="37" t="s">
        <v>194</v>
      </c>
      <c r="L120" s="37" t="n">
        <v>0</v>
      </c>
      <c r="M120" s="37" t="s">
        <v>175</v>
      </c>
    </row>
    <row r="121" customFormat="false" ht="42" hidden="false" customHeight="true" outlineLevel="0" collapsed="false">
      <c r="A121" s="37" t="s">
        <v>40</v>
      </c>
      <c r="B121" s="37" t="s">
        <v>219</v>
      </c>
      <c r="C121" s="38" t="n">
        <v>1</v>
      </c>
      <c r="D121" s="37" t="s">
        <v>278</v>
      </c>
      <c r="E121" s="37" t="s">
        <v>292</v>
      </c>
      <c r="F121" s="37" t="s">
        <v>197</v>
      </c>
      <c r="G121" s="39" t="n">
        <v>0.14491803</v>
      </c>
      <c r="H121" s="37" t="s">
        <v>280</v>
      </c>
      <c r="I121" s="37" t="s">
        <v>281</v>
      </c>
      <c r="J121" s="37" t="s">
        <v>293</v>
      </c>
      <c r="K121" s="37" t="s">
        <v>283</v>
      </c>
      <c r="L121" s="37" t="n">
        <v>3</v>
      </c>
      <c r="M121" s="37" t="s">
        <v>207</v>
      </c>
    </row>
    <row r="122" customFormat="false" ht="42" hidden="false" customHeight="true" outlineLevel="0" collapsed="false">
      <c r="A122" s="37" t="s">
        <v>40</v>
      </c>
      <c r="B122" s="37" t="s">
        <v>219</v>
      </c>
      <c r="C122" s="38" t="n">
        <v>2</v>
      </c>
      <c r="D122" s="37" t="s">
        <v>249</v>
      </c>
      <c r="E122" s="37" t="s">
        <v>288</v>
      </c>
      <c r="F122" s="37" t="s">
        <v>178</v>
      </c>
      <c r="G122" s="39" t="n">
        <v>0.07970389</v>
      </c>
      <c r="H122" s="37" t="s">
        <v>250</v>
      </c>
      <c r="I122" s="37" t="s">
        <v>251</v>
      </c>
      <c r="J122" s="37" t="s">
        <v>289</v>
      </c>
      <c r="K122" s="37" t="s">
        <v>253</v>
      </c>
      <c r="L122" s="37" t="n">
        <v>0</v>
      </c>
      <c r="M122" s="37" t="s">
        <v>175</v>
      </c>
    </row>
    <row r="123" customFormat="false" ht="42" hidden="false" customHeight="true" outlineLevel="0" collapsed="false">
      <c r="A123" s="37" t="s">
        <v>40</v>
      </c>
      <c r="B123" s="37" t="s">
        <v>219</v>
      </c>
      <c r="C123" s="38" t="n">
        <v>3</v>
      </c>
      <c r="D123" s="37" t="s">
        <v>294</v>
      </c>
      <c r="E123" s="37" t="s">
        <v>295</v>
      </c>
      <c r="F123" s="37" t="s">
        <v>178</v>
      </c>
      <c r="G123" s="39" t="n">
        <v>0.07954315</v>
      </c>
      <c r="H123" s="37" t="s">
        <v>296</v>
      </c>
      <c r="I123" s="37" t="s">
        <v>281</v>
      </c>
      <c r="J123" s="37" t="s">
        <v>297</v>
      </c>
      <c r="K123" s="37" t="s">
        <v>298</v>
      </c>
      <c r="L123" s="37" t="n">
        <v>0</v>
      </c>
      <c r="M123" s="37" t="s">
        <v>175</v>
      </c>
    </row>
    <row r="124" customFormat="false" ht="42" hidden="false" customHeight="true" outlineLevel="0" collapsed="false">
      <c r="A124" s="37" t="s">
        <v>40</v>
      </c>
      <c r="B124" s="37" t="s">
        <v>219</v>
      </c>
      <c r="C124" s="38" t="n">
        <v>4</v>
      </c>
      <c r="D124" s="37" t="s">
        <v>231</v>
      </c>
      <c r="E124" s="37" t="s">
        <v>232</v>
      </c>
      <c r="F124" s="37" t="s">
        <v>170</v>
      </c>
      <c r="G124" s="39" t="n">
        <v>0.07928331</v>
      </c>
      <c r="H124" s="37" t="s">
        <v>233</v>
      </c>
      <c r="I124" s="37" t="s">
        <v>234</v>
      </c>
      <c r="J124" s="37" t="s">
        <v>235</v>
      </c>
      <c r="K124" s="37" t="s">
        <v>236</v>
      </c>
      <c r="L124" s="37" t="n">
        <v>3</v>
      </c>
      <c r="M124" s="37" t="s">
        <v>207</v>
      </c>
    </row>
    <row r="125" customFormat="false" ht="42" hidden="false" customHeight="true" outlineLevel="0" collapsed="false">
      <c r="A125" s="37" t="s">
        <v>40</v>
      </c>
      <c r="B125" s="37" t="s">
        <v>219</v>
      </c>
      <c r="C125" s="38" t="n">
        <v>5</v>
      </c>
      <c r="D125" s="37" t="s">
        <v>220</v>
      </c>
      <c r="E125" s="37" t="s">
        <v>262</v>
      </c>
      <c r="F125" s="37" t="s">
        <v>197</v>
      </c>
      <c r="G125" s="39" t="n">
        <v>0.07911398</v>
      </c>
      <c r="H125" s="37" t="s">
        <v>221</v>
      </c>
      <c r="I125" s="37" t="s">
        <v>222</v>
      </c>
      <c r="J125" s="37" t="s">
        <v>263</v>
      </c>
      <c r="K125" s="37" t="s">
        <v>224</v>
      </c>
      <c r="L125" s="37" t="n">
        <v>0</v>
      </c>
      <c r="M125" s="37" t="s">
        <v>175</v>
      </c>
    </row>
    <row r="126" customFormat="false" ht="42" hidden="false" customHeight="true" outlineLevel="0" collapsed="false">
      <c r="A126" s="37" t="s">
        <v>45</v>
      </c>
      <c r="B126" s="37" t="s">
        <v>167</v>
      </c>
      <c r="C126" s="38" t="n">
        <v>1</v>
      </c>
      <c r="D126" s="37" t="s">
        <v>220</v>
      </c>
      <c r="E126" s="37" t="s">
        <v>262</v>
      </c>
      <c r="F126" s="37" t="s">
        <v>197</v>
      </c>
      <c r="G126" s="39" t="n">
        <v>0.7</v>
      </c>
      <c r="H126" s="37" t="s">
        <v>221</v>
      </c>
      <c r="I126" s="37" t="s">
        <v>222</v>
      </c>
      <c r="J126" s="37" t="s">
        <v>263</v>
      </c>
      <c r="K126" s="37" t="s">
        <v>224</v>
      </c>
      <c r="L126" s="37" t="n">
        <v>3</v>
      </c>
      <c r="M126" s="37" t="s">
        <v>207</v>
      </c>
    </row>
    <row r="127" customFormat="false" ht="42" hidden="false" customHeight="true" outlineLevel="0" collapsed="false">
      <c r="A127" s="37" t="s">
        <v>45</v>
      </c>
      <c r="B127" s="37" t="s">
        <v>167</v>
      </c>
      <c r="C127" s="38" t="n">
        <v>2</v>
      </c>
      <c r="D127" s="37" t="s">
        <v>256</v>
      </c>
      <c r="E127" s="37" t="s">
        <v>257</v>
      </c>
      <c r="F127" s="37" t="s">
        <v>197</v>
      </c>
      <c r="G127" s="39" t="n">
        <v>0.4</v>
      </c>
      <c r="H127" s="37" t="s">
        <v>258</v>
      </c>
      <c r="I127" s="37" t="s">
        <v>259</v>
      </c>
      <c r="J127" s="37" t="s">
        <v>260</v>
      </c>
      <c r="K127" s="37" t="s">
        <v>261</v>
      </c>
      <c r="L127" s="37" t="n">
        <v>0</v>
      </c>
      <c r="M127" s="37" t="s">
        <v>175</v>
      </c>
    </row>
    <row r="128" customFormat="false" ht="42" hidden="false" customHeight="true" outlineLevel="0" collapsed="false">
      <c r="A128" s="37" t="s">
        <v>45</v>
      </c>
      <c r="B128" s="37" t="s">
        <v>167</v>
      </c>
      <c r="C128" s="38" t="n">
        <v>3</v>
      </c>
      <c r="D128" s="37" t="s">
        <v>168</v>
      </c>
      <c r="E128" s="37" t="s">
        <v>169</v>
      </c>
      <c r="F128" s="37" t="s">
        <v>170</v>
      </c>
      <c r="G128" s="39" t="n">
        <v>0.4</v>
      </c>
      <c r="H128" s="37" t="s">
        <v>171</v>
      </c>
      <c r="I128" s="37" t="s">
        <v>172</v>
      </c>
      <c r="J128" s="37" t="s">
        <v>173</v>
      </c>
      <c r="K128" s="37" t="s">
        <v>174</v>
      </c>
      <c r="L128" s="37" t="n">
        <v>0</v>
      </c>
      <c r="M128" s="37" t="s">
        <v>175</v>
      </c>
    </row>
    <row r="129" customFormat="false" ht="42" hidden="false" customHeight="true" outlineLevel="0" collapsed="false">
      <c r="A129" s="37" t="s">
        <v>45</v>
      </c>
      <c r="B129" s="37" t="s">
        <v>167</v>
      </c>
      <c r="C129" s="38" t="n">
        <v>4</v>
      </c>
      <c r="D129" s="37" t="s">
        <v>237</v>
      </c>
      <c r="E129" s="37" t="s">
        <v>238</v>
      </c>
      <c r="F129" s="37" t="s">
        <v>197</v>
      </c>
      <c r="G129" s="39" t="n">
        <v>0.4</v>
      </c>
      <c r="H129" s="37" t="s">
        <v>239</v>
      </c>
      <c r="I129" s="37" t="s">
        <v>240</v>
      </c>
      <c r="J129" s="37" t="s">
        <v>241</v>
      </c>
      <c r="K129" s="37" t="s">
        <v>230</v>
      </c>
      <c r="L129" s="37" t="n">
        <v>0</v>
      </c>
      <c r="M129" s="37" t="s">
        <v>175</v>
      </c>
    </row>
    <row r="130" customFormat="false" ht="42" hidden="false" customHeight="true" outlineLevel="0" collapsed="false">
      <c r="A130" s="37" t="s">
        <v>45</v>
      </c>
      <c r="B130" s="37" t="s">
        <v>167</v>
      </c>
      <c r="C130" s="38" t="n">
        <v>5</v>
      </c>
      <c r="D130" s="37" t="s">
        <v>176</v>
      </c>
      <c r="E130" s="37" t="s">
        <v>177</v>
      </c>
      <c r="F130" s="37" t="s">
        <v>178</v>
      </c>
      <c r="G130" s="39" t="n">
        <v>0.3</v>
      </c>
      <c r="H130" s="37" t="s">
        <v>179</v>
      </c>
      <c r="I130" s="37" t="s">
        <v>180</v>
      </c>
      <c r="J130" s="37" t="s">
        <v>181</v>
      </c>
      <c r="K130" s="37" t="s">
        <v>182</v>
      </c>
      <c r="L130" s="37" t="n">
        <v>0</v>
      </c>
      <c r="M130" s="37" t="s">
        <v>175</v>
      </c>
    </row>
    <row r="131" customFormat="false" ht="42" hidden="false" customHeight="true" outlineLevel="0" collapsed="false">
      <c r="A131" s="37" t="s">
        <v>45</v>
      </c>
      <c r="B131" s="37" t="s">
        <v>201</v>
      </c>
      <c r="C131" s="38" t="n">
        <v>1</v>
      </c>
      <c r="D131" s="37" t="s">
        <v>202</v>
      </c>
      <c r="E131" s="37" t="s">
        <v>20</v>
      </c>
      <c r="F131" s="37" t="s">
        <v>170</v>
      </c>
      <c r="G131" s="39" t="n">
        <v>0.43216944</v>
      </c>
      <c r="H131" s="37" t="s">
        <v>203</v>
      </c>
      <c r="I131" s="37" t="s">
        <v>204</v>
      </c>
      <c r="J131" s="37" t="s">
        <v>205</v>
      </c>
      <c r="K131" s="37" t="s">
        <v>206</v>
      </c>
      <c r="L131" s="37" t="n">
        <v>0</v>
      </c>
      <c r="M131" s="37" t="s">
        <v>175</v>
      </c>
    </row>
    <row r="132" customFormat="false" ht="42" hidden="false" customHeight="true" outlineLevel="0" collapsed="false">
      <c r="A132" s="37" t="s">
        <v>45</v>
      </c>
      <c r="B132" s="37" t="s">
        <v>201</v>
      </c>
      <c r="C132" s="38" t="n">
        <v>2</v>
      </c>
      <c r="D132" s="37" t="s">
        <v>168</v>
      </c>
      <c r="E132" s="37" t="s">
        <v>169</v>
      </c>
      <c r="F132" s="37" t="s">
        <v>170</v>
      </c>
      <c r="G132" s="39" t="n">
        <v>0.33829663</v>
      </c>
      <c r="H132" s="37" t="s">
        <v>171</v>
      </c>
      <c r="I132" s="37" t="s">
        <v>172</v>
      </c>
      <c r="J132" s="37" t="s">
        <v>173</v>
      </c>
      <c r="K132" s="37" t="s">
        <v>174</v>
      </c>
      <c r="L132" s="37" t="n">
        <v>0</v>
      </c>
      <c r="M132" s="37" t="s">
        <v>175</v>
      </c>
    </row>
    <row r="133" customFormat="false" ht="42" hidden="false" customHeight="true" outlineLevel="0" collapsed="false">
      <c r="A133" s="37" t="s">
        <v>45</v>
      </c>
      <c r="B133" s="37" t="s">
        <v>201</v>
      </c>
      <c r="C133" s="38" t="n">
        <v>3</v>
      </c>
      <c r="D133" s="37" t="s">
        <v>305</v>
      </c>
      <c r="E133" s="37" t="s">
        <v>306</v>
      </c>
      <c r="F133" s="37" t="s">
        <v>178</v>
      </c>
      <c r="G133" s="39" t="n">
        <v>0.32208016</v>
      </c>
      <c r="H133" s="37" t="s">
        <v>307</v>
      </c>
      <c r="I133" s="37" t="s">
        <v>308</v>
      </c>
      <c r="J133" s="37" t="s">
        <v>309</v>
      </c>
      <c r="K133" s="37" t="s">
        <v>230</v>
      </c>
      <c r="L133" s="37" t="n">
        <v>0</v>
      </c>
      <c r="M133" s="37" t="s">
        <v>175</v>
      </c>
    </row>
    <row r="134" customFormat="false" ht="42" hidden="false" customHeight="true" outlineLevel="0" collapsed="false">
      <c r="A134" s="37" t="s">
        <v>45</v>
      </c>
      <c r="B134" s="37" t="s">
        <v>201</v>
      </c>
      <c r="C134" s="38" t="n">
        <v>4</v>
      </c>
      <c r="D134" s="37" t="s">
        <v>225</v>
      </c>
      <c r="E134" s="37" t="s">
        <v>226</v>
      </c>
      <c r="F134" s="37" t="s">
        <v>170</v>
      </c>
      <c r="G134" s="39" t="n">
        <v>0.31554814</v>
      </c>
      <c r="H134" s="37" t="s">
        <v>227</v>
      </c>
      <c r="I134" s="37" t="s">
        <v>228</v>
      </c>
      <c r="J134" s="37" t="s">
        <v>229</v>
      </c>
      <c r="K134" s="37" t="s">
        <v>230</v>
      </c>
      <c r="L134" s="37" t="n">
        <v>0</v>
      </c>
      <c r="M134" s="37" t="s">
        <v>175</v>
      </c>
    </row>
    <row r="135" customFormat="false" ht="42" hidden="false" customHeight="true" outlineLevel="0" collapsed="false">
      <c r="A135" s="37" t="s">
        <v>45</v>
      </c>
      <c r="B135" s="37" t="s">
        <v>201</v>
      </c>
      <c r="C135" s="38" t="n">
        <v>5</v>
      </c>
      <c r="D135" s="37" t="s">
        <v>213</v>
      </c>
      <c r="E135" s="37" t="s">
        <v>214</v>
      </c>
      <c r="F135" s="37" t="s">
        <v>170</v>
      </c>
      <c r="G135" s="39" t="n">
        <v>0.31405923</v>
      </c>
      <c r="H135" s="37" t="s">
        <v>215</v>
      </c>
      <c r="I135" s="37" t="s">
        <v>216</v>
      </c>
      <c r="J135" s="37" t="s">
        <v>217</v>
      </c>
      <c r="K135" s="37" t="s">
        <v>218</v>
      </c>
      <c r="L135" s="37" t="n">
        <v>0</v>
      </c>
      <c r="M135" s="37" t="s">
        <v>175</v>
      </c>
    </row>
    <row r="136" customFormat="false" ht="42" hidden="false" customHeight="true" outlineLevel="0" collapsed="false">
      <c r="A136" s="37" t="s">
        <v>45</v>
      </c>
      <c r="B136" s="37" t="s">
        <v>212</v>
      </c>
      <c r="C136" s="38" t="n">
        <v>1</v>
      </c>
      <c r="D136" s="37" t="s">
        <v>168</v>
      </c>
      <c r="E136" s="37" t="s">
        <v>169</v>
      </c>
      <c r="F136" s="37" t="s">
        <v>170</v>
      </c>
      <c r="G136" s="39" t="n">
        <v>0.03232463</v>
      </c>
      <c r="H136" s="37" t="s">
        <v>171</v>
      </c>
      <c r="I136" s="37" t="s">
        <v>172</v>
      </c>
      <c r="J136" s="37" t="s">
        <v>173</v>
      </c>
      <c r="K136" s="37" t="s">
        <v>174</v>
      </c>
      <c r="L136" s="37" t="n">
        <v>0</v>
      </c>
      <c r="M136" s="37" t="s">
        <v>175</v>
      </c>
    </row>
    <row r="137" customFormat="false" ht="42" hidden="false" customHeight="true" outlineLevel="0" collapsed="false">
      <c r="A137" s="37" t="s">
        <v>45</v>
      </c>
      <c r="B137" s="37" t="s">
        <v>212</v>
      </c>
      <c r="C137" s="38" t="n">
        <v>2</v>
      </c>
      <c r="D137" s="37" t="s">
        <v>202</v>
      </c>
      <c r="E137" s="37" t="s">
        <v>20</v>
      </c>
      <c r="F137" s="37" t="s">
        <v>170</v>
      </c>
      <c r="G137" s="39" t="n">
        <v>0.03187283</v>
      </c>
      <c r="H137" s="37" t="s">
        <v>203</v>
      </c>
      <c r="I137" s="37" t="s">
        <v>204</v>
      </c>
      <c r="J137" s="37" t="s">
        <v>205</v>
      </c>
      <c r="K137" s="37" t="s">
        <v>206</v>
      </c>
      <c r="L137" s="37" t="n">
        <v>0</v>
      </c>
      <c r="M137" s="37" t="s">
        <v>175</v>
      </c>
    </row>
    <row r="138" customFormat="false" ht="42" hidden="false" customHeight="true" outlineLevel="0" collapsed="false">
      <c r="A138" s="37" t="s">
        <v>45</v>
      </c>
      <c r="B138" s="37" t="s">
        <v>212</v>
      </c>
      <c r="C138" s="38" t="n">
        <v>3</v>
      </c>
      <c r="D138" s="37" t="s">
        <v>220</v>
      </c>
      <c r="E138" s="37" t="s">
        <v>262</v>
      </c>
      <c r="F138" s="37" t="s">
        <v>197</v>
      </c>
      <c r="G138" s="39" t="n">
        <v>0.03096487</v>
      </c>
      <c r="H138" s="37" t="s">
        <v>221</v>
      </c>
      <c r="I138" s="37" t="s">
        <v>222</v>
      </c>
      <c r="J138" s="37" t="s">
        <v>263</v>
      </c>
      <c r="K138" s="37" t="s">
        <v>224</v>
      </c>
      <c r="L138" s="37" t="n">
        <v>3</v>
      </c>
      <c r="M138" s="37" t="s">
        <v>207</v>
      </c>
    </row>
    <row r="139" customFormat="false" ht="42" hidden="false" customHeight="true" outlineLevel="0" collapsed="false">
      <c r="A139" s="37" t="s">
        <v>45</v>
      </c>
      <c r="B139" s="37" t="s">
        <v>212</v>
      </c>
      <c r="C139" s="38" t="n">
        <v>4</v>
      </c>
      <c r="D139" s="37" t="s">
        <v>189</v>
      </c>
      <c r="E139" s="37" t="s">
        <v>190</v>
      </c>
      <c r="F139" s="37" t="s">
        <v>170</v>
      </c>
      <c r="G139" s="39" t="n">
        <v>0.03037992</v>
      </c>
      <c r="H139" s="37" t="s">
        <v>191</v>
      </c>
      <c r="I139" s="37" t="s">
        <v>192</v>
      </c>
      <c r="J139" s="37" t="s">
        <v>193</v>
      </c>
      <c r="K139" s="37" t="s">
        <v>194</v>
      </c>
      <c r="L139" s="37" t="n">
        <v>0</v>
      </c>
      <c r="M139" s="37" t="s">
        <v>175</v>
      </c>
    </row>
    <row r="140" customFormat="false" ht="42" hidden="false" customHeight="true" outlineLevel="0" collapsed="false">
      <c r="A140" s="37" t="s">
        <v>45</v>
      </c>
      <c r="B140" s="37" t="s">
        <v>212</v>
      </c>
      <c r="C140" s="38" t="n">
        <v>5</v>
      </c>
      <c r="D140" s="37" t="s">
        <v>305</v>
      </c>
      <c r="E140" s="37" t="s">
        <v>306</v>
      </c>
      <c r="F140" s="37" t="s">
        <v>178</v>
      </c>
      <c r="G140" s="39" t="n">
        <v>0.01619048</v>
      </c>
      <c r="H140" s="37" t="s">
        <v>307</v>
      </c>
      <c r="I140" s="37" t="s">
        <v>308</v>
      </c>
      <c r="J140" s="37" t="s">
        <v>309</v>
      </c>
      <c r="K140" s="37" t="s">
        <v>230</v>
      </c>
      <c r="L140" s="37" t="n">
        <v>0</v>
      </c>
      <c r="M140" s="37" t="s">
        <v>175</v>
      </c>
    </row>
    <row r="141" customFormat="false" ht="42" hidden="false" customHeight="true" outlineLevel="0" collapsed="false">
      <c r="A141" s="37" t="s">
        <v>45</v>
      </c>
      <c r="B141" s="37" t="s">
        <v>219</v>
      </c>
      <c r="C141" s="38" t="n">
        <v>1</v>
      </c>
      <c r="D141" s="37" t="s">
        <v>220</v>
      </c>
      <c r="E141" s="37" t="s">
        <v>262</v>
      </c>
      <c r="F141" s="37" t="s">
        <v>197</v>
      </c>
      <c r="G141" s="39" t="n">
        <v>0.49928946</v>
      </c>
      <c r="H141" s="37" t="s">
        <v>221</v>
      </c>
      <c r="I141" s="37" t="s">
        <v>222</v>
      </c>
      <c r="J141" s="37" t="s">
        <v>263</v>
      </c>
      <c r="K141" s="37" t="s">
        <v>224</v>
      </c>
      <c r="L141" s="37" t="n">
        <v>3</v>
      </c>
      <c r="M141" s="37" t="s">
        <v>207</v>
      </c>
    </row>
    <row r="142" customFormat="false" ht="42" hidden="false" customHeight="true" outlineLevel="0" collapsed="false">
      <c r="A142" s="37" t="s">
        <v>45</v>
      </c>
      <c r="B142" s="37" t="s">
        <v>219</v>
      </c>
      <c r="C142" s="38" t="n">
        <v>2</v>
      </c>
      <c r="D142" s="37" t="s">
        <v>168</v>
      </c>
      <c r="E142" s="37" t="s">
        <v>169</v>
      </c>
      <c r="F142" s="37" t="s">
        <v>170</v>
      </c>
      <c r="G142" s="39" t="n">
        <v>0.28969739</v>
      </c>
      <c r="H142" s="37" t="s">
        <v>171</v>
      </c>
      <c r="I142" s="37" t="s">
        <v>172</v>
      </c>
      <c r="J142" s="37" t="s">
        <v>173</v>
      </c>
      <c r="K142" s="37" t="s">
        <v>174</v>
      </c>
      <c r="L142" s="37" t="n">
        <v>0</v>
      </c>
      <c r="M142" s="37" t="s">
        <v>175</v>
      </c>
    </row>
    <row r="143" customFormat="false" ht="42" hidden="false" customHeight="true" outlineLevel="0" collapsed="false">
      <c r="A143" s="37" t="s">
        <v>45</v>
      </c>
      <c r="B143" s="37" t="s">
        <v>219</v>
      </c>
      <c r="C143" s="38" t="n">
        <v>3</v>
      </c>
      <c r="D143" s="37" t="s">
        <v>256</v>
      </c>
      <c r="E143" s="37" t="s">
        <v>257</v>
      </c>
      <c r="F143" s="37" t="s">
        <v>197</v>
      </c>
      <c r="G143" s="39" t="n">
        <v>0.28483871</v>
      </c>
      <c r="H143" s="37" t="s">
        <v>258</v>
      </c>
      <c r="I143" s="37" t="s">
        <v>259</v>
      </c>
      <c r="J143" s="37" t="s">
        <v>260</v>
      </c>
      <c r="K143" s="37" t="s">
        <v>261</v>
      </c>
      <c r="L143" s="37" t="n">
        <v>0</v>
      </c>
      <c r="M143" s="37" t="s">
        <v>175</v>
      </c>
    </row>
    <row r="144" customFormat="false" ht="42" hidden="false" customHeight="true" outlineLevel="0" collapsed="false">
      <c r="A144" s="37" t="s">
        <v>45</v>
      </c>
      <c r="B144" s="37" t="s">
        <v>219</v>
      </c>
      <c r="C144" s="38" t="n">
        <v>4</v>
      </c>
      <c r="D144" s="37" t="s">
        <v>237</v>
      </c>
      <c r="E144" s="37" t="s">
        <v>238</v>
      </c>
      <c r="F144" s="37" t="s">
        <v>197</v>
      </c>
      <c r="G144" s="39" t="n">
        <v>0.2846875</v>
      </c>
      <c r="H144" s="37" t="s">
        <v>239</v>
      </c>
      <c r="I144" s="37" t="s">
        <v>240</v>
      </c>
      <c r="J144" s="37" t="s">
        <v>241</v>
      </c>
      <c r="K144" s="37" t="s">
        <v>230</v>
      </c>
      <c r="L144" s="37" t="n">
        <v>0</v>
      </c>
      <c r="M144" s="37" t="s">
        <v>175</v>
      </c>
    </row>
    <row r="145" customFormat="false" ht="42" hidden="false" customHeight="true" outlineLevel="0" collapsed="false">
      <c r="A145" s="37" t="s">
        <v>45</v>
      </c>
      <c r="B145" s="37" t="s">
        <v>219</v>
      </c>
      <c r="C145" s="38" t="n">
        <v>5</v>
      </c>
      <c r="D145" s="37" t="s">
        <v>202</v>
      </c>
      <c r="E145" s="37" t="s">
        <v>20</v>
      </c>
      <c r="F145" s="37" t="s">
        <v>170</v>
      </c>
      <c r="G145" s="39" t="n">
        <v>0.21956185</v>
      </c>
      <c r="H145" s="37" t="s">
        <v>203</v>
      </c>
      <c r="I145" s="37" t="s">
        <v>204</v>
      </c>
      <c r="J145" s="37" t="s">
        <v>205</v>
      </c>
      <c r="K145" s="37" t="s">
        <v>206</v>
      </c>
      <c r="L145" s="37" t="n">
        <v>0</v>
      </c>
      <c r="M145" s="37" t="s">
        <v>175</v>
      </c>
    </row>
    <row r="146" customFormat="false" ht="42" hidden="false" customHeight="true" outlineLevel="0" collapsed="false">
      <c r="A146" s="37" t="s">
        <v>50</v>
      </c>
      <c r="B146" s="37" t="s">
        <v>167</v>
      </c>
      <c r="C146" s="38" t="n">
        <v>1</v>
      </c>
      <c r="D146" s="37" t="s">
        <v>220</v>
      </c>
      <c r="E146" s="37" t="s">
        <v>262</v>
      </c>
      <c r="F146" s="37" t="s">
        <v>197</v>
      </c>
      <c r="G146" s="39" t="n">
        <v>0.5</v>
      </c>
      <c r="H146" s="37" t="s">
        <v>221</v>
      </c>
      <c r="I146" s="37" t="s">
        <v>222</v>
      </c>
      <c r="J146" s="37" t="s">
        <v>263</v>
      </c>
      <c r="K146" s="37" t="s">
        <v>224</v>
      </c>
      <c r="L146" s="37" t="n">
        <v>3</v>
      </c>
      <c r="M146" s="37" t="s">
        <v>207</v>
      </c>
    </row>
    <row r="147" customFormat="false" ht="42" hidden="false" customHeight="true" outlineLevel="0" collapsed="false">
      <c r="A147" s="37" t="s">
        <v>50</v>
      </c>
      <c r="B147" s="37" t="s">
        <v>167</v>
      </c>
      <c r="C147" s="38" t="n">
        <v>2</v>
      </c>
      <c r="D147" s="37" t="s">
        <v>278</v>
      </c>
      <c r="E147" s="37" t="s">
        <v>292</v>
      </c>
      <c r="F147" s="37" t="s">
        <v>197</v>
      </c>
      <c r="G147" s="39" t="n">
        <v>0.5</v>
      </c>
      <c r="H147" s="37" t="s">
        <v>280</v>
      </c>
      <c r="I147" s="37" t="s">
        <v>281</v>
      </c>
      <c r="J147" s="37" t="s">
        <v>293</v>
      </c>
      <c r="K147" s="37" t="s">
        <v>283</v>
      </c>
      <c r="L147" s="37" t="n">
        <v>0</v>
      </c>
      <c r="M147" s="37" t="s">
        <v>175</v>
      </c>
    </row>
    <row r="148" customFormat="false" ht="42" hidden="false" customHeight="true" outlineLevel="0" collapsed="false">
      <c r="A148" s="37" t="s">
        <v>50</v>
      </c>
      <c r="B148" s="37" t="s">
        <v>167</v>
      </c>
      <c r="C148" s="38" t="n">
        <v>3</v>
      </c>
      <c r="D148" s="37" t="s">
        <v>168</v>
      </c>
      <c r="E148" s="37" t="s">
        <v>169</v>
      </c>
      <c r="F148" s="37" t="s">
        <v>170</v>
      </c>
      <c r="G148" s="39" t="n">
        <v>0.33333333</v>
      </c>
      <c r="H148" s="37" t="s">
        <v>171</v>
      </c>
      <c r="I148" s="37" t="s">
        <v>172</v>
      </c>
      <c r="J148" s="37" t="s">
        <v>173</v>
      </c>
      <c r="K148" s="37" t="s">
        <v>174</v>
      </c>
      <c r="L148" s="37" t="n">
        <v>0</v>
      </c>
      <c r="M148" s="37" t="s">
        <v>175</v>
      </c>
    </row>
    <row r="149" customFormat="false" ht="42" hidden="false" customHeight="true" outlineLevel="0" collapsed="false">
      <c r="A149" s="37" t="s">
        <v>50</v>
      </c>
      <c r="B149" s="37" t="s">
        <v>167</v>
      </c>
      <c r="C149" s="38" t="n">
        <v>4</v>
      </c>
      <c r="D149" s="37" t="s">
        <v>237</v>
      </c>
      <c r="E149" s="37" t="s">
        <v>238</v>
      </c>
      <c r="F149" s="37" t="s">
        <v>197</v>
      </c>
      <c r="G149" s="39" t="n">
        <v>0.33333333</v>
      </c>
      <c r="H149" s="37" t="s">
        <v>239</v>
      </c>
      <c r="I149" s="37" t="s">
        <v>240</v>
      </c>
      <c r="J149" s="37" t="s">
        <v>241</v>
      </c>
      <c r="K149" s="37" t="s">
        <v>230</v>
      </c>
      <c r="L149" s="37" t="n">
        <v>0</v>
      </c>
      <c r="M149" s="37" t="s">
        <v>175</v>
      </c>
    </row>
    <row r="150" customFormat="false" ht="42" hidden="false" customHeight="true" outlineLevel="0" collapsed="false">
      <c r="A150" s="37" t="s">
        <v>50</v>
      </c>
      <c r="B150" s="37" t="s">
        <v>167</v>
      </c>
      <c r="C150" s="38" t="n">
        <v>5</v>
      </c>
      <c r="D150" s="37" t="s">
        <v>310</v>
      </c>
      <c r="E150" s="37" t="s">
        <v>311</v>
      </c>
      <c r="F150" s="37" t="s">
        <v>170</v>
      </c>
      <c r="G150" s="39" t="n">
        <v>0.33333333</v>
      </c>
      <c r="H150" s="37" t="s">
        <v>312</v>
      </c>
      <c r="I150" s="37" t="s">
        <v>281</v>
      </c>
      <c r="J150" s="37" t="s">
        <v>313</v>
      </c>
      <c r="K150" s="37" t="s">
        <v>283</v>
      </c>
      <c r="L150" s="37" t="n">
        <v>0</v>
      </c>
      <c r="M150" s="37" t="s">
        <v>175</v>
      </c>
    </row>
    <row r="151" customFormat="false" ht="42" hidden="false" customHeight="true" outlineLevel="0" collapsed="false">
      <c r="A151" s="37" t="s">
        <v>50</v>
      </c>
      <c r="B151" s="37" t="s">
        <v>201</v>
      </c>
      <c r="C151" s="38" t="n">
        <v>1</v>
      </c>
      <c r="D151" s="37" t="s">
        <v>220</v>
      </c>
      <c r="E151" s="37" t="s">
        <v>262</v>
      </c>
      <c r="F151" s="37" t="s">
        <v>197</v>
      </c>
      <c r="G151" s="39" t="n">
        <v>0.18831515</v>
      </c>
      <c r="H151" s="37" t="s">
        <v>221</v>
      </c>
      <c r="I151" s="37" t="s">
        <v>222</v>
      </c>
      <c r="J151" s="37" t="s">
        <v>263</v>
      </c>
      <c r="K151" s="37" t="s">
        <v>224</v>
      </c>
      <c r="L151" s="37" t="n">
        <v>3</v>
      </c>
      <c r="M151" s="37" t="s">
        <v>207</v>
      </c>
    </row>
    <row r="152" customFormat="false" ht="42" hidden="false" customHeight="true" outlineLevel="0" collapsed="false">
      <c r="A152" s="37" t="s">
        <v>50</v>
      </c>
      <c r="B152" s="37" t="s">
        <v>201</v>
      </c>
      <c r="C152" s="38" t="n">
        <v>2</v>
      </c>
      <c r="D152" s="37" t="s">
        <v>168</v>
      </c>
      <c r="E152" s="37" t="s">
        <v>169</v>
      </c>
      <c r="F152" s="37" t="s">
        <v>170</v>
      </c>
      <c r="G152" s="39" t="n">
        <v>0.1050555</v>
      </c>
      <c r="H152" s="37" t="s">
        <v>171</v>
      </c>
      <c r="I152" s="37" t="s">
        <v>172</v>
      </c>
      <c r="J152" s="37" t="s">
        <v>173</v>
      </c>
      <c r="K152" s="37" t="s">
        <v>174</v>
      </c>
      <c r="L152" s="37" t="n">
        <v>0</v>
      </c>
      <c r="M152" s="37" t="s">
        <v>175</v>
      </c>
    </row>
    <row r="153" customFormat="false" ht="42" hidden="false" customHeight="true" outlineLevel="0" collapsed="false">
      <c r="A153" s="37" t="s">
        <v>50</v>
      </c>
      <c r="B153" s="37" t="s">
        <v>201</v>
      </c>
      <c r="C153" s="38" t="n">
        <v>3</v>
      </c>
      <c r="D153" s="37" t="s">
        <v>310</v>
      </c>
      <c r="E153" s="37" t="s">
        <v>311</v>
      </c>
      <c r="F153" s="37" t="s">
        <v>170</v>
      </c>
      <c r="G153" s="39" t="n">
        <v>0.10338515</v>
      </c>
      <c r="H153" s="37" t="s">
        <v>312</v>
      </c>
      <c r="I153" s="37" t="s">
        <v>281</v>
      </c>
      <c r="J153" s="37" t="s">
        <v>313</v>
      </c>
      <c r="K153" s="37" t="s">
        <v>283</v>
      </c>
      <c r="L153" s="37" t="n">
        <v>0</v>
      </c>
      <c r="M153" s="37" t="s">
        <v>175</v>
      </c>
    </row>
    <row r="154" customFormat="false" ht="42" hidden="false" customHeight="true" outlineLevel="0" collapsed="false">
      <c r="A154" s="37" t="s">
        <v>50</v>
      </c>
      <c r="B154" s="37" t="s">
        <v>201</v>
      </c>
      <c r="C154" s="38" t="n">
        <v>4</v>
      </c>
      <c r="D154" s="37" t="s">
        <v>305</v>
      </c>
      <c r="E154" s="37" t="s">
        <v>314</v>
      </c>
      <c r="F154" s="37" t="s">
        <v>170</v>
      </c>
      <c r="G154" s="39" t="n">
        <v>0.09823353</v>
      </c>
      <c r="H154" s="37" t="s">
        <v>307</v>
      </c>
      <c r="I154" s="37" t="s">
        <v>308</v>
      </c>
      <c r="J154" s="37" t="s">
        <v>315</v>
      </c>
      <c r="K154" s="37" t="s">
        <v>230</v>
      </c>
      <c r="L154" s="37" t="n">
        <v>0</v>
      </c>
      <c r="M154" s="37" t="s">
        <v>175</v>
      </c>
    </row>
    <row r="155" customFormat="false" ht="42" hidden="false" customHeight="true" outlineLevel="0" collapsed="false">
      <c r="A155" s="37" t="s">
        <v>50</v>
      </c>
      <c r="B155" s="37" t="s">
        <v>201</v>
      </c>
      <c r="C155" s="38" t="n">
        <v>5</v>
      </c>
      <c r="D155" s="37" t="s">
        <v>269</v>
      </c>
      <c r="E155" s="37" t="s">
        <v>270</v>
      </c>
      <c r="F155" s="37" t="s">
        <v>170</v>
      </c>
      <c r="G155" s="39" t="n">
        <v>0.0972709</v>
      </c>
      <c r="H155" s="37" t="s">
        <v>271</v>
      </c>
      <c r="I155" s="37" t="s">
        <v>272</v>
      </c>
      <c r="J155" s="37" t="s">
        <v>273</v>
      </c>
      <c r="K155" s="37" t="s">
        <v>274</v>
      </c>
      <c r="L155" s="37" t="n">
        <v>0</v>
      </c>
      <c r="M155" s="37" t="s">
        <v>175</v>
      </c>
    </row>
    <row r="156" customFormat="false" ht="42" hidden="false" customHeight="true" outlineLevel="0" collapsed="false">
      <c r="A156" s="37" t="s">
        <v>50</v>
      </c>
      <c r="B156" s="37" t="s">
        <v>212</v>
      </c>
      <c r="C156" s="38" t="n">
        <v>1</v>
      </c>
      <c r="D156" s="37" t="s">
        <v>220</v>
      </c>
      <c r="E156" s="37" t="s">
        <v>262</v>
      </c>
      <c r="F156" s="37" t="s">
        <v>197</v>
      </c>
      <c r="G156" s="39" t="n">
        <v>0.03311475</v>
      </c>
      <c r="H156" s="37" t="s">
        <v>221</v>
      </c>
      <c r="I156" s="37" t="s">
        <v>222</v>
      </c>
      <c r="J156" s="37" t="s">
        <v>263</v>
      </c>
      <c r="K156" s="37" t="s">
        <v>224</v>
      </c>
      <c r="L156" s="37" t="n">
        <v>3</v>
      </c>
      <c r="M156" s="37" t="s">
        <v>207</v>
      </c>
    </row>
    <row r="157" customFormat="false" ht="42" hidden="false" customHeight="true" outlineLevel="0" collapsed="false">
      <c r="A157" s="37" t="s">
        <v>50</v>
      </c>
      <c r="B157" s="37" t="s">
        <v>212</v>
      </c>
      <c r="C157" s="38" t="n">
        <v>2</v>
      </c>
      <c r="D157" s="37" t="s">
        <v>168</v>
      </c>
      <c r="E157" s="37" t="s">
        <v>169</v>
      </c>
      <c r="F157" s="37" t="s">
        <v>170</v>
      </c>
      <c r="G157" s="39" t="n">
        <v>0.03232463</v>
      </c>
      <c r="H157" s="37" t="s">
        <v>171</v>
      </c>
      <c r="I157" s="37" t="s">
        <v>172</v>
      </c>
      <c r="J157" s="37" t="s">
        <v>173</v>
      </c>
      <c r="K157" s="37" t="s">
        <v>174</v>
      </c>
      <c r="L157" s="37" t="n">
        <v>0</v>
      </c>
      <c r="M157" s="37" t="s">
        <v>175</v>
      </c>
    </row>
    <row r="158" customFormat="false" ht="42" hidden="false" customHeight="true" outlineLevel="0" collapsed="false">
      <c r="A158" s="37" t="s">
        <v>50</v>
      </c>
      <c r="B158" s="37" t="s">
        <v>212</v>
      </c>
      <c r="C158" s="38" t="n">
        <v>3</v>
      </c>
      <c r="D158" s="37" t="s">
        <v>310</v>
      </c>
      <c r="E158" s="37" t="s">
        <v>311</v>
      </c>
      <c r="F158" s="37" t="s">
        <v>170</v>
      </c>
      <c r="G158" s="39" t="n">
        <v>0.03157509</v>
      </c>
      <c r="H158" s="37" t="s">
        <v>312</v>
      </c>
      <c r="I158" s="37" t="s">
        <v>281</v>
      </c>
      <c r="J158" s="37" t="s">
        <v>313</v>
      </c>
      <c r="K158" s="37" t="s">
        <v>283</v>
      </c>
      <c r="L158" s="37" t="n">
        <v>0</v>
      </c>
      <c r="M158" s="37" t="s">
        <v>175</v>
      </c>
    </row>
    <row r="159" customFormat="false" ht="42" hidden="false" customHeight="true" outlineLevel="0" collapsed="false">
      <c r="A159" s="37" t="s">
        <v>50</v>
      </c>
      <c r="B159" s="37" t="s">
        <v>212</v>
      </c>
      <c r="C159" s="38" t="n">
        <v>4</v>
      </c>
      <c r="D159" s="37" t="s">
        <v>278</v>
      </c>
      <c r="E159" s="37" t="s">
        <v>292</v>
      </c>
      <c r="F159" s="37" t="s">
        <v>197</v>
      </c>
      <c r="G159" s="39" t="n">
        <v>0.01612903</v>
      </c>
      <c r="H159" s="37" t="s">
        <v>280</v>
      </c>
      <c r="I159" s="37" t="s">
        <v>281</v>
      </c>
      <c r="J159" s="37" t="s">
        <v>293</v>
      </c>
      <c r="K159" s="37" t="s">
        <v>283</v>
      </c>
      <c r="L159" s="37" t="n">
        <v>0</v>
      </c>
      <c r="M159" s="37" t="s">
        <v>175</v>
      </c>
    </row>
    <row r="160" customFormat="false" ht="42" hidden="false" customHeight="true" outlineLevel="0" collapsed="false">
      <c r="A160" s="37" t="s">
        <v>50</v>
      </c>
      <c r="B160" s="37" t="s">
        <v>212</v>
      </c>
      <c r="C160" s="38" t="n">
        <v>5</v>
      </c>
      <c r="D160" s="37" t="s">
        <v>305</v>
      </c>
      <c r="E160" s="37" t="s">
        <v>314</v>
      </c>
      <c r="F160" s="37" t="s">
        <v>170</v>
      </c>
      <c r="G160" s="39" t="n">
        <v>0.0159375</v>
      </c>
      <c r="H160" s="37" t="s">
        <v>307</v>
      </c>
      <c r="I160" s="37" t="s">
        <v>308</v>
      </c>
      <c r="J160" s="37" t="s">
        <v>315</v>
      </c>
      <c r="K160" s="37" t="s">
        <v>230</v>
      </c>
      <c r="L160" s="37" t="n">
        <v>0</v>
      </c>
      <c r="M160" s="37" t="s">
        <v>175</v>
      </c>
    </row>
    <row r="161" customFormat="false" ht="42" hidden="false" customHeight="true" outlineLevel="0" collapsed="false">
      <c r="A161" s="37" t="s">
        <v>50</v>
      </c>
      <c r="B161" s="37" t="s">
        <v>219</v>
      </c>
      <c r="C161" s="38" t="n">
        <v>1</v>
      </c>
      <c r="D161" s="37" t="s">
        <v>220</v>
      </c>
      <c r="E161" s="37" t="s">
        <v>262</v>
      </c>
      <c r="F161" s="37" t="s">
        <v>197</v>
      </c>
      <c r="G161" s="39" t="n">
        <v>0.35993443</v>
      </c>
      <c r="H161" s="37" t="s">
        <v>221</v>
      </c>
      <c r="I161" s="37" t="s">
        <v>222</v>
      </c>
      <c r="J161" s="37" t="s">
        <v>263</v>
      </c>
      <c r="K161" s="37" t="s">
        <v>224</v>
      </c>
      <c r="L161" s="37" t="n">
        <v>3</v>
      </c>
      <c r="M161" s="37" t="s">
        <v>207</v>
      </c>
    </row>
    <row r="162" customFormat="false" ht="42" hidden="false" customHeight="true" outlineLevel="0" collapsed="false">
      <c r="A162" s="37" t="s">
        <v>50</v>
      </c>
      <c r="B162" s="37" t="s">
        <v>219</v>
      </c>
      <c r="C162" s="38" t="n">
        <v>2</v>
      </c>
      <c r="D162" s="37" t="s">
        <v>278</v>
      </c>
      <c r="E162" s="37" t="s">
        <v>292</v>
      </c>
      <c r="F162" s="37" t="s">
        <v>197</v>
      </c>
      <c r="G162" s="39" t="n">
        <v>0.35483871</v>
      </c>
      <c r="H162" s="37" t="s">
        <v>280</v>
      </c>
      <c r="I162" s="37" t="s">
        <v>281</v>
      </c>
      <c r="J162" s="37" t="s">
        <v>293</v>
      </c>
      <c r="K162" s="37" t="s">
        <v>283</v>
      </c>
      <c r="L162" s="37" t="n">
        <v>0</v>
      </c>
      <c r="M162" s="37" t="s">
        <v>175</v>
      </c>
    </row>
    <row r="163" customFormat="false" ht="42" hidden="false" customHeight="true" outlineLevel="0" collapsed="false">
      <c r="A163" s="37" t="s">
        <v>50</v>
      </c>
      <c r="B163" s="37" t="s">
        <v>219</v>
      </c>
      <c r="C163" s="38" t="n">
        <v>3</v>
      </c>
      <c r="D163" s="37" t="s">
        <v>168</v>
      </c>
      <c r="E163" s="37" t="s">
        <v>169</v>
      </c>
      <c r="F163" s="37" t="s">
        <v>170</v>
      </c>
      <c r="G163" s="39" t="n">
        <v>0.24303072</v>
      </c>
      <c r="H163" s="37" t="s">
        <v>171</v>
      </c>
      <c r="I163" s="37" t="s">
        <v>172</v>
      </c>
      <c r="J163" s="37" t="s">
        <v>173</v>
      </c>
      <c r="K163" s="37" t="s">
        <v>174</v>
      </c>
      <c r="L163" s="37" t="n">
        <v>0</v>
      </c>
      <c r="M163" s="37" t="s">
        <v>175</v>
      </c>
    </row>
    <row r="164" customFormat="false" ht="42" hidden="false" customHeight="true" outlineLevel="0" collapsed="false">
      <c r="A164" s="37" t="s">
        <v>50</v>
      </c>
      <c r="B164" s="37" t="s">
        <v>219</v>
      </c>
      <c r="C164" s="38" t="n">
        <v>4</v>
      </c>
      <c r="D164" s="37" t="s">
        <v>310</v>
      </c>
      <c r="E164" s="37" t="s">
        <v>311</v>
      </c>
      <c r="F164" s="37" t="s">
        <v>170</v>
      </c>
      <c r="G164" s="39" t="n">
        <v>0.24280586</v>
      </c>
      <c r="H164" s="37" t="s">
        <v>312</v>
      </c>
      <c r="I164" s="37" t="s">
        <v>281</v>
      </c>
      <c r="J164" s="37" t="s">
        <v>313</v>
      </c>
      <c r="K164" s="37" t="s">
        <v>283</v>
      </c>
      <c r="L164" s="37" t="n">
        <v>0</v>
      </c>
      <c r="M164" s="37" t="s">
        <v>175</v>
      </c>
    </row>
    <row r="165" customFormat="false" ht="42" hidden="false" customHeight="true" outlineLevel="0" collapsed="false">
      <c r="A165" s="37" t="s">
        <v>50</v>
      </c>
      <c r="B165" s="37" t="s">
        <v>219</v>
      </c>
      <c r="C165" s="38" t="n">
        <v>5</v>
      </c>
      <c r="D165" s="37" t="s">
        <v>237</v>
      </c>
      <c r="E165" s="37" t="s">
        <v>238</v>
      </c>
      <c r="F165" s="37" t="s">
        <v>197</v>
      </c>
      <c r="G165" s="39" t="n">
        <v>0.23802083</v>
      </c>
      <c r="H165" s="37" t="s">
        <v>239</v>
      </c>
      <c r="I165" s="37" t="s">
        <v>240</v>
      </c>
      <c r="J165" s="37" t="s">
        <v>241</v>
      </c>
      <c r="K165" s="37" t="s">
        <v>230</v>
      </c>
      <c r="L165" s="37" t="n">
        <v>0</v>
      </c>
      <c r="M165" s="37" t="s">
        <v>175</v>
      </c>
    </row>
    <row r="166" customFormat="false" ht="42" hidden="false" customHeight="true" outlineLevel="0" collapsed="false">
      <c r="A166" s="37" t="s">
        <v>55</v>
      </c>
      <c r="B166" s="37" t="s">
        <v>167</v>
      </c>
      <c r="C166" s="38" t="n">
        <v>1</v>
      </c>
      <c r="D166" s="37" t="s">
        <v>225</v>
      </c>
      <c r="E166" s="37" t="s">
        <v>254</v>
      </c>
      <c r="F166" s="37" t="s">
        <v>178</v>
      </c>
      <c r="G166" s="39" t="n">
        <v>0.33333333</v>
      </c>
      <c r="H166" s="37" t="s">
        <v>227</v>
      </c>
      <c r="I166" s="37" t="s">
        <v>228</v>
      </c>
      <c r="J166" s="37" t="s">
        <v>255</v>
      </c>
      <c r="K166" s="37" t="s">
        <v>230</v>
      </c>
      <c r="L166" s="37" t="n">
        <v>0</v>
      </c>
      <c r="M166" s="37" t="s">
        <v>175</v>
      </c>
    </row>
    <row r="167" customFormat="false" ht="42" hidden="false" customHeight="true" outlineLevel="0" collapsed="false">
      <c r="A167" s="37" t="s">
        <v>55</v>
      </c>
      <c r="B167" s="37" t="s">
        <v>167</v>
      </c>
      <c r="C167" s="38" t="n">
        <v>2</v>
      </c>
      <c r="D167" s="37" t="s">
        <v>242</v>
      </c>
      <c r="E167" s="37" t="s">
        <v>243</v>
      </c>
      <c r="F167" s="37" t="s">
        <v>244</v>
      </c>
      <c r="G167" s="39" t="n">
        <v>0.33333333</v>
      </c>
      <c r="H167" s="37" t="s">
        <v>245</v>
      </c>
      <c r="I167" s="37" t="s">
        <v>246</v>
      </c>
      <c r="J167" s="37" t="s">
        <v>247</v>
      </c>
      <c r="K167" s="37" t="s">
        <v>248</v>
      </c>
      <c r="L167" s="37" t="n">
        <v>0</v>
      </c>
      <c r="M167" s="37" t="s">
        <v>175</v>
      </c>
    </row>
    <row r="168" customFormat="false" ht="42" hidden="false" customHeight="true" outlineLevel="0" collapsed="false">
      <c r="A168" s="37" t="s">
        <v>55</v>
      </c>
      <c r="B168" s="37" t="s">
        <v>167</v>
      </c>
      <c r="C168" s="38" t="n">
        <v>3</v>
      </c>
      <c r="D168" s="37" t="s">
        <v>278</v>
      </c>
      <c r="E168" s="37" t="s">
        <v>292</v>
      </c>
      <c r="F168" s="37" t="s">
        <v>197</v>
      </c>
      <c r="G168" s="39" t="n">
        <v>0.33333333</v>
      </c>
      <c r="H168" s="37" t="s">
        <v>280</v>
      </c>
      <c r="I168" s="37" t="s">
        <v>281</v>
      </c>
      <c r="J168" s="37" t="s">
        <v>293</v>
      </c>
      <c r="K168" s="37" t="s">
        <v>283</v>
      </c>
      <c r="L168" s="37" t="n">
        <v>3</v>
      </c>
      <c r="M168" s="37" t="s">
        <v>207</v>
      </c>
    </row>
    <row r="169" customFormat="false" ht="42" hidden="false" customHeight="true" outlineLevel="0" collapsed="false">
      <c r="A169" s="37" t="s">
        <v>55</v>
      </c>
      <c r="B169" s="37" t="s">
        <v>167</v>
      </c>
      <c r="C169" s="38" t="n">
        <v>4</v>
      </c>
      <c r="D169" s="37" t="s">
        <v>231</v>
      </c>
      <c r="E169" s="37" t="s">
        <v>232</v>
      </c>
      <c r="F169" s="37" t="s">
        <v>170</v>
      </c>
      <c r="G169" s="39" t="n">
        <v>0.22222222</v>
      </c>
      <c r="H169" s="37" t="s">
        <v>233</v>
      </c>
      <c r="I169" s="37" t="s">
        <v>234</v>
      </c>
      <c r="J169" s="37" t="s">
        <v>235</v>
      </c>
      <c r="K169" s="37" t="s">
        <v>236</v>
      </c>
      <c r="L169" s="37" t="n">
        <v>0</v>
      </c>
      <c r="M169" s="37" t="s">
        <v>175</v>
      </c>
    </row>
    <row r="170" customFormat="false" ht="42" hidden="false" customHeight="true" outlineLevel="0" collapsed="false">
      <c r="A170" s="37" t="s">
        <v>55</v>
      </c>
      <c r="B170" s="37" t="s">
        <v>167</v>
      </c>
      <c r="C170" s="38" t="n">
        <v>5</v>
      </c>
      <c r="D170" s="37" t="s">
        <v>208</v>
      </c>
      <c r="E170" s="37" t="s">
        <v>209</v>
      </c>
      <c r="F170" s="37" t="s">
        <v>170</v>
      </c>
      <c r="G170" s="39" t="n">
        <v>0.22222222</v>
      </c>
      <c r="H170" s="37" t="s">
        <v>210</v>
      </c>
      <c r="I170" s="37" t="s">
        <v>186</v>
      </c>
      <c r="J170" s="37" t="s">
        <v>211</v>
      </c>
      <c r="K170" s="37" t="s">
        <v>188</v>
      </c>
      <c r="L170" s="37" t="n">
        <v>0</v>
      </c>
      <c r="M170" s="37" t="s">
        <v>175</v>
      </c>
    </row>
    <row r="171" customFormat="false" ht="42" hidden="false" customHeight="true" outlineLevel="0" collapsed="false">
      <c r="A171" s="37" t="s">
        <v>55</v>
      </c>
      <c r="B171" s="37" t="s">
        <v>201</v>
      </c>
      <c r="C171" s="38" t="n">
        <v>1</v>
      </c>
      <c r="D171" s="37" t="s">
        <v>278</v>
      </c>
      <c r="E171" s="37" t="s">
        <v>292</v>
      </c>
      <c r="F171" s="37" t="s">
        <v>197</v>
      </c>
      <c r="G171" s="39" t="n">
        <v>0.28563727</v>
      </c>
      <c r="H171" s="37" t="s">
        <v>280</v>
      </c>
      <c r="I171" s="37" t="s">
        <v>281</v>
      </c>
      <c r="J171" s="37" t="s">
        <v>293</v>
      </c>
      <c r="K171" s="37" t="s">
        <v>283</v>
      </c>
      <c r="L171" s="37" t="n">
        <v>3</v>
      </c>
      <c r="M171" s="37" t="s">
        <v>207</v>
      </c>
    </row>
    <row r="172" customFormat="false" ht="42" hidden="false" customHeight="true" outlineLevel="0" collapsed="false">
      <c r="A172" s="37" t="s">
        <v>55</v>
      </c>
      <c r="B172" s="37" t="s">
        <v>201</v>
      </c>
      <c r="C172" s="38" t="n">
        <v>2</v>
      </c>
      <c r="D172" s="37" t="s">
        <v>310</v>
      </c>
      <c r="E172" s="37" t="s">
        <v>311</v>
      </c>
      <c r="F172" s="37" t="s">
        <v>170</v>
      </c>
      <c r="G172" s="39" t="n">
        <v>0.2132645</v>
      </c>
      <c r="H172" s="37" t="s">
        <v>312</v>
      </c>
      <c r="I172" s="37" t="s">
        <v>281</v>
      </c>
      <c r="J172" s="37" t="s">
        <v>313</v>
      </c>
      <c r="K172" s="37" t="s">
        <v>283</v>
      </c>
      <c r="L172" s="37" t="n">
        <v>0</v>
      </c>
      <c r="M172" s="37" t="s">
        <v>175</v>
      </c>
    </row>
    <row r="173" customFormat="false" ht="42" hidden="false" customHeight="true" outlineLevel="0" collapsed="false">
      <c r="A173" s="37" t="s">
        <v>55</v>
      </c>
      <c r="B173" s="37" t="s">
        <v>201</v>
      </c>
      <c r="C173" s="38" t="n">
        <v>3</v>
      </c>
      <c r="D173" s="37" t="s">
        <v>249</v>
      </c>
      <c r="E173" s="37" t="s">
        <v>30</v>
      </c>
      <c r="F173" s="37" t="s">
        <v>170</v>
      </c>
      <c r="G173" s="39" t="n">
        <v>0.18963794</v>
      </c>
      <c r="H173" s="37" t="s">
        <v>250</v>
      </c>
      <c r="I173" s="37" t="s">
        <v>251</v>
      </c>
      <c r="J173" s="37" t="s">
        <v>252</v>
      </c>
      <c r="K173" s="37" t="s">
        <v>253</v>
      </c>
      <c r="L173" s="37" t="n">
        <v>3</v>
      </c>
      <c r="M173" s="37" t="s">
        <v>207</v>
      </c>
    </row>
    <row r="174" customFormat="false" ht="42" hidden="false" customHeight="true" outlineLevel="0" collapsed="false">
      <c r="A174" s="37" t="s">
        <v>55</v>
      </c>
      <c r="B174" s="37" t="s">
        <v>201</v>
      </c>
      <c r="C174" s="38" t="n">
        <v>4</v>
      </c>
      <c r="D174" s="37" t="s">
        <v>316</v>
      </c>
      <c r="E174" s="37" t="s">
        <v>317</v>
      </c>
      <c r="F174" s="37" t="s">
        <v>197</v>
      </c>
      <c r="G174" s="39" t="n">
        <v>0.16906503</v>
      </c>
      <c r="H174" s="37" t="s">
        <v>318</v>
      </c>
      <c r="I174" s="37" t="s">
        <v>302</v>
      </c>
      <c r="J174" s="37" t="s">
        <v>319</v>
      </c>
      <c r="K174" s="37" t="s">
        <v>304</v>
      </c>
      <c r="L174" s="37" t="n">
        <v>0</v>
      </c>
      <c r="M174" s="37" t="s">
        <v>175</v>
      </c>
    </row>
    <row r="175" customFormat="false" ht="42" hidden="false" customHeight="true" outlineLevel="0" collapsed="false">
      <c r="A175" s="37" t="s">
        <v>55</v>
      </c>
      <c r="B175" s="37" t="s">
        <v>201</v>
      </c>
      <c r="C175" s="38" t="n">
        <v>5</v>
      </c>
      <c r="D175" s="37" t="s">
        <v>220</v>
      </c>
      <c r="E175" s="37" t="s">
        <v>48</v>
      </c>
      <c r="F175" s="37" t="s">
        <v>178</v>
      </c>
      <c r="G175" s="39" t="n">
        <v>0.15113945</v>
      </c>
      <c r="H175" s="37" t="s">
        <v>221</v>
      </c>
      <c r="I175" s="37" t="s">
        <v>222</v>
      </c>
      <c r="J175" s="37" t="s">
        <v>223</v>
      </c>
      <c r="K175" s="37" t="s">
        <v>224</v>
      </c>
      <c r="L175" s="37" t="n">
        <v>0</v>
      </c>
      <c r="M175" s="37" t="s">
        <v>175</v>
      </c>
    </row>
    <row r="176" customFormat="false" ht="42" hidden="false" customHeight="true" outlineLevel="0" collapsed="false">
      <c r="A176" s="37" t="s">
        <v>55</v>
      </c>
      <c r="B176" s="37" t="s">
        <v>212</v>
      </c>
      <c r="C176" s="38" t="n">
        <v>1</v>
      </c>
      <c r="D176" s="37" t="s">
        <v>278</v>
      </c>
      <c r="E176" s="37" t="s">
        <v>292</v>
      </c>
      <c r="F176" s="37" t="s">
        <v>197</v>
      </c>
      <c r="G176" s="39" t="n">
        <v>0.03259433</v>
      </c>
      <c r="H176" s="37" t="s">
        <v>280</v>
      </c>
      <c r="I176" s="37" t="s">
        <v>281</v>
      </c>
      <c r="J176" s="37" t="s">
        <v>293</v>
      </c>
      <c r="K176" s="37" t="s">
        <v>283</v>
      </c>
      <c r="L176" s="37" t="n">
        <v>3</v>
      </c>
      <c r="M176" s="37" t="s">
        <v>207</v>
      </c>
    </row>
    <row r="177" customFormat="false" ht="42" hidden="false" customHeight="true" outlineLevel="0" collapsed="false">
      <c r="A177" s="37" t="s">
        <v>55</v>
      </c>
      <c r="B177" s="37" t="s">
        <v>212</v>
      </c>
      <c r="C177" s="38" t="n">
        <v>2</v>
      </c>
      <c r="D177" s="37" t="s">
        <v>225</v>
      </c>
      <c r="E177" s="37" t="s">
        <v>254</v>
      </c>
      <c r="F177" s="37" t="s">
        <v>178</v>
      </c>
      <c r="G177" s="39" t="n">
        <v>0.03139344</v>
      </c>
      <c r="H177" s="37" t="s">
        <v>227</v>
      </c>
      <c r="I177" s="37" t="s">
        <v>228</v>
      </c>
      <c r="J177" s="37" t="s">
        <v>255</v>
      </c>
      <c r="K177" s="37" t="s">
        <v>230</v>
      </c>
      <c r="L177" s="37" t="n">
        <v>0</v>
      </c>
      <c r="M177" s="37" t="s">
        <v>175</v>
      </c>
    </row>
    <row r="178" customFormat="false" ht="42" hidden="false" customHeight="true" outlineLevel="0" collapsed="false">
      <c r="A178" s="37" t="s">
        <v>55</v>
      </c>
      <c r="B178" s="37" t="s">
        <v>212</v>
      </c>
      <c r="C178" s="38" t="n">
        <v>3</v>
      </c>
      <c r="D178" s="37" t="s">
        <v>249</v>
      </c>
      <c r="E178" s="37" t="s">
        <v>30</v>
      </c>
      <c r="F178" s="37" t="s">
        <v>170</v>
      </c>
      <c r="G178" s="39" t="n">
        <v>0.03089636</v>
      </c>
      <c r="H178" s="37" t="s">
        <v>250</v>
      </c>
      <c r="I178" s="37" t="s">
        <v>251</v>
      </c>
      <c r="J178" s="37" t="s">
        <v>252</v>
      </c>
      <c r="K178" s="37" t="s">
        <v>253</v>
      </c>
      <c r="L178" s="37" t="n">
        <v>3</v>
      </c>
      <c r="M178" s="37" t="s">
        <v>207</v>
      </c>
    </row>
    <row r="179" customFormat="false" ht="42" hidden="false" customHeight="true" outlineLevel="0" collapsed="false">
      <c r="A179" s="37" t="s">
        <v>55</v>
      </c>
      <c r="B179" s="37" t="s">
        <v>212</v>
      </c>
      <c r="C179" s="38" t="n">
        <v>4</v>
      </c>
      <c r="D179" s="37" t="s">
        <v>316</v>
      </c>
      <c r="E179" s="37" t="s">
        <v>317</v>
      </c>
      <c r="F179" s="37" t="s">
        <v>197</v>
      </c>
      <c r="G179" s="39" t="n">
        <v>0.03086287</v>
      </c>
      <c r="H179" s="37" t="s">
        <v>318</v>
      </c>
      <c r="I179" s="37" t="s">
        <v>302</v>
      </c>
      <c r="J179" s="37" t="s">
        <v>319</v>
      </c>
      <c r="K179" s="37" t="s">
        <v>304</v>
      </c>
      <c r="L179" s="37" t="n">
        <v>0</v>
      </c>
      <c r="M179" s="37" t="s">
        <v>175</v>
      </c>
    </row>
    <row r="180" customFormat="false" ht="42" hidden="false" customHeight="true" outlineLevel="0" collapsed="false">
      <c r="A180" s="37" t="s">
        <v>55</v>
      </c>
      <c r="B180" s="37" t="s">
        <v>212</v>
      </c>
      <c r="C180" s="38" t="n">
        <v>5</v>
      </c>
      <c r="D180" s="37" t="s">
        <v>231</v>
      </c>
      <c r="E180" s="37" t="s">
        <v>232</v>
      </c>
      <c r="F180" s="37" t="s">
        <v>170</v>
      </c>
      <c r="G180" s="39" t="n">
        <v>0.03084888</v>
      </c>
      <c r="H180" s="37" t="s">
        <v>233</v>
      </c>
      <c r="I180" s="37" t="s">
        <v>234</v>
      </c>
      <c r="J180" s="37" t="s">
        <v>235</v>
      </c>
      <c r="K180" s="37" t="s">
        <v>236</v>
      </c>
      <c r="L180" s="37" t="n">
        <v>0</v>
      </c>
      <c r="M180" s="37" t="s">
        <v>175</v>
      </c>
    </row>
    <row r="181" customFormat="false" ht="42" hidden="false" customHeight="true" outlineLevel="0" collapsed="false">
      <c r="A181" s="37" t="s">
        <v>55</v>
      </c>
      <c r="B181" s="37" t="s">
        <v>219</v>
      </c>
      <c r="C181" s="38" t="n">
        <v>1</v>
      </c>
      <c r="D181" s="37" t="s">
        <v>278</v>
      </c>
      <c r="E181" s="37" t="s">
        <v>292</v>
      </c>
      <c r="F181" s="37" t="s">
        <v>197</v>
      </c>
      <c r="G181" s="39" t="n">
        <v>0.24311163</v>
      </c>
      <c r="H181" s="37" t="s">
        <v>280</v>
      </c>
      <c r="I181" s="37" t="s">
        <v>281</v>
      </c>
      <c r="J181" s="37" t="s">
        <v>293</v>
      </c>
      <c r="K181" s="37" t="s">
        <v>283</v>
      </c>
      <c r="L181" s="37" t="n">
        <v>3</v>
      </c>
      <c r="M181" s="37" t="s">
        <v>207</v>
      </c>
    </row>
    <row r="182" customFormat="false" ht="42" hidden="false" customHeight="true" outlineLevel="0" collapsed="false">
      <c r="A182" s="37" t="s">
        <v>55</v>
      </c>
      <c r="B182" s="37" t="s">
        <v>219</v>
      </c>
      <c r="C182" s="38" t="n">
        <v>2</v>
      </c>
      <c r="D182" s="37" t="s">
        <v>225</v>
      </c>
      <c r="E182" s="37" t="s">
        <v>254</v>
      </c>
      <c r="F182" s="37" t="s">
        <v>178</v>
      </c>
      <c r="G182" s="39" t="n">
        <v>0.24275137</v>
      </c>
      <c r="H182" s="37" t="s">
        <v>227</v>
      </c>
      <c r="I182" s="37" t="s">
        <v>228</v>
      </c>
      <c r="J182" s="37" t="s">
        <v>255</v>
      </c>
      <c r="K182" s="37" t="s">
        <v>230</v>
      </c>
      <c r="L182" s="37" t="n">
        <v>0</v>
      </c>
      <c r="M182" s="37" t="s">
        <v>175</v>
      </c>
    </row>
    <row r="183" customFormat="false" ht="42" hidden="false" customHeight="true" outlineLevel="0" collapsed="false">
      <c r="A183" s="37" t="s">
        <v>55</v>
      </c>
      <c r="B183" s="37" t="s">
        <v>219</v>
      </c>
      <c r="C183" s="38" t="n">
        <v>3</v>
      </c>
      <c r="D183" s="37" t="s">
        <v>242</v>
      </c>
      <c r="E183" s="37" t="s">
        <v>243</v>
      </c>
      <c r="F183" s="37" t="s">
        <v>244</v>
      </c>
      <c r="G183" s="39" t="n">
        <v>0.23817204</v>
      </c>
      <c r="H183" s="37" t="s">
        <v>245</v>
      </c>
      <c r="I183" s="37" t="s">
        <v>246</v>
      </c>
      <c r="J183" s="37" t="s">
        <v>247</v>
      </c>
      <c r="K183" s="37" t="s">
        <v>248</v>
      </c>
      <c r="L183" s="37" t="n">
        <v>0</v>
      </c>
      <c r="M183" s="37" t="s">
        <v>175</v>
      </c>
    </row>
    <row r="184" customFormat="false" ht="42" hidden="false" customHeight="true" outlineLevel="0" collapsed="false">
      <c r="A184" s="37" t="s">
        <v>55</v>
      </c>
      <c r="B184" s="37" t="s">
        <v>219</v>
      </c>
      <c r="C184" s="38" t="n">
        <v>4</v>
      </c>
      <c r="D184" s="37" t="s">
        <v>231</v>
      </c>
      <c r="E184" s="37" t="s">
        <v>232</v>
      </c>
      <c r="F184" s="37" t="s">
        <v>170</v>
      </c>
      <c r="G184" s="39" t="n">
        <v>0.16481022</v>
      </c>
      <c r="H184" s="37" t="s">
        <v>233</v>
      </c>
      <c r="I184" s="37" t="s">
        <v>234</v>
      </c>
      <c r="J184" s="37" t="s">
        <v>235</v>
      </c>
      <c r="K184" s="37" t="s">
        <v>236</v>
      </c>
      <c r="L184" s="37" t="n">
        <v>0</v>
      </c>
      <c r="M184" s="37" t="s">
        <v>175</v>
      </c>
    </row>
    <row r="185" customFormat="false" ht="42" hidden="false" customHeight="true" outlineLevel="0" collapsed="false">
      <c r="A185" s="37" t="s">
        <v>55</v>
      </c>
      <c r="B185" s="37" t="s">
        <v>219</v>
      </c>
      <c r="C185" s="38" t="n">
        <v>5</v>
      </c>
      <c r="D185" s="37" t="s">
        <v>249</v>
      </c>
      <c r="E185" s="37" t="s">
        <v>30</v>
      </c>
      <c r="F185" s="37" t="s">
        <v>170</v>
      </c>
      <c r="G185" s="39" t="n">
        <v>0.08704669</v>
      </c>
      <c r="H185" s="37" t="s">
        <v>250</v>
      </c>
      <c r="I185" s="37" t="s">
        <v>251</v>
      </c>
      <c r="J185" s="37" t="s">
        <v>252</v>
      </c>
      <c r="K185" s="37" t="s">
        <v>253</v>
      </c>
      <c r="L185" s="37" t="n">
        <v>3</v>
      </c>
      <c r="M185" s="37" t="s">
        <v>207</v>
      </c>
    </row>
    <row r="186" customFormat="false" ht="42" hidden="false" customHeight="true" outlineLevel="0" collapsed="false">
      <c r="A186" s="37" t="s">
        <v>59</v>
      </c>
      <c r="B186" s="37" t="s">
        <v>167</v>
      </c>
      <c r="C186" s="38" t="n">
        <v>1</v>
      </c>
      <c r="D186" s="37" t="s">
        <v>176</v>
      </c>
      <c r="E186" s="37" t="s">
        <v>177</v>
      </c>
      <c r="F186" s="37" t="s">
        <v>178</v>
      </c>
      <c r="G186" s="39" t="n">
        <v>0.14285714</v>
      </c>
      <c r="H186" s="37" t="s">
        <v>179</v>
      </c>
      <c r="I186" s="37" t="s">
        <v>180</v>
      </c>
      <c r="J186" s="37" t="s">
        <v>181</v>
      </c>
      <c r="K186" s="37" t="s">
        <v>182</v>
      </c>
      <c r="L186" s="37" t="n">
        <v>0</v>
      </c>
      <c r="M186" s="37" t="s">
        <v>175</v>
      </c>
    </row>
    <row r="187" customFormat="false" ht="42" hidden="false" customHeight="true" outlineLevel="0" collapsed="false">
      <c r="A187" s="37" t="s">
        <v>59</v>
      </c>
      <c r="B187" s="37" t="s">
        <v>167</v>
      </c>
      <c r="C187" s="38" t="n">
        <v>2</v>
      </c>
      <c r="D187" s="37" t="s">
        <v>168</v>
      </c>
      <c r="E187" s="37" t="s">
        <v>169</v>
      </c>
      <c r="F187" s="37" t="s">
        <v>170</v>
      </c>
      <c r="G187" s="39" t="n">
        <v>0.14285714</v>
      </c>
      <c r="H187" s="37" t="s">
        <v>171</v>
      </c>
      <c r="I187" s="37" t="s">
        <v>172</v>
      </c>
      <c r="J187" s="37" t="s">
        <v>173</v>
      </c>
      <c r="K187" s="37" t="s">
        <v>174</v>
      </c>
      <c r="L187" s="37" t="n">
        <v>3</v>
      </c>
      <c r="M187" s="37" t="s">
        <v>207</v>
      </c>
    </row>
    <row r="188" customFormat="false" ht="42" hidden="false" customHeight="true" outlineLevel="0" collapsed="false">
      <c r="A188" s="37" t="s">
        <v>59</v>
      </c>
      <c r="B188" s="37" t="s">
        <v>167</v>
      </c>
      <c r="C188" s="38" t="n">
        <v>3</v>
      </c>
      <c r="D188" s="37" t="s">
        <v>220</v>
      </c>
      <c r="E188" s="37" t="s">
        <v>262</v>
      </c>
      <c r="F188" s="37" t="s">
        <v>197</v>
      </c>
      <c r="G188" s="39" t="n">
        <v>0.14285714</v>
      </c>
      <c r="H188" s="37" t="s">
        <v>221</v>
      </c>
      <c r="I188" s="37" t="s">
        <v>222</v>
      </c>
      <c r="J188" s="37" t="s">
        <v>263</v>
      </c>
      <c r="K188" s="37" t="s">
        <v>224</v>
      </c>
      <c r="L188" s="37" t="n">
        <v>0</v>
      </c>
      <c r="M188" s="37" t="s">
        <v>175</v>
      </c>
    </row>
    <row r="189" customFormat="false" ht="42" hidden="false" customHeight="true" outlineLevel="0" collapsed="false">
      <c r="A189" s="37" t="s">
        <v>59</v>
      </c>
      <c r="B189" s="37" t="s">
        <v>167</v>
      </c>
      <c r="C189" s="38" t="n">
        <v>4</v>
      </c>
      <c r="D189" s="37" t="s">
        <v>189</v>
      </c>
      <c r="E189" s="37" t="s">
        <v>190</v>
      </c>
      <c r="F189" s="37" t="s">
        <v>170</v>
      </c>
      <c r="G189" s="39" t="n">
        <v>0.14285714</v>
      </c>
      <c r="H189" s="37" t="s">
        <v>191</v>
      </c>
      <c r="I189" s="37" t="s">
        <v>192</v>
      </c>
      <c r="J189" s="37" t="s">
        <v>193</v>
      </c>
      <c r="K189" s="37" t="s">
        <v>194</v>
      </c>
      <c r="L189" s="37" t="n">
        <v>0</v>
      </c>
      <c r="M189" s="37" t="s">
        <v>175</v>
      </c>
    </row>
    <row r="190" customFormat="false" ht="42" hidden="false" customHeight="true" outlineLevel="0" collapsed="false">
      <c r="A190" s="37" t="s">
        <v>59</v>
      </c>
      <c r="B190" s="37" t="s">
        <v>167</v>
      </c>
      <c r="C190" s="38" t="n">
        <v>5</v>
      </c>
      <c r="D190" s="37" t="s">
        <v>237</v>
      </c>
      <c r="E190" s="37" t="s">
        <v>238</v>
      </c>
      <c r="F190" s="37" t="s">
        <v>197</v>
      </c>
      <c r="G190" s="39" t="n">
        <v>0.14285714</v>
      </c>
      <c r="H190" s="37" t="s">
        <v>239</v>
      </c>
      <c r="I190" s="37" t="s">
        <v>240</v>
      </c>
      <c r="J190" s="37" t="s">
        <v>241</v>
      </c>
      <c r="K190" s="37" t="s">
        <v>230</v>
      </c>
      <c r="L190" s="37" t="n">
        <v>0</v>
      </c>
      <c r="M190" s="37" t="s">
        <v>175</v>
      </c>
    </row>
    <row r="191" customFormat="false" ht="42" hidden="false" customHeight="true" outlineLevel="0" collapsed="false">
      <c r="A191" s="37" t="s">
        <v>59</v>
      </c>
      <c r="B191" s="37" t="s">
        <v>201</v>
      </c>
      <c r="C191" s="38" t="n">
        <v>1</v>
      </c>
      <c r="D191" s="37" t="s">
        <v>189</v>
      </c>
      <c r="E191" s="37" t="s">
        <v>190</v>
      </c>
      <c r="F191" s="37" t="s">
        <v>170</v>
      </c>
      <c r="G191" s="39" t="n">
        <v>0.21043117</v>
      </c>
      <c r="H191" s="37" t="s">
        <v>191</v>
      </c>
      <c r="I191" s="37" t="s">
        <v>192</v>
      </c>
      <c r="J191" s="37" t="s">
        <v>193</v>
      </c>
      <c r="K191" s="37" t="s">
        <v>194</v>
      </c>
      <c r="L191" s="37" t="n">
        <v>0</v>
      </c>
      <c r="M191" s="37" t="s">
        <v>175</v>
      </c>
    </row>
    <row r="192" customFormat="false" ht="42" hidden="false" customHeight="true" outlineLevel="0" collapsed="false">
      <c r="A192" s="37" t="s">
        <v>59</v>
      </c>
      <c r="B192" s="37" t="s">
        <v>201</v>
      </c>
      <c r="C192" s="38" t="n">
        <v>2</v>
      </c>
      <c r="D192" s="37" t="s">
        <v>183</v>
      </c>
      <c r="E192" s="37" t="s">
        <v>184</v>
      </c>
      <c r="F192" s="37" t="s">
        <v>178</v>
      </c>
      <c r="G192" s="39" t="n">
        <v>0.19616271</v>
      </c>
      <c r="H192" s="37" t="s">
        <v>185</v>
      </c>
      <c r="I192" s="37" t="s">
        <v>186</v>
      </c>
      <c r="J192" s="37" t="s">
        <v>187</v>
      </c>
      <c r="K192" s="37" t="s">
        <v>188</v>
      </c>
      <c r="L192" s="37" t="n">
        <v>0</v>
      </c>
      <c r="M192" s="37" t="s">
        <v>175</v>
      </c>
    </row>
    <row r="193" customFormat="false" ht="42" hidden="false" customHeight="true" outlineLevel="0" collapsed="false">
      <c r="A193" s="37" t="s">
        <v>59</v>
      </c>
      <c r="B193" s="37" t="s">
        <v>201</v>
      </c>
      <c r="C193" s="38" t="n">
        <v>3</v>
      </c>
      <c r="D193" s="37" t="s">
        <v>320</v>
      </c>
      <c r="E193" s="37" t="s">
        <v>321</v>
      </c>
      <c r="F193" s="37" t="s">
        <v>170</v>
      </c>
      <c r="G193" s="39" t="n">
        <v>0.18949091</v>
      </c>
      <c r="H193" s="37" t="s">
        <v>322</v>
      </c>
      <c r="I193" s="37" t="s">
        <v>323</v>
      </c>
      <c r="J193" s="37" t="s">
        <v>324</v>
      </c>
      <c r="K193" s="37" t="s">
        <v>325</v>
      </c>
      <c r="L193" s="37" t="n">
        <v>0</v>
      </c>
      <c r="M193" s="37" t="s">
        <v>175</v>
      </c>
    </row>
    <row r="194" customFormat="false" ht="42" hidden="false" customHeight="true" outlineLevel="0" collapsed="false">
      <c r="A194" s="37" t="s">
        <v>59</v>
      </c>
      <c r="B194" s="37" t="s">
        <v>201</v>
      </c>
      <c r="C194" s="38" t="n">
        <v>4</v>
      </c>
      <c r="D194" s="37" t="s">
        <v>202</v>
      </c>
      <c r="E194" s="37" t="s">
        <v>20</v>
      </c>
      <c r="F194" s="37" t="s">
        <v>170</v>
      </c>
      <c r="G194" s="39" t="n">
        <v>0.18360845</v>
      </c>
      <c r="H194" s="37" t="s">
        <v>203</v>
      </c>
      <c r="I194" s="37" t="s">
        <v>204</v>
      </c>
      <c r="J194" s="37" t="s">
        <v>205</v>
      </c>
      <c r="K194" s="37" t="s">
        <v>206</v>
      </c>
      <c r="L194" s="37" t="n">
        <v>0</v>
      </c>
      <c r="M194" s="37" t="s">
        <v>175</v>
      </c>
    </row>
    <row r="195" customFormat="false" ht="42" hidden="false" customHeight="true" outlineLevel="0" collapsed="false">
      <c r="A195" s="37" t="s">
        <v>59</v>
      </c>
      <c r="B195" s="37" t="s">
        <v>201</v>
      </c>
      <c r="C195" s="38" t="n">
        <v>5</v>
      </c>
      <c r="D195" s="37" t="s">
        <v>305</v>
      </c>
      <c r="E195" s="37" t="s">
        <v>306</v>
      </c>
      <c r="F195" s="37" t="s">
        <v>178</v>
      </c>
      <c r="G195" s="39" t="n">
        <v>0.18295433</v>
      </c>
      <c r="H195" s="37" t="s">
        <v>307</v>
      </c>
      <c r="I195" s="37" t="s">
        <v>308</v>
      </c>
      <c r="J195" s="37" t="s">
        <v>309</v>
      </c>
      <c r="K195" s="37" t="s">
        <v>230</v>
      </c>
      <c r="L195" s="37" t="n">
        <v>0</v>
      </c>
      <c r="M195" s="37" t="s">
        <v>175</v>
      </c>
    </row>
    <row r="196" customFormat="false" ht="42" hidden="false" customHeight="true" outlineLevel="0" collapsed="false">
      <c r="A196" s="37" t="s">
        <v>59</v>
      </c>
      <c r="B196" s="37" t="s">
        <v>212</v>
      </c>
      <c r="C196" s="38" t="n">
        <v>1</v>
      </c>
      <c r="D196" s="37" t="s">
        <v>189</v>
      </c>
      <c r="E196" s="37" t="s">
        <v>190</v>
      </c>
      <c r="F196" s="37" t="s">
        <v>170</v>
      </c>
      <c r="G196" s="39" t="n">
        <v>0.03234631</v>
      </c>
      <c r="H196" s="37" t="s">
        <v>191</v>
      </c>
      <c r="I196" s="37" t="s">
        <v>192</v>
      </c>
      <c r="J196" s="37" t="s">
        <v>193</v>
      </c>
      <c r="K196" s="37" t="s">
        <v>194</v>
      </c>
      <c r="L196" s="37" t="n">
        <v>0</v>
      </c>
      <c r="M196" s="37" t="s">
        <v>175</v>
      </c>
    </row>
    <row r="197" customFormat="false" ht="42" hidden="false" customHeight="true" outlineLevel="0" collapsed="false">
      <c r="A197" s="37" t="s">
        <v>59</v>
      </c>
      <c r="B197" s="37" t="s">
        <v>212</v>
      </c>
      <c r="C197" s="38" t="n">
        <v>2</v>
      </c>
      <c r="D197" s="37" t="s">
        <v>168</v>
      </c>
      <c r="E197" s="37" t="s">
        <v>169</v>
      </c>
      <c r="F197" s="37" t="s">
        <v>170</v>
      </c>
      <c r="G197" s="39" t="n">
        <v>0.03091164</v>
      </c>
      <c r="H197" s="37" t="s">
        <v>171</v>
      </c>
      <c r="I197" s="37" t="s">
        <v>172</v>
      </c>
      <c r="J197" s="37" t="s">
        <v>173</v>
      </c>
      <c r="K197" s="37" t="s">
        <v>174</v>
      </c>
      <c r="L197" s="37" t="n">
        <v>3</v>
      </c>
      <c r="M197" s="37" t="s">
        <v>207</v>
      </c>
    </row>
    <row r="198" customFormat="false" ht="42" hidden="false" customHeight="true" outlineLevel="0" collapsed="false">
      <c r="A198" s="37" t="s">
        <v>59</v>
      </c>
      <c r="B198" s="37" t="s">
        <v>212</v>
      </c>
      <c r="C198" s="38" t="n">
        <v>3</v>
      </c>
      <c r="D198" s="37" t="s">
        <v>183</v>
      </c>
      <c r="E198" s="37" t="s">
        <v>184</v>
      </c>
      <c r="F198" s="37" t="s">
        <v>178</v>
      </c>
      <c r="G198" s="39" t="n">
        <v>0.01645161</v>
      </c>
      <c r="H198" s="37" t="s">
        <v>185</v>
      </c>
      <c r="I198" s="37" t="s">
        <v>186</v>
      </c>
      <c r="J198" s="37" t="s">
        <v>187</v>
      </c>
      <c r="K198" s="37" t="s">
        <v>188</v>
      </c>
      <c r="L198" s="37" t="n">
        <v>0</v>
      </c>
      <c r="M198" s="37" t="s">
        <v>175</v>
      </c>
    </row>
    <row r="199" customFormat="false" ht="42" hidden="false" customHeight="true" outlineLevel="0" collapsed="false">
      <c r="A199" s="37" t="s">
        <v>59</v>
      </c>
      <c r="B199" s="37" t="s">
        <v>212</v>
      </c>
      <c r="C199" s="38" t="n">
        <v>4</v>
      </c>
      <c r="D199" s="37" t="s">
        <v>176</v>
      </c>
      <c r="E199" s="37" t="s">
        <v>177</v>
      </c>
      <c r="F199" s="37" t="s">
        <v>178</v>
      </c>
      <c r="G199" s="39" t="n">
        <v>0.01639344</v>
      </c>
      <c r="H199" s="37" t="s">
        <v>179</v>
      </c>
      <c r="I199" s="37" t="s">
        <v>180</v>
      </c>
      <c r="J199" s="37" t="s">
        <v>181</v>
      </c>
      <c r="K199" s="37" t="s">
        <v>182</v>
      </c>
      <c r="L199" s="37" t="n">
        <v>0</v>
      </c>
      <c r="M199" s="37" t="s">
        <v>175</v>
      </c>
    </row>
    <row r="200" customFormat="false" ht="42" hidden="false" customHeight="true" outlineLevel="0" collapsed="false">
      <c r="A200" s="37" t="s">
        <v>59</v>
      </c>
      <c r="B200" s="37" t="s">
        <v>212</v>
      </c>
      <c r="C200" s="38" t="n">
        <v>5</v>
      </c>
      <c r="D200" s="37" t="s">
        <v>320</v>
      </c>
      <c r="E200" s="37" t="s">
        <v>321</v>
      </c>
      <c r="F200" s="37" t="s">
        <v>170</v>
      </c>
      <c r="G200" s="39" t="n">
        <v>0.01619048</v>
      </c>
      <c r="H200" s="37" t="s">
        <v>322</v>
      </c>
      <c r="I200" s="37" t="s">
        <v>323</v>
      </c>
      <c r="J200" s="37" t="s">
        <v>324</v>
      </c>
      <c r="K200" s="37" t="s">
        <v>325</v>
      </c>
      <c r="L200" s="37" t="n">
        <v>0</v>
      </c>
      <c r="M200" s="37" t="s">
        <v>175</v>
      </c>
    </row>
    <row r="201" customFormat="false" ht="42" hidden="false" customHeight="true" outlineLevel="0" collapsed="false">
      <c r="A201" s="37" t="s">
        <v>59</v>
      </c>
      <c r="B201" s="37" t="s">
        <v>219</v>
      </c>
      <c r="C201" s="38" t="n">
        <v>1</v>
      </c>
      <c r="D201" s="37" t="s">
        <v>189</v>
      </c>
      <c r="E201" s="37" t="s">
        <v>190</v>
      </c>
      <c r="F201" s="37" t="s">
        <v>170</v>
      </c>
      <c r="G201" s="39" t="n">
        <v>0.10970389</v>
      </c>
      <c r="H201" s="37" t="s">
        <v>191</v>
      </c>
      <c r="I201" s="37" t="s">
        <v>192</v>
      </c>
      <c r="J201" s="37" t="s">
        <v>193</v>
      </c>
      <c r="K201" s="37" t="s">
        <v>194</v>
      </c>
      <c r="L201" s="37" t="n">
        <v>0</v>
      </c>
      <c r="M201" s="37" t="s">
        <v>175</v>
      </c>
    </row>
    <row r="202" customFormat="false" ht="42" hidden="false" customHeight="true" outlineLevel="0" collapsed="false">
      <c r="A202" s="37" t="s">
        <v>59</v>
      </c>
      <c r="B202" s="37" t="s">
        <v>219</v>
      </c>
      <c r="C202" s="38" t="n">
        <v>2</v>
      </c>
      <c r="D202" s="37" t="s">
        <v>168</v>
      </c>
      <c r="E202" s="37" t="s">
        <v>169</v>
      </c>
      <c r="F202" s="37" t="s">
        <v>170</v>
      </c>
      <c r="G202" s="39" t="n">
        <v>0.10927349</v>
      </c>
      <c r="H202" s="37" t="s">
        <v>171</v>
      </c>
      <c r="I202" s="37" t="s">
        <v>172</v>
      </c>
      <c r="J202" s="37" t="s">
        <v>173</v>
      </c>
      <c r="K202" s="37" t="s">
        <v>174</v>
      </c>
      <c r="L202" s="37" t="n">
        <v>3</v>
      </c>
      <c r="M202" s="37" t="s">
        <v>207</v>
      </c>
    </row>
    <row r="203" customFormat="false" ht="42" hidden="false" customHeight="true" outlineLevel="0" collapsed="false">
      <c r="A203" s="37" t="s">
        <v>59</v>
      </c>
      <c r="B203" s="37" t="s">
        <v>219</v>
      </c>
      <c r="C203" s="38" t="n">
        <v>3</v>
      </c>
      <c r="D203" s="37" t="s">
        <v>176</v>
      </c>
      <c r="E203" s="37" t="s">
        <v>177</v>
      </c>
      <c r="F203" s="37" t="s">
        <v>178</v>
      </c>
      <c r="G203" s="39" t="n">
        <v>0.10491803</v>
      </c>
      <c r="H203" s="37" t="s">
        <v>179</v>
      </c>
      <c r="I203" s="37" t="s">
        <v>180</v>
      </c>
      <c r="J203" s="37" t="s">
        <v>181</v>
      </c>
      <c r="K203" s="37" t="s">
        <v>182</v>
      </c>
      <c r="L203" s="37" t="n">
        <v>0</v>
      </c>
      <c r="M203" s="37" t="s">
        <v>175</v>
      </c>
    </row>
    <row r="204" customFormat="false" ht="42" hidden="false" customHeight="true" outlineLevel="0" collapsed="false">
      <c r="A204" s="37" t="s">
        <v>59</v>
      </c>
      <c r="B204" s="37" t="s">
        <v>219</v>
      </c>
      <c r="C204" s="38" t="n">
        <v>4</v>
      </c>
      <c r="D204" s="37" t="s">
        <v>220</v>
      </c>
      <c r="E204" s="37" t="s">
        <v>262</v>
      </c>
      <c r="F204" s="37" t="s">
        <v>197</v>
      </c>
      <c r="G204" s="39" t="n">
        <v>0.1047619</v>
      </c>
      <c r="H204" s="37" t="s">
        <v>221</v>
      </c>
      <c r="I204" s="37" t="s">
        <v>222</v>
      </c>
      <c r="J204" s="37" t="s">
        <v>263</v>
      </c>
      <c r="K204" s="37" t="s">
        <v>224</v>
      </c>
      <c r="L204" s="37" t="n">
        <v>0</v>
      </c>
      <c r="M204" s="37" t="s">
        <v>175</v>
      </c>
    </row>
    <row r="205" customFormat="false" ht="42" hidden="false" customHeight="true" outlineLevel="0" collapsed="false">
      <c r="A205" s="37" t="s">
        <v>59</v>
      </c>
      <c r="B205" s="37" t="s">
        <v>219</v>
      </c>
      <c r="C205" s="38" t="n">
        <v>5</v>
      </c>
      <c r="D205" s="37" t="s">
        <v>237</v>
      </c>
      <c r="E205" s="37" t="s">
        <v>238</v>
      </c>
      <c r="F205" s="37" t="s">
        <v>197</v>
      </c>
      <c r="G205" s="39" t="n">
        <v>0.10461538</v>
      </c>
      <c r="H205" s="37" t="s">
        <v>239</v>
      </c>
      <c r="I205" s="37" t="s">
        <v>240</v>
      </c>
      <c r="J205" s="37" t="s">
        <v>241</v>
      </c>
      <c r="K205" s="37" t="s">
        <v>230</v>
      </c>
      <c r="L205" s="37" t="n">
        <v>0</v>
      </c>
      <c r="M205" s="37" t="s">
        <v>175</v>
      </c>
    </row>
    <row r="206" customFormat="false" ht="42" hidden="false" customHeight="true" outlineLevel="0" collapsed="false">
      <c r="A206" s="37" t="s">
        <v>64</v>
      </c>
      <c r="B206" s="37" t="s">
        <v>167</v>
      </c>
      <c r="C206" s="38" t="n">
        <v>1</v>
      </c>
      <c r="D206" s="37" t="s">
        <v>168</v>
      </c>
      <c r="E206" s="37" t="s">
        <v>290</v>
      </c>
      <c r="F206" s="37" t="s">
        <v>178</v>
      </c>
      <c r="G206" s="39" t="n">
        <v>0.66666667</v>
      </c>
      <c r="H206" s="37" t="s">
        <v>171</v>
      </c>
      <c r="I206" s="37" t="s">
        <v>172</v>
      </c>
      <c r="J206" s="37" t="s">
        <v>291</v>
      </c>
      <c r="K206" s="37" t="s">
        <v>174</v>
      </c>
      <c r="L206" s="37" t="n">
        <v>3</v>
      </c>
      <c r="M206" s="37" t="s">
        <v>207</v>
      </c>
    </row>
    <row r="207" customFormat="false" ht="42" hidden="false" customHeight="true" outlineLevel="0" collapsed="false">
      <c r="A207" s="37" t="s">
        <v>64</v>
      </c>
      <c r="B207" s="37" t="s">
        <v>167</v>
      </c>
      <c r="C207" s="38" t="n">
        <v>2</v>
      </c>
      <c r="D207" s="37" t="s">
        <v>305</v>
      </c>
      <c r="E207" s="37" t="s">
        <v>326</v>
      </c>
      <c r="F207" s="37" t="s">
        <v>244</v>
      </c>
      <c r="G207" s="39" t="n">
        <v>0.66666667</v>
      </c>
      <c r="H207" s="37" t="s">
        <v>307</v>
      </c>
      <c r="I207" s="37" t="s">
        <v>308</v>
      </c>
      <c r="J207" s="37" t="s">
        <v>327</v>
      </c>
      <c r="K207" s="37" t="s">
        <v>230</v>
      </c>
      <c r="L207" s="37" t="n">
        <v>0</v>
      </c>
      <c r="M207" s="37" t="s">
        <v>175</v>
      </c>
    </row>
    <row r="208" customFormat="false" ht="42" hidden="false" customHeight="true" outlineLevel="0" collapsed="false">
      <c r="A208" s="37" t="s">
        <v>64</v>
      </c>
      <c r="B208" s="37" t="s">
        <v>167</v>
      </c>
      <c r="C208" s="38" t="n">
        <v>3</v>
      </c>
      <c r="D208" s="37" t="s">
        <v>237</v>
      </c>
      <c r="E208" s="37" t="s">
        <v>238</v>
      </c>
      <c r="F208" s="37" t="s">
        <v>197</v>
      </c>
      <c r="G208" s="39" t="n">
        <v>0.66666667</v>
      </c>
      <c r="H208" s="37" t="s">
        <v>239</v>
      </c>
      <c r="I208" s="37" t="s">
        <v>240</v>
      </c>
      <c r="J208" s="37" t="s">
        <v>241</v>
      </c>
      <c r="K208" s="37" t="s">
        <v>230</v>
      </c>
      <c r="L208" s="37" t="n">
        <v>0</v>
      </c>
      <c r="M208" s="37" t="s">
        <v>175</v>
      </c>
    </row>
    <row r="209" customFormat="false" ht="42" hidden="false" customHeight="true" outlineLevel="0" collapsed="false">
      <c r="A209" s="37" t="s">
        <v>64</v>
      </c>
      <c r="B209" s="37" t="s">
        <v>167</v>
      </c>
      <c r="C209" s="38" t="n">
        <v>4</v>
      </c>
      <c r="D209" s="37" t="s">
        <v>220</v>
      </c>
      <c r="E209" s="37" t="s">
        <v>328</v>
      </c>
      <c r="F209" s="37" t="s">
        <v>329</v>
      </c>
      <c r="G209" s="39" t="n">
        <v>0.5</v>
      </c>
      <c r="H209" s="37" t="s">
        <v>221</v>
      </c>
      <c r="I209" s="37" t="s">
        <v>222</v>
      </c>
      <c r="J209" s="37" t="s">
        <v>330</v>
      </c>
      <c r="K209" s="37" t="s">
        <v>224</v>
      </c>
      <c r="L209" s="37" t="n">
        <v>0</v>
      </c>
      <c r="M209" s="37" t="s">
        <v>175</v>
      </c>
    </row>
    <row r="210" customFormat="false" ht="42" hidden="false" customHeight="true" outlineLevel="0" collapsed="false">
      <c r="A210" s="37" t="s">
        <v>64</v>
      </c>
      <c r="B210" s="37" t="s">
        <v>167</v>
      </c>
      <c r="C210" s="38" t="n">
        <v>5</v>
      </c>
      <c r="D210" s="37" t="s">
        <v>225</v>
      </c>
      <c r="E210" s="37" t="s">
        <v>331</v>
      </c>
      <c r="F210" s="37" t="s">
        <v>197</v>
      </c>
      <c r="G210" s="39" t="n">
        <v>0.5</v>
      </c>
      <c r="H210" s="37" t="s">
        <v>227</v>
      </c>
      <c r="I210" s="37" t="s">
        <v>228</v>
      </c>
      <c r="J210" s="37" t="s">
        <v>332</v>
      </c>
      <c r="K210" s="37" t="s">
        <v>230</v>
      </c>
      <c r="L210" s="37" t="n">
        <v>0</v>
      </c>
      <c r="M210" s="37" t="s">
        <v>175</v>
      </c>
    </row>
    <row r="211" customFormat="false" ht="42" hidden="false" customHeight="true" outlineLevel="0" collapsed="false">
      <c r="A211" s="37" t="s">
        <v>64</v>
      </c>
      <c r="B211" s="37" t="s">
        <v>201</v>
      </c>
      <c r="C211" s="38" t="n">
        <v>1</v>
      </c>
      <c r="D211" s="37" t="s">
        <v>168</v>
      </c>
      <c r="E211" s="37" t="s">
        <v>290</v>
      </c>
      <c r="F211" s="37" t="s">
        <v>178</v>
      </c>
      <c r="G211" s="39" t="n">
        <v>0.51662266</v>
      </c>
      <c r="H211" s="37" t="s">
        <v>171</v>
      </c>
      <c r="I211" s="37" t="s">
        <v>172</v>
      </c>
      <c r="J211" s="37" t="s">
        <v>291</v>
      </c>
      <c r="K211" s="37" t="s">
        <v>174</v>
      </c>
      <c r="L211" s="37" t="n">
        <v>3</v>
      </c>
      <c r="M211" s="37" t="s">
        <v>207</v>
      </c>
    </row>
    <row r="212" customFormat="false" ht="42" hidden="false" customHeight="true" outlineLevel="0" collapsed="false">
      <c r="A212" s="37" t="s">
        <v>64</v>
      </c>
      <c r="B212" s="37" t="s">
        <v>201</v>
      </c>
      <c r="C212" s="38" t="n">
        <v>2</v>
      </c>
      <c r="D212" s="37" t="s">
        <v>237</v>
      </c>
      <c r="E212" s="37" t="s">
        <v>238</v>
      </c>
      <c r="F212" s="37" t="s">
        <v>197</v>
      </c>
      <c r="G212" s="39" t="n">
        <v>0.42974387</v>
      </c>
      <c r="H212" s="37" t="s">
        <v>239</v>
      </c>
      <c r="I212" s="37" t="s">
        <v>240</v>
      </c>
      <c r="J212" s="37" t="s">
        <v>241</v>
      </c>
      <c r="K212" s="37" t="s">
        <v>230</v>
      </c>
      <c r="L212" s="37" t="n">
        <v>0</v>
      </c>
      <c r="M212" s="37" t="s">
        <v>175</v>
      </c>
    </row>
    <row r="213" customFormat="false" ht="42" hidden="false" customHeight="true" outlineLevel="0" collapsed="false">
      <c r="A213" s="37" t="s">
        <v>64</v>
      </c>
      <c r="B213" s="37" t="s">
        <v>201</v>
      </c>
      <c r="C213" s="38" t="n">
        <v>3</v>
      </c>
      <c r="D213" s="37" t="s">
        <v>256</v>
      </c>
      <c r="E213" s="37" t="s">
        <v>333</v>
      </c>
      <c r="F213" s="37" t="s">
        <v>170</v>
      </c>
      <c r="G213" s="39" t="n">
        <v>0.41490276</v>
      </c>
      <c r="H213" s="37" t="s">
        <v>258</v>
      </c>
      <c r="I213" s="37" t="s">
        <v>259</v>
      </c>
      <c r="J213" s="37" t="s">
        <v>334</v>
      </c>
      <c r="K213" s="37" t="s">
        <v>261</v>
      </c>
      <c r="L213" s="37" t="n">
        <v>0</v>
      </c>
      <c r="M213" s="37" t="s">
        <v>175</v>
      </c>
    </row>
    <row r="214" customFormat="false" ht="42" hidden="false" customHeight="true" outlineLevel="0" collapsed="false">
      <c r="A214" s="37" t="s">
        <v>64</v>
      </c>
      <c r="B214" s="37" t="s">
        <v>201</v>
      </c>
      <c r="C214" s="38" t="n">
        <v>4</v>
      </c>
      <c r="D214" s="37" t="s">
        <v>225</v>
      </c>
      <c r="E214" s="37" t="s">
        <v>331</v>
      </c>
      <c r="F214" s="37" t="s">
        <v>197</v>
      </c>
      <c r="G214" s="39" t="n">
        <v>0.38068739</v>
      </c>
      <c r="H214" s="37" t="s">
        <v>227</v>
      </c>
      <c r="I214" s="37" t="s">
        <v>228</v>
      </c>
      <c r="J214" s="37" t="s">
        <v>332</v>
      </c>
      <c r="K214" s="37" t="s">
        <v>230</v>
      </c>
      <c r="L214" s="37" t="n">
        <v>0</v>
      </c>
      <c r="M214" s="37" t="s">
        <v>175</v>
      </c>
    </row>
    <row r="215" customFormat="false" ht="42" hidden="false" customHeight="true" outlineLevel="0" collapsed="false">
      <c r="A215" s="37" t="s">
        <v>64</v>
      </c>
      <c r="B215" s="37" t="s">
        <v>201</v>
      </c>
      <c r="C215" s="38" t="n">
        <v>5</v>
      </c>
      <c r="D215" s="37" t="s">
        <v>213</v>
      </c>
      <c r="E215" s="37" t="s">
        <v>214</v>
      </c>
      <c r="F215" s="37" t="s">
        <v>170</v>
      </c>
      <c r="G215" s="39" t="n">
        <v>0.35673776</v>
      </c>
      <c r="H215" s="37" t="s">
        <v>215</v>
      </c>
      <c r="I215" s="37" t="s">
        <v>216</v>
      </c>
      <c r="J215" s="37" t="s">
        <v>217</v>
      </c>
      <c r="K215" s="37" t="s">
        <v>218</v>
      </c>
      <c r="L215" s="37" t="n">
        <v>0</v>
      </c>
      <c r="M215" s="37" t="s">
        <v>175</v>
      </c>
    </row>
    <row r="216" customFormat="false" ht="42" hidden="false" customHeight="true" outlineLevel="0" collapsed="false">
      <c r="A216" s="37" t="s">
        <v>64</v>
      </c>
      <c r="B216" s="37" t="s">
        <v>212</v>
      </c>
      <c r="C216" s="38" t="n">
        <v>1</v>
      </c>
      <c r="D216" s="37" t="s">
        <v>168</v>
      </c>
      <c r="E216" s="37" t="s">
        <v>290</v>
      </c>
      <c r="F216" s="37" t="s">
        <v>178</v>
      </c>
      <c r="G216" s="39" t="n">
        <v>0.03311475</v>
      </c>
      <c r="H216" s="37" t="s">
        <v>171</v>
      </c>
      <c r="I216" s="37" t="s">
        <v>172</v>
      </c>
      <c r="J216" s="37" t="s">
        <v>291</v>
      </c>
      <c r="K216" s="37" t="s">
        <v>174</v>
      </c>
      <c r="L216" s="37" t="n">
        <v>3</v>
      </c>
      <c r="M216" s="37" t="s">
        <v>207</v>
      </c>
    </row>
    <row r="217" customFormat="false" ht="42" hidden="false" customHeight="true" outlineLevel="0" collapsed="false">
      <c r="A217" s="37" t="s">
        <v>64</v>
      </c>
      <c r="B217" s="37" t="s">
        <v>212</v>
      </c>
      <c r="C217" s="38" t="n">
        <v>2</v>
      </c>
      <c r="D217" s="37" t="s">
        <v>237</v>
      </c>
      <c r="E217" s="37" t="s">
        <v>238</v>
      </c>
      <c r="F217" s="37" t="s">
        <v>197</v>
      </c>
      <c r="G217" s="39" t="n">
        <v>0.03232463</v>
      </c>
      <c r="H217" s="37" t="s">
        <v>239</v>
      </c>
      <c r="I217" s="37" t="s">
        <v>240</v>
      </c>
      <c r="J217" s="37" t="s">
        <v>241</v>
      </c>
      <c r="K217" s="37" t="s">
        <v>230</v>
      </c>
      <c r="L217" s="37" t="n">
        <v>0</v>
      </c>
      <c r="M217" s="37" t="s">
        <v>175</v>
      </c>
    </row>
    <row r="218" customFormat="false" ht="42" hidden="false" customHeight="true" outlineLevel="0" collapsed="false">
      <c r="A218" s="37" t="s">
        <v>64</v>
      </c>
      <c r="B218" s="37" t="s">
        <v>212</v>
      </c>
      <c r="C218" s="38" t="n">
        <v>3</v>
      </c>
      <c r="D218" s="37" t="s">
        <v>225</v>
      </c>
      <c r="E218" s="37" t="s">
        <v>331</v>
      </c>
      <c r="F218" s="37" t="s">
        <v>197</v>
      </c>
      <c r="G218" s="39" t="n">
        <v>0.03132212</v>
      </c>
      <c r="H218" s="37" t="s">
        <v>227</v>
      </c>
      <c r="I218" s="37" t="s">
        <v>228</v>
      </c>
      <c r="J218" s="37" t="s">
        <v>332</v>
      </c>
      <c r="K218" s="37" t="s">
        <v>230</v>
      </c>
      <c r="L218" s="37" t="n">
        <v>0</v>
      </c>
      <c r="M218" s="37" t="s">
        <v>175</v>
      </c>
    </row>
    <row r="219" customFormat="false" ht="42" hidden="false" customHeight="true" outlineLevel="0" collapsed="false">
      <c r="A219" s="37" t="s">
        <v>64</v>
      </c>
      <c r="B219" s="37" t="s">
        <v>212</v>
      </c>
      <c r="C219" s="38" t="n">
        <v>4</v>
      </c>
      <c r="D219" s="37" t="s">
        <v>256</v>
      </c>
      <c r="E219" s="37" t="s">
        <v>333</v>
      </c>
      <c r="F219" s="37" t="s">
        <v>170</v>
      </c>
      <c r="G219" s="39" t="n">
        <v>0.03111585</v>
      </c>
      <c r="H219" s="37" t="s">
        <v>258</v>
      </c>
      <c r="I219" s="37" t="s">
        <v>259</v>
      </c>
      <c r="J219" s="37" t="s">
        <v>334</v>
      </c>
      <c r="K219" s="37" t="s">
        <v>261</v>
      </c>
      <c r="L219" s="37" t="n">
        <v>0</v>
      </c>
      <c r="M219" s="37" t="s">
        <v>175</v>
      </c>
    </row>
    <row r="220" customFormat="false" ht="42" hidden="false" customHeight="true" outlineLevel="0" collapsed="false">
      <c r="A220" s="37" t="s">
        <v>64</v>
      </c>
      <c r="B220" s="37" t="s">
        <v>212</v>
      </c>
      <c r="C220" s="38" t="n">
        <v>5</v>
      </c>
      <c r="D220" s="37" t="s">
        <v>213</v>
      </c>
      <c r="E220" s="37" t="s">
        <v>214</v>
      </c>
      <c r="F220" s="37" t="s">
        <v>170</v>
      </c>
      <c r="G220" s="39" t="n">
        <v>0.02997802</v>
      </c>
      <c r="H220" s="37" t="s">
        <v>215</v>
      </c>
      <c r="I220" s="37" t="s">
        <v>216</v>
      </c>
      <c r="J220" s="37" t="s">
        <v>217</v>
      </c>
      <c r="K220" s="37" t="s">
        <v>218</v>
      </c>
      <c r="L220" s="37" t="n">
        <v>0</v>
      </c>
      <c r="M220" s="37" t="s">
        <v>175</v>
      </c>
    </row>
    <row r="221" customFormat="false" ht="42" hidden="false" customHeight="true" outlineLevel="0" collapsed="false">
      <c r="A221" s="37" t="s">
        <v>64</v>
      </c>
      <c r="B221" s="37" t="s">
        <v>219</v>
      </c>
      <c r="C221" s="38" t="n">
        <v>1</v>
      </c>
      <c r="D221" s="37" t="s">
        <v>168</v>
      </c>
      <c r="E221" s="37" t="s">
        <v>290</v>
      </c>
      <c r="F221" s="37" t="s">
        <v>178</v>
      </c>
      <c r="G221" s="39" t="n">
        <v>0.47660109</v>
      </c>
      <c r="H221" s="37" t="s">
        <v>171</v>
      </c>
      <c r="I221" s="37" t="s">
        <v>172</v>
      </c>
      <c r="J221" s="37" t="s">
        <v>291</v>
      </c>
      <c r="K221" s="37" t="s">
        <v>174</v>
      </c>
      <c r="L221" s="37" t="n">
        <v>3</v>
      </c>
      <c r="M221" s="37" t="s">
        <v>207</v>
      </c>
    </row>
    <row r="222" customFormat="false" ht="42" hidden="false" customHeight="true" outlineLevel="0" collapsed="false">
      <c r="A222" s="37" t="s">
        <v>64</v>
      </c>
      <c r="B222" s="37" t="s">
        <v>219</v>
      </c>
      <c r="C222" s="38" t="n">
        <v>2</v>
      </c>
      <c r="D222" s="37" t="s">
        <v>237</v>
      </c>
      <c r="E222" s="37" t="s">
        <v>238</v>
      </c>
      <c r="F222" s="37" t="s">
        <v>197</v>
      </c>
      <c r="G222" s="39" t="n">
        <v>0.47636406</v>
      </c>
      <c r="H222" s="37" t="s">
        <v>239</v>
      </c>
      <c r="I222" s="37" t="s">
        <v>240</v>
      </c>
      <c r="J222" s="37" t="s">
        <v>241</v>
      </c>
      <c r="K222" s="37" t="s">
        <v>230</v>
      </c>
      <c r="L222" s="37" t="n">
        <v>0</v>
      </c>
      <c r="M222" s="37" t="s">
        <v>175</v>
      </c>
    </row>
    <row r="223" customFormat="false" ht="42" hidden="false" customHeight="true" outlineLevel="0" collapsed="false">
      <c r="A223" s="37" t="s">
        <v>64</v>
      </c>
      <c r="B223" s="37" t="s">
        <v>219</v>
      </c>
      <c r="C223" s="38" t="n">
        <v>3</v>
      </c>
      <c r="D223" s="37" t="s">
        <v>305</v>
      </c>
      <c r="E223" s="37" t="s">
        <v>326</v>
      </c>
      <c r="F223" s="37" t="s">
        <v>244</v>
      </c>
      <c r="G223" s="39" t="n">
        <v>0.47150538</v>
      </c>
      <c r="H223" s="37" t="s">
        <v>307</v>
      </c>
      <c r="I223" s="37" t="s">
        <v>308</v>
      </c>
      <c r="J223" s="37" t="s">
        <v>327</v>
      </c>
      <c r="K223" s="37" t="s">
        <v>230</v>
      </c>
      <c r="L223" s="37" t="n">
        <v>0</v>
      </c>
      <c r="M223" s="37" t="s">
        <v>175</v>
      </c>
    </row>
    <row r="224" customFormat="false" ht="42" hidden="false" customHeight="true" outlineLevel="0" collapsed="false">
      <c r="A224" s="37" t="s">
        <v>64</v>
      </c>
      <c r="B224" s="37" t="s">
        <v>219</v>
      </c>
      <c r="C224" s="38" t="n">
        <v>4</v>
      </c>
      <c r="D224" s="37" t="s">
        <v>225</v>
      </c>
      <c r="E224" s="37" t="s">
        <v>331</v>
      </c>
      <c r="F224" s="37" t="s">
        <v>197</v>
      </c>
      <c r="G224" s="39" t="n">
        <v>0.35939663</v>
      </c>
      <c r="H224" s="37" t="s">
        <v>227</v>
      </c>
      <c r="I224" s="37" t="s">
        <v>228</v>
      </c>
      <c r="J224" s="37" t="s">
        <v>332</v>
      </c>
      <c r="K224" s="37" t="s">
        <v>230</v>
      </c>
      <c r="L224" s="37" t="n">
        <v>0</v>
      </c>
      <c r="M224" s="37" t="s">
        <v>175</v>
      </c>
    </row>
    <row r="225" customFormat="false" ht="42" hidden="false" customHeight="true" outlineLevel="0" collapsed="false">
      <c r="A225" s="37" t="s">
        <v>64</v>
      </c>
      <c r="B225" s="37" t="s">
        <v>219</v>
      </c>
      <c r="C225" s="38" t="n">
        <v>5</v>
      </c>
      <c r="D225" s="37" t="s">
        <v>220</v>
      </c>
      <c r="E225" s="37" t="s">
        <v>328</v>
      </c>
      <c r="F225" s="37" t="s">
        <v>329</v>
      </c>
      <c r="G225" s="39" t="n">
        <v>0.3546875</v>
      </c>
      <c r="H225" s="37" t="s">
        <v>221</v>
      </c>
      <c r="I225" s="37" t="s">
        <v>222</v>
      </c>
      <c r="J225" s="37" t="s">
        <v>330</v>
      </c>
      <c r="K225" s="37" t="s">
        <v>224</v>
      </c>
      <c r="L225" s="37" t="n">
        <v>0</v>
      </c>
      <c r="M225" s="37" t="s">
        <v>175</v>
      </c>
    </row>
    <row r="226" customFormat="false" ht="42" hidden="false" customHeight="true" outlineLevel="0" collapsed="false">
      <c r="A226" s="37" t="s">
        <v>69</v>
      </c>
      <c r="B226" s="37" t="s">
        <v>167</v>
      </c>
      <c r="C226" s="38" t="n">
        <v>1</v>
      </c>
      <c r="D226" s="37" t="s">
        <v>176</v>
      </c>
      <c r="E226" s="37" t="s">
        <v>335</v>
      </c>
      <c r="F226" s="37" t="s">
        <v>170</v>
      </c>
      <c r="G226" s="39" t="n">
        <v>0</v>
      </c>
      <c r="H226" s="37" t="s">
        <v>179</v>
      </c>
      <c r="I226" s="37" t="s">
        <v>180</v>
      </c>
      <c r="J226" s="37" t="s">
        <v>336</v>
      </c>
      <c r="K226" s="37" t="s">
        <v>182</v>
      </c>
      <c r="L226" s="37" t="n">
        <v>0</v>
      </c>
      <c r="M226" s="37" t="s">
        <v>175</v>
      </c>
    </row>
    <row r="227" customFormat="false" ht="42" hidden="false" customHeight="true" outlineLevel="0" collapsed="false">
      <c r="A227" s="37" t="s">
        <v>69</v>
      </c>
      <c r="B227" s="37" t="s">
        <v>167</v>
      </c>
      <c r="C227" s="38" t="n">
        <v>2</v>
      </c>
      <c r="D227" s="37" t="s">
        <v>299</v>
      </c>
      <c r="E227" s="37" t="s">
        <v>300</v>
      </c>
      <c r="F227" s="37" t="s">
        <v>170</v>
      </c>
      <c r="G227" s="39" t="n">
        <v>0</v>
      </c>
      <c r="H227" s="37" t="s">
        <v>301</v>
      </c>
      <c r="I227" s="37" t="s">
        <v>302</v>
      </c>
      <c r="J227" s="37" t="s">
        <v>303</v>
      </c>
      <c r="K227" s="37" t="s">
        <v>304</v>
      </c>
      <c r="L227" s="37" t="n">
        <v>0</v>
      </c>
      <c r="M227" s="37" t="s">
        <v>175</v>
      </c>
    </row>
    <row r="228" customFormat="false" ht="42" hidden="false" customHeight="true" outlineLevel="0" collapsed="false">
      <c r="A228" s="37" t="s">
        <v>69</v>
      </c>
      <c r="B228" s="37" t="s">
        <v>167</v>
      </c>
      <c r="C228" s="38" t="n">
        <v>3</v>
      </c>
      <c r="D228" s="37" t="s">
        <v>316</v>
      </c>
      <c r="E228" s="37" t="s">
        <v>337</v>
      </c>
      <c r="F228" s="37" t="s">
        <v>170</v>
      </c>
      <c r="G228" s="39" t="n">
        <v>0</v>
      </c>
      <c r="H228" s="37" t="s">
        <v>318</v>
      </c>
      <c r="I228" s="37" t="s">
        <v>302</v>
      </c>
      <c r="J228" s="37" t="s">
        <v>338</v>
      </c>
      <c r="K228" s="37" t="s">
        <v>304</v>
      </c>
      <c r="L228" s="37" t="n">
        <v>0</v>
      </c>
      <c r="M228" s="37" t="s">
        <v>175</v>
      </c>
    </row>
    <row r="229" customFormat="false" ht="42" hidden="false" customHeight="true" outlineLevel="0" collapsed="false">
      <c r="A229" s="37" t="s">
        <v>69</v>
      </c>
      <c r="B229" s="37" t="s">
        <v>167</v>
      </c>
      <c r="C229" s="38" t="n">
        <v>4</v>
      </c>
      <c r="D229" s="37" t="s">
        <v>294</v>
      </c>
      <c r="E229" s="37" t="s">
        <v>339</v>
      </c>
      <c r="F229" s="37" t="s">
        <v>170</v>
      </c>
      <c r="G229" s="39" t="n">
        <v>0</v>
      </c>
      <c r="H229" s="37" t="s">
        <v>296</v>
      </c>
      <c r="I229" s="37" t="s">
        <v>281</v>
      </c>
      <c r="J229" s="37" t="s">
        <v>340</v>
      </c>
      <c r="K229" s="37" t="s">
        <v>298</v>
      </c>
      <c r="L229" s="37" t="n">
        <v>0</v>
      </c>
      <c r="M229" s="37" t="s">
        <v>175</v>
      </c>
    </row>
    <row r="230" customFormat="false" ht="42" hidden="false" customHeight="true" outlineLevel="0" collapsed="false">
      <c r="A230" s="37" t="s">
        <v>69</v>
      </c>
      <c r="B230" s="37" t="s">
        <v>167</v>
      </c>
      <c r="C230" s="38" t="n">
        <v>5</v>
      </c>
      <c r="D230" s="37" t="s">
        <v>341</v>
      </c>
      <c r="E230" s="37" t="s">
        <v>144</v>
      </c>
      <c r="F230" s="37" t="s">
        <v>170</v>
      </c>
      <c r="G230" s="39" t="n">
        <v>0</v>
      </c>
      <c r="H230" s="37" t="s">
        <v>342</v>
      </c>
      <c r="I230" s="37" t="s">
        <v>281</v>
      </c>
      <c r="J230" s="37" t="s">
        <v>343</v>
      </c>
      <c r="K230" s="37" t="s">
        <v>298</v>
      </c>
      <c r="L230" s="37" t="n">
        <v>0</v>
      </c>
      <c r="M230" s="37" t="s">
        <v>175</v>
      </c>
    </row>
    <row r="231" customFormat="false" ht="42" hidden="false" customHeight="true" outlineLevel="0" collapsed="false">
      <c r="A231" s="37" t="s">
        <v>69</v>
      </c>
      <c r="B231" s="37" t="s">
        <v>201</v>
      </c>
      <c r="C231" s="38" t="n">
        <v>1</v>
      </c>
      <c r="D231" s="37" t="s">
        <v>220</v>
      </c>
      <c r="E231" s="37" t="s">
        <v>344</v>
      </c>
      <c r="F231" s="37" t="s">
        <v>170</v>
      </c>
      <c r="G231" s="39" t="n">
        <v>0.13736962</v>
      </c>
      <c r="H231" s="37" t="s">
        <v>221</v>
      </c>
      <c r="I231" s="37" t="s">
        <v>222</v>
      </c>
      <c r="J231" s="37" t="s">
        <v>345</v>
      </c>
      <c r="K231" s="37" t="s">
        <v>224</v>
      </c>
      <c r="L231" s="37" t="n">
        <v>0</v>
      </c>
      <c r="M231" s="37" t="s">
        <v>175</v>
      </c>
    </row>
    <row r="232" customFormat="false" ht="42" hidden="false" customHeight="true" outlineLevel="0" collapsed="false">
      <c r="A232" s="37" t="s">
        <v>69</v>
      </c>
      <c r="B232" s="37" t="s">
        <v>201</v>
      </c>
      <c r="C232" s="38" t="n">
        <v>2</v>
      </c>
      <c r="D232" s="37" t="s">
        <v>346</v>
      </c>
      <c r="E232" s="37" t="s">
        <v>347</v>
      </c>
      <c r="F232" s="37" t="s">
        <v>170</v>
      </c>
      <c r="G232" s="39" t="n">
        <v>0.10938051</v>
      </c>
      <c r="H232" s="37" t="s">
        <v>348</v>
      </c>
      <c r="I232" s="37" t="s">
        <v>349</v>
      </c>
      <c r="J232" s="37" t="s">
        <v>350</v>
      </c>
      <c r="K232" s="37" t="s">
        <v>351</v>
      </c>
      <c r="L232" s="37" t="n">
        <v>0</v>
      </c>
      <c r="M232" s="37" t="s">
        <v>175</v>
      </c>
    </row>
    <row r="233" customFormat="false" ht="42" hidden="false" customHeight="true" outlineLevel="0" collapsed="false">
      <c r="A233" s="37" t="s">
        <v>69</v>
      </c>
      <c r="B233" s="37" t="s">
        <v>201</v>
      </c>
      <c r="C233" s="38" t="n">
        <v>3</v>
      </c>
      <c r="D233" s="37" t="s">
        <v>242</v>
      </c>
      <c r="E233" s="37" t="s">
        <v>267</v>
      </c>
      <c r="F233" s="37" t="s">
        <v>170</v>
      </c>
      <c r="G233" s="39" t="n">
        <v>0.10490365</v>
      </c>
      <c r="H233" s="37" t="s">
        <v>245</v>
      </c>
      <c r="I233" s="37" t="s">
        <v>246</v>
      </c>
      <c r="J233" s="37" t="s">
        <v>268</v>
      </c>
      <c r="K233" s="37" t="s">
        <v>248</v>
      </c>
      <c r="L233" s="37" t="n">
        <v>0</v>
      </c>
      <c r="M233" s="37" t="s">
        <v>175</v>
      </c>
    </row>
    <row r="234" customFormat="false" ht="42" hidden="false" customHeight="true" outlineLevel="0" collapsed="false">
      <c r="A234" s="37" t="s">
        <v>69</v>
      </c>
      <c r="B234" s="37" t="s">
        <v>201</v>
      </c>
      <c r="C234" s="38" t="n">
        <v>4</v>
      </c>
      <c r="D234" s="37" t="s">
        <v>269</v>
      </c>
      <c r="E234" s="37" t="s">
        <v>270</v>
      </c>
      <c r="F234" s="37" t="s">
        <v>170</v>
      </c>
      <c r="G234" s="39" t="n">
        <v>0.10146969</v>
      </c>
      <c r="H234" s="37" t="s">
        <v>271</v>
      </c>
      <c r="I234" s="37" t="s">
        <v>272</v>
      </c>
      <c r="J234" s="37" t="s">
        <v>273</v>
      </c>
      <c r="K234" s="37" t="s">
        <v>274</v>
      </c>
      <c r="L234" s="37" t="n">
        <v>0</v>
      </c>
      <c r="M234" s="37" t="s">
        <v>175</v>
      </c>
    </row>
    <row r="235" customFormat="false" ht="42" hidden="false" customHeight="true" outlineLevel="0" collapsed="false">
      <c r="A235" s="37" t="s">
        <v>69</v>
      </c>
      <c r="B235" s="37" t="s">
        <v>201</v>
      </c>
      <c r="C235" s="38" t="n">
        <v>5</v>
      </c>
      <c r="D235" s="37" t="s">
        <v>183</v>
      </c>
      <c r="E235" s="37" t="s">
        <v>352</v>
      </c>
      <c r="F235" s="37" t="s">
        <v>170</v>
      </c>
      <c r="G235" s="39" t="n">
        <v>0.09583171</v>
      </c>
      <c r="H235" s="37" t="s">
        <v>185</v>
      </c>
      <c r="I235" s="37" t="s">
        <v>186</v>
      </c>
      <c r="J235" s="37" t="s">
        <v>353</v>
      </c>
      <c r="K235" s="37" t="s">
        <v>188</v>
      </c>
      <c r="L235" s="37" t="n">
        <v>0</v>
      </c>
      <c r="M235" s="37" t="s">
        <v>175</v>
      </c>
    </row>
    <row r="236" customFormat="false" ht="42" hidden="false" customHeight="true" outlineLevel="0" collapsed="false">
      <c r="A236" s="37" t="s">
        <v>69</v>
      </c>
      <c r="B236" s="37" t="s">
        <v>212</v>
      </c>
      <c r="C236" s="38" t="n">
        <v>1</v>
      </c>
      <c r="D236" s="37" t="s">
        <v>299</v>
      </c>
      <c r="E236" s="37" t="s">
        <v>300</v>
      </c>
      <c r="F236" s="37" t="s">
        <v>170</v>
      </c>
      <c r="G236" s="39" t="n">
        <v>0.03135291</v>
      </c>
      <c r="H236" s="37" t="s">
        <v>301</v>
      </c>
      <c r="I236" s="37" t="s">
        <v>302</v>
      </c>
      <c r="J236" s="37" t="s">
        <v>303</v>
      </c>
      <c r="K236" s="37" t="s">
        <v>304</v>
      </c>
      <c r="L236" s="37" t="n">
        <v>0</v>
      </c>
      <c r="M236" s="37" t="s">
        <v>175</v>
      </c>
    </row>
    <row r="237" customFormat="false" ht="42" hidden="false" customHeight="true" outlineLevel="0" collapsed="false">
      <c r="A237" s="37" t="s">
        <v>69</v>
      </c>
      <c r="B237" s="37" t="s">
        <v>212</v>
      </c>
      <c r="C237" s="38" t="n">
        <v>2</v>
      </c>
      <c r="D237" s="37" t="s">
        <v>183</v>
      </c>
      <c r="E237" s="37" t="s">
        <v>352</v>
      </c>
      <c r="F237" s="37" t="s">
        <v>170</v>
      </c>
      <c r="G237" s="39" t="n">
        <v>0.02997802</v>
      </c>
      <c r="H237" s="37" t="s">
        <v>185</v>
      </c>
      <c r="I237" s="37" t="s">
        <v>186</v>
      </c>
      <c r="J237" s="37" t="s">
        <v>353</v>
      </c>
      <c r="K237" s="37" t="s">
        <v>188</v>
      </c>
      <c r="L237" s="37" t="n">
        <v>0</v>
      </c>
      <c r="M237" s="37" t="s">
        <v>175</v>
      </c>
    </row>
    <row r="238" customFormat="false" ht="42" hidden="false" customHeight="true" outlineLevel="0" collapsed="false">
      <c r="A238" s="37" t="s">
        <v>69</v>
      </c>
      <c r="B238" s="37" t="s">
        <v>212</v>
      </c>
      <c r="C238" s="38" t="n">
        <v>3</v>
      </c>
      <c r="D238" s="37" t="s">
        <v>220</v>
      </c>
      <c r="E238" s="37" t="s">
        <v>344</v>
      </c>
      <c r="F238" s="37" t="s">
        <v>170</v>
      </c>
      <c r="G238" s="39" t="n">
        <v>0.01672131</v>
      </c>
      <c r="H238" s="37" t="s">
        <v>221</v>
      </c>
      <c r="I238" s="37" t="s">
        <v>222</v>
      </c>
      <c r="J238" s="37" t="s">
        <v>345</v>
      </c>
      <c r="K238" s="37" t="s">
        <v>224</v>
      </c>
      <c r="L238" s="37" t="n">
        <v>0</v>
      </c>
      <c r="M238" s="37" t="s">
        <v>175</v>
      </c>
    </row>
    <row r="239" customFormat="false" ht="42" hidden="false" customHeight="true" outlineLevel="0" collapsed="false">
      <c r="A239" s="37" t="s">
        <v>69</v>
      </c>
      <c r="B239" s="37" t="s">
        <v>212</v>
      </c>
      <c r="C239" s="38" t="n">
        <v>4</v>
      </c>
      <c r="D239" s="37" t="s">
        <v>346</v>
      </c>
      <c r="E239" s="37" t="s">
        <v>347</v>
      </c>
      <c r="F239" s="37" t="s">
        <v>170</v>
      </c>
      <c r="G239" s="39" t="n">
        <v>0.01645161</v>
      </c>
      <c r="H239" s="37" t="s">
        <v>348</v>
      </c>
      <c r="I239" s="37" t="s">
        <v>349</v>
      </c>
      <c r="J239" s="37" t="s">
        <v>350</v>
      </c>
      <c r="K239" s="37" t="s">
        <v>351</v>
      </c>
      <c r="L239" s="37" t="n">
        <v>0</v>
      </c>
      <c r="M239" s="37" t="s">
        <v>175</v>
      </c>
    </row>
    <row r="240" customFormat="false" ht="42" hidden="false" customHeight="true" outlineLevel="0" collapsed="false">
      <c r="A240" s="37" t="s">
        <v>69</v>
      </c>
      <c r="B240" s="37" t="s">
        <v>212</v>
      </c>
      <c r="C240" s="38" t="n">
        <v>5</v>
      </c>
      <c r="D240" s="37" t="s">
        <v>176</v>
      </c>
      <c r="E240" s="37" t="s">
        <v>335</v>
      </c>
      <c r="F240" s="37" t="s">
        <v>170</v>
      </c>
      <c r="G240" s="39" t="n">
        <v>0.01639344</v>
      </c>
      <c r="H240" s="37" t="s">
        <v>179</v>
      </c>
      <c r="I240" s="37" t="s">
        <v>180</v>
      </c>
      <c r="J240" s="37" t="s">
        <v>336</v>
      </c>
      <c r="K240" s="37" t="s">
        <v>182</v>
      </c>
      <c r="L240" s="37" t="n">
        <v>0</v>
      </c>
      <c r="M240" s="37" t="s">
        <v>175</v>
      </c>
    </row>
    <row r="241" customFormat="false" ht="42" hidden="false" customHeight="true" outlineLevel="0" collapsed="false">
      <c r="A241" s="37" t="s">
        <v>69</v>
      </c>
      <c r="B241" s="37" t="s">
        <v>219</v>
      </c>
      <c r="C241" s="38" t="n">
        <v>1</v>
      </c>
      <c r="D241" s="37" t="s">
        <v>299</v>
      </c>
      <c r="E241" s="37" t="s">
        <v>300</v>
      </c>
      <c r="F241" s="37" t="s">
        <v>170</v>
      </c>
      <c r="G241" s="39" t="n">
        <v>0.00940587</v>
      </c>
      <c r="H241" s="37" t="s">
        <v>301</v>
      </c>
      <c r="I241" s="37" t="s">
        <v>302</v>
      </c>
      <c r="J241" s="37" t="s">
        <v>303</v>
      </c>
      <c r="K241" s="37" t="s">
        <v>304</v>
      </c>
      <c r="L241" s="37" t="n">
        <v>0</v>
      </c>
      <c r="M241" s="37" t="s">
        <v>175</v>
      </c>
    </row>
    <row r="242" customFormat="false" ht="42" hidden="false" customHeight="true" outlineLevel="0" collapsed="false">
      <c r="A242" s="37" t="s">
        <v>69</v>
      </c>
      <c r="B242" s="37" t="s">
        <v>219</v>
      </c>
      <c r="C242" s="38" t="n">
        <v>2</v>
      </c>
      <c r="D242" s="37" t="s">
        <v>183</v>
      </c>
      <c r="E242" s="37" t="s">
        <v>352</v>
      </c>
      <c r="F242" s="37" t="s">
        <v>170</v>
      </c>
      <c r="G242" s="39" t="n">
        <v>0.00899341</v>
      </c>
      <c r="H242" s="37" t="s">
        <v>185</v>
      </c>
      <c r="I242" s="37" t="s">
        <v>186</v>
      </c>
      <c r="J242" s="37" t="s">
        <v>353</v>
      </c>
      <c r="K242" s="37" t="s">
        <v>188</v>
      </c>
      <c r="L242" s="37" t="n">
        <v>0</v>
      </c>
      <c r="M242" s="37" t="s">
        <v>175</v>
      </c>
    </row>
    <row r="243" customFormat="false" ht="42" hidden="false" customHeight="true" outlineLevel="0" collapsed="false">
      <c r="A243" s="37" t="s">
        <v>69</v>
      </c>
      <c r="B243" s="37" t="s">
        <v>219</v>
      </c>
      <c r="C243" s="38" t="n">
        <v>3</v>
      </c>
      <c r="D243" s="37" t="s">
        <v>220</v>
      </c>
      <c r="E243" s="37" t="s">
        <v>344</v>
      </c>
      <c r="F243" s="37" t="s">
        <v>170</v>
      </c>
      <c r="G243" s="39" t="n">
        <v>0.00501639</v>
      </c>
      <c r="H243" s="37" t="s">
        <v>221</v>
      </c>
      <c r="I243" s="37" t="s">
        <v>222</v>
      </c>
      <c r="J243" s="37" t="s">
        <v>345</v>
      </c>
      <c r="K243" s="37" t="s">
        <v>224</v>
      </c>
      <c r="L243" s="37" t="n">
        <v>0</v>
      </c>
      <c r="M243" s="37" t="s">
        <v>175</v>
      </c>
    </row>
    <row r="244" customFormat="false" ht="42" hidden="false" customHeight="true" outlineLevel="0" collapsed="false">
      <c r="A244" s="37" t="s">
        <v>69</v>
      </c>
      <c r="B244" s="37" t="s">
        <v>219</v>
      </c>
      <c r="C244" s="38" t="n">
        <v>4</v>
      </c>
      <c r="D244" s="37" t="s">
        <v>346</v>
      </c>
      <c r="E244" s="37" t="s">
        <v>347</v>
      </c>
      <c r="F244" s="37" t="s">
        <v>170</v>
      </c>
      <c r="G244" s="39" t="n">
        <v>0.00493548</v>
      </c>
      <c r="H244" s="37" t="s">
        <v>348</v>
      </c>
      <c r="I244" s="37" t="s">
        <v>349</v>
      </c>
      <c r="J244" s="37" t="s">
        <v>350</v>
      </c>
      <c r="K244" s="37" t="s">
        <v>351</v>
      </c>
      <c r="L244" s="37" t="n">
        <v>0</v>
      </c>
      <c r="M244" s="37" t="s">
        <v>175</v>
      </c>
    </row>
    <row r="245" customFormat="false" ht="42" hidden="false" customHeight="true" outlineLevel="0" collapsed="false">
      <c r="A245" s="37" t="s">
        <v>69</v>
      </c>
      <c r="B245" s="37" t="s">
        <v>219</v>
      </c>
      <c r="C245" s="38" t="n">
        <v>5</v>
      </c>
      <c r="D245" s="37" t="s">
        <v>176</v>
      </c>
      <c r="E245" s="37" t="s">
        <v>335</v>
      </c>
      <c r="F245" s="37" t="s">
        <v>170</v>
      </c>
      <c r="G245" s="39" t="n">
        <v>0.00491803</v>
      </c>
      <c r="H245" s="37" t="s">
        <v>179</v>
      </c>
      <c r="I245" s="37" t="s">
        <v>180</v>
      </c>
      <c r="J245" s="37" t="s">
        <v>336</v>
      </c>
      <c r="K245" s="37" t="s">
        <v>182</v>
      </c>
      <c r="L245" s="37" t="n">
        <v>0</v>
      </c>
      <c r="M245" s="37" t="s">
        <v>175</v>
      </c>
    </row>
    <row r="246" customFormat="false" ht="42" hidden="false" customHeight="true" outlineLevel="0" collapsed="false">
      <c r="A246" s="37" t="s">
        <v>73</v>
      </c>
      <c r="B246" s="37" t="s">
        <v>167</v>
      </c>
      <c r="C246" s="38" t="n">
        <v>1</v>
      </c>
      <c r="D246" s="37" t="s">
        <v>225</v>
      </c>
      <c r="E246" s="37" t="s">
        <v>331</v>
      </c>
      <c r="F246" s="37" t="s">
        <v>197</v>
      </c>
      <c r="G246" s="39" t="n">
        <v>0.75</v>
      </c>
      <c r="H246" s="37" t="s">
        <v>227</v>
      </c>
      <c r="I246" s="37" t="s">
        <v>228</v>
      </c>
      <c r="J246" s="37" t="s">
        <v>332</v>
      </c>
      <c r="K246" s="37" t="s">
        <v>230</v>
      </c>
      <c r="L246" s="37" t="n">
        <v>3</v>
      </c>
      <c r="M246" s="37" t="s">
        <v>207</v>
      </c>
    </row>
    <row r="247" customFormat="false" ht="42" hidden="false" customHeight="true" outlineLevel="0" collapsed="false">
      <c r="A247" s="37" t="s">
        <v>73</v>
      </c>
      <c r="B247" s="37" t="s">
        <v>167</v>
      </c>
      <c r="C247" s="38" t="n">
        <v>2</v>
      </c>
      <c r="D247" s="37" t="s">
        <v>176</v>
      </c>
      <c r="E247" s="37" t="s">
        <v>177</v>
      </c>
      <c r="F247" s="37" t="s">
        <v>178</v>
      </c>
      <c r="G247" s="39" t="n">
        <v>0.625</v>
      </c>
      <c r="H247" s="37" t="s">
        <v>179</v>
      </c>
      <c r="I247" s="37" t="s">
        <v>180</v>
      </c>
      <c r="J247" s="37" t="s">
        <v>181</v>
      </c>
      <c r="K247" s="37" t="s">
        <v>182</v>
      </c>
      <c r="L247" s="37" t="n">
        <v>0</v>
      </c>
      <c r="M247" s="37" t="s">
        <v>175</v>
      </c>
    </row>
    <row r="248" customFormat="false" ht="42" hidden="false" customHeight="true" outlineLevel="0" collapsed="false">
      <c r="A248" s="37" t="s">
        <v>73</v>
      </c>
      <c r="B248" s="37" t="s">
        <v>167</v>
      </c>
      <c r="C248" s="38" t="n">
        <v>3</v>
      </c>
      <c r="D248" s="37" t="s">
        <v>256</v>
      </c>
      <c r="E248" s="37" t="s">
        <v>354</v>
      </c>
      <c r="F248" s="37" t="s">
        <v>178</v>
      </c>
      <c r="G248" s="39" t="n">
        <v>0.625</v>
      </c>
      <c r="H248" s="37" t="s">
        <v>258</v>
      </c>
      <c r="I248" s="37" t="s">
        <v>259</v>
      </c>
      <c r="J248" s="37" t="s">
        <v>355</v>
      </c>
      <c r="K248" s="37" t="s">
        <v>261</v>
      </c>
      <c r="L248" s="37" t="n">
        <v>0</v>
      </c>
      <c r="M248" s="37" t="s">
        <v>175</v>
      </c>
    </row>
    <row r="249" customFormat="false" ht="42" hidden="false" customHeight="true" outlineLevel="0" collapsed="false">
      <c r="A249" s="37" t="s">
        <v>73</v>
      </c>
      <c r="B249" s="37" t="s">
        <v>167</v>
      </c>
      <c r="C249" s="38" t="n">
        <v>4</v>
      </c>
      <c r="D249" s="37" t="s">
        <v>213</v>
      </c>
      <c r="E249" s="37" t="s">
        <v>214</v>
      </c>
      <c r="F249" s="37" t="s">
        <v>170</v>
      </c>
      <c r="G249" s="39" t="n">
        <v>0.625</v>
      </c>
      <c r="H249" s="37" t="s">
        <v>215</v>
      </c>
      <c r="I249" s="37" t="s">
        <v>216</v>
      </c>
      <c r="J249" s="37" t="s">
        <v>217</v>
      </c>
      <c r="K249" s="37" t="s">
        <v>218</v>
      </c>
      <c r="L249" s="37" t="n">
        <v>0</v>
      </c>
      <c r="M249" s="37" t="s">
        <v>175</v>
      </c>
    </row>
    <row r="250" customFormat="false" ht="42" hidden="false" customHeight="true" outlineLevel="0" collapsed="false">
      <c r="A250" s="37" t="s">
        <v>73</v>
      </c>
      <c r="B250" s="37" t="s">
        <v>167</v>
      </c>
      <c r="C250" s="38" t="n">
        <v>5</v>
      </c>
      <c r="D250" s="37" t="s">
        <v>299</v>
      </c>
      <c r="E250" s="37" t="s">
        <v>356</v>
      </c>
      <c r="F250" s="37" t="s">
        <v>178</v>
      </c>
      <c r="G250" s="39" t="n">
        <v>0.5</v>
      </c>
      <c r="H250" s="37" t="s">
        <v>301</v>
      </c>
      <c r="I250" s="37" t="s">
        <v>302</v>
      </c>
      <c r="J250" s="37" t="s">
        <v>357</v>
      </c>
      <c r="K250" s="37" t="s">
        <v>304</v>
      </c>
      <c r="L250" s="37" t="n">
        <v>0</v>
      </c>
      <c r="M250" s="37" t="s">
        <v>175</v>
      </c>
    </row>
    <row r="251" customFormat="false" ht="42" hidden="false" customHeight="true" outlineLevel="0" collapsed="false">
      <c r="A251" s="37" t="s">
        <v>73</v>
      </c>
      <c r="B251" s="37" t="s">
        <v>201</v>
      </c>
      <c r="C251" s="38" t="n">
        <v>1</v>
      </c>
      <c r="D251" s="37" t="s">
        <v>183</v>
      </c>
      <c r="E251" s="37" t="s">
        <v>184</v>
      </c>
      <c r="F251" s="37" t="s">
        <v>178</v>
      </c>
      <c r="G251" s="39" t="n">
        <v>0.35179674</v>
      </c>
      <c r="H251" s="37" t="s">
        <v>185</v>
      </c>
      <c r="I251" s="37" t="s">
        <v>186</v>
      </c>
      <c r="J251" s="37" t="s">
        <v>187</v>
      </c>
      <c r="K251" s="37" t="s">
        <v>188</v>
      </c>
      <c r="L251" s="37" t="n">
        <v>0</v>
      </c>
      <c r="M251" s="37" t="s">
        <v>175</v>
      </c>
    </row>
    <row r="252" customFormat="false" ht="42" hidden="false" customHeight="true" outlineLevel="0" collapsed="false">
      <c r="A252" s="37" t="s">
        <v>73</v>
      </c>
      <c r="B252" s="37" t="s">
        <v>201</v>
      </c>
      <c r="C252" s="38" t="n">
        <v>2</v>
      </c>
      <c r="D252" s="37" t="s">
        <v>225</v>
      </c>
      <c r="E252" s="37" t="s">
        <v>331</v>
      </c>
      <c r="F252" s="37" t="s">
        <v>197</v>
      </c>
      <c r="G252" s="39" t="n">
        <v>0.34413549</v>
      </c>
      <c r="H252" s="37" t="s">
        <v>227</v>
      </c>
      <c r="I252" s="37" t="s">
        <v>228</v>
      </c>
      <c r="J252" s="37" t="s">
        <v>332</v>
      </c>
      <c r="K252" s="37" t="s">
        <v>230</v>
      </c>
      <c r="L252" s="37" t="n">
        <v>3</v>
      </c>
      <c r="M252" s="37" t="s">
        <v>207</v>
      </c>
    </row>
    <row r="253" customFormat="false" ht="42" hidden="false" customHeight="true" outlineLevel="0" collapsed="false">
      <c r="A253" s="37" t="s">
        <v>73</v>
      </c>
      <c r="B253" s="37" t="s">
        <v>201</v>
      </c>
      <c r="C253" s="38" t="n">
        <v>3</v>
      </c>
      <c r="D253" s="37" t="s">
        <v>213</v>
      </c>
      <c r="E253" s="37" t="s">
        <v>214</v>
      </c>
      <c r="F253" s="37" t="s">
        <v>170</v>
      </c>
      <c r="G253" s="39" t="n">
        <v>0.3405766</v>
      </c>
      <c r="H253" s="37" t="s">
        <v>215</v>
      </c>
      <c r="I253" s="37" t="s">
        <v>216</v>
      </c>
      <c r="J253" s="37" t="s">
        <v>217</v>
      </c>
      <c r="K253" s="37" t="s">
        <v>218</v>
      </c>
      <c r="L253" s="37" t="n">
        <v>0</v>
      </c>
      <c r="M253" s="37" t="s">
        <v>175</v>
      </c>
    </row>
    <row r="254" customFormat="false" ht="42" hidden="false" customHeight="true" outlineLevel="0" collapsed="false">
      <c r="A254" s="37" t="s">
        <v>73</v>
      </c>
      <c r="B254" s="37" t="s">
        <v>201</v>
      </c>
      <c r="C254" s="38" t="n">
        <v>4</v>
      </c>
      <c r="D254" s="37" t="s">
        <v>208</v>
      </c>
      <c r="E254" s="37" t="s">
        <v>209</v>
      </c>
      <c r="F254" s="37" t="s">
        <v>170</v>
      </c>
      <c r="G254" s="39" t="n">
        <v>0.33833128</v>
      </c>
      <c r="H254" s="37" t="s">
        <v>210</v>
      </c>
      <c r="I254" s="37" t="s">
        <v>186</v>
      </c>
      <c r="J254" s="37" t="s">
        <v>211</v>
      </c>
      <c r="K254" s="37" t="s">
        <v>188</v>
      </c>
      <c r="L254" s="37" t="n">
        <v>0</v>
      </c>
      <c r="M254" s="37" t="s">
        <v>175</v>
      </c>
    </row>
    <row r="255" customFormat="false" ht="42" hidden="false" customHeight="true" outlineLevel="0" collapsed="false">
      <c r="A255" s="37" t="s">
        <v>73</v>
      </c>
      <c r="B255" s="37" t="s">
        <v>201</v>
      </c>
      <c r="C255" s="38" t="n">
        <v>5</v>
      </c>
      <c r="D255" s="37" t="s">
        <v>202</v>
      </c>
      <c r="E255" s="37" t="s">
        <v>20</v>
      </c>
      <c r="F255" s="37" t="s">
        <v>170</v>
      </c>
      <c r="G255" s="39" t="n">
        <v>0.33501821</v>
      </c>
      <c r="H255" s="37" t="s">
        <v>203</v>
      </c>
      <c r="I255" s="37" t="s">
        <v>204</v>
      </c>
      <c r="J255" s="37" t="s">
        <v>205</v>
      </c>
      <c r="K255" s="37" t="s">
        <v>206</v>
      </c>
      <c r="L255" s="37" t="n">
        <v>0</v>
      </c>
      <c r="M255" s="37" t="s">
        <v>175</v>
      </c>
    </row>
    <row r="256" customFormat="false" ht="42" hidden="false" customHeight="true" outlineLevel="0" collapsed="false">
      <c r="A256" s="37" t="s">
        <v>73</v>
      </c>
      <c r="B256" s="37" t="s">
        <v>212</v>
      </c>
      <c r="C256" s="38" t="n">
        <v>1</v>
      </c>
      <c r="D256" s="37" t="s">
        <v>225</v>
      </c>
      <c r="E256" s="37" t="s">
        <v>331</v>
      </c>
      <c r="F256" s="37" t="s">
        <v>197</v>
      </c>
      <c r="G256" s="39" t="n">
        <v>0.03284506</v>
      </c>
      <c r="H256" s="37" t="s">
        <v>227</v>
      </c>
      <c r="I256" s="37" t="s">
        <v>228</v>
      </c>
      <c r="J256" s="37" t="s">
        <v>332</v>
      </c>
      <c r="K256" s="37" t="s">
        <v>230</v>
      </c>
      <c r="L256" s="37" t="n">
        <v>3</v>
      </c>
      <c r="M256" s="37" t="s">
        <v>207</v>
      </c>
    </row>
    <row r="257" customFormat="false" ht="42" hidden="false" customHeight="true" outlineLevel="0" collapsed="false">
      <c r="A257" s="37" t="s">
        <v>73</v>
      </c>
      <c r="B257" s="37" t="s">
        <v>212</v>
      </c>
      <c r="C257" s="38" t="n">
        <v>2</v>
      </c>
      <c r="D257" s="37" t="s">
        <v>213</v>
      </c>
      <c r="E257" s="37" t="s">
        <v>214</v>
      </c>
      <c r="F257" s="37" t="s">
        <v>170</v>
      </c>
      <c r="G257" s="39" t="n">
        <v>0.03181548</v>
      </c>
      <c r="H257" s="37" t="s">
        <v>215</v>
      </c>
      <c r="I257" s="37" t="s">
        <v>216</v>
      </c>
      <c r="J257" s="37" t="s">
        <v>217</v>
      </c>
      <c r="K257" s="37" t="s">
        <v>218</v>
      </c>
      <c r="L257" s="37" t="n">
        <v>0</v>
      </c>
      <c r="M257" s="37" t="s">
        <v>175</v>
      </c>
    </row>
    <row r="258" customFormat="false" ht="42" hidden="false" customHeight="true" outlineLevel="0" collapsed="false">
      <c r="A258" s="37" t="s">
        <v>73</v>
      </c>
      <c r="B258" s="37" t="s">
        <v>212</v>
      </c>
      <c r="C258" s="38" t="n">
        <v>3</v>
      </c>
      <c r="D258" s="37" t="s">
        <v>316</v>
      </c>
      <c r="E258" s="37" t="s">
        <v>358</v>
      </c>
      <c r="F258" s="37" t="s">
        <v>178</v>
      </c>
      <c r="G258" s="39" t="n">
        <v>0.03060606</v>
      </c>
      <c r="H258" s="37" t="s">
        <v>318</v>
      </c>
      <c r="I258" s="37" t="s">
        <v>302</v>
      </c>
      <c r="J258" s="37" t="s">
        <v>359</v>
      </c>
      <c r="K258" s="37" t="s">
        <v>304</v>
      </c>
      <c r="L258" s="37" t="n">
        <v>0</v>
      </c>
      <c r="M258" s="37" t="s">
        <v>175</v>
      </c>
    </row>
    <row r="259" customFormat="false" ht="42" hidden="false" customHeight="true" outlineLevel="0" collapsed="false">
      <c r="A259" s="37" t="s">
        <v>73</v>
      </c>
      <c r="B259" s="37" t="s">
        <v>212</v>
      </c>
      <c r="C259" s="38" t="n">
        <v>4</v>
      </c>
      <c r="D259" s="37" t="s">
        <v>208</v>
      </c>
      <c r="E259" s="37" t="s">
        <v>209</v>
      </c>
      <c r="F259" s="37" t="s">
        <v>170</v>
      </c>
      <c r="G259" s="39" t="n">
        <v>0.03022321</v>
      </c>
      <c r="H259" s="37" t="s">
        <v>210</v>
      </c>
      <c r="I259" s="37" t="s">
        <v>186</v>
      </c>
      <c r="J259" s="37" t="s">
        <v>211</v>
      </c>
      <c r="K259" s="37" t="s">
        <v>188</v>
      </c>
      <c r="L259" s="37" t="n">
        <v>0</v>
      </c>
      <c r="M259" s="37" t="s">
        <v>175</v>
      </c>
    </row>
    <row r="260" customFormat="false" ht="42" hidden="false" customHeight="true" outlineLevel="0" collapsed="false">
      <c r="A260" s="37" t="s">
        <v>73</v>
      </c>
      <c r="B260" s="37" t="s">
        <v>212</v>
      </c>
      <c r="C260" s="38" t="n">
        <v>5</v>
      </c>
      <c r="D260" s="37" t="s">
        <v>168</v>
      </c>
      <c r="E260" s="37" t="s">
        <v>169</v>
      </c>
      <c r="F260" s="37" t="s">
        <v>170</v>
      </c>
      <c r="G260" s="39" t="n">
        <v>0.02970798</v>
      </c>
      <c r="H260" s="37" t="s">
        <v>171</v>
      </c>
      <c r="I260" s="37" t="s">
        <v>172</v>
      </c>
      <c r="J260" s="37" t="s">
        <v>173</v>
      </c>
      <c r="K260" s="37" t="s">
        <v>174</v>
      </c>
      <c r="L260" s="37" t="n">
        <v>3</v>
      </c>
      <c r="M260" s="37" t="s">
        <v>207</v>
      </c>
    </row>
    <row r="261" customFormat="false" ht="42" hidden="false" customHeight="true" outlineLevel="0" collapsed="false">
      <c r="A261" s="37" t="s">
        <v>73</v>
      </c>
      <c r="B261" s="37" t="s">
        <v>219</v>
      </c>
      <c r="C261" s="38" t="n">
        <v>1</v>
      </c>
      <c r="D261" s="37" t="s">
        <v>225</v>
      </c>
      <c r="E261" s="37" t="s">
        <v>331</v>
      </c>
      <c r="F261" s="37" t="s">
        <v>197</v>
      </c>
      <c r="G261" s="39" t="n">
        <v>0.53485352</v>
      </c>
      <c r="H261" s="37" t="s">
        <v>227</v>
      </c>
      <c r="I261" s="37" t="s">
        <v>228</v>
      </c>
      <c r="J261" s="37" t="s">
        <v>332</v>
      </c>
      <c r="K261" s="37" t="s">
        <v>230</v>
      </c>
      <c r="L261" s="37" t="n">
        <v>3</v>
      </c>
      <c r="M261" s="37" t="s">
        <v>207</v>
      </c>
    </row>
    <row r="262" customFormat="false" ht="42" hidden="false" customHeight="true" outlineLevel="0" collapsed="false">
      <c r="A262" s="37" t="s">
        <v>73</v>
      </c>
      <c r="B262" s="37" t="s">
        <v>219</v>
      </c>
      <c r="C262" s="38" t="n">
        <v>2</v>
      </c>
      <c r="D262" s="37" t="s">
        <v>213</v>
      </c>
      <c r="E262" s="37" t="s">
        <v>214</v>
      </c>
      <c r="F262" s="37" t="s">
        <v>170</v>
      </c>
      <c r="G262" s="39" t="n">
        <v>0.44704464</v>
      </c>
      <c r="H262" s="37" t="s">
        <v>215</v>
      </c>
      <c r="I262" s="37" t="s">
        <v>216</v>
      </c>
      <c r="J262" s="37" t="s">
        <v>217</v>
      </c>
      <c r="K262" s="37" t="s">
        <v>218</v>
      </c>
      <c r="L262" s="37" t="n">
        <v>0</v>
      </c>
      <c r="M262" s="37" t="s">
        <v>175</v>
      </c>
    </row>
    <row r="263" customFormat="false" ht="42" hidden="false" customHeight="true" outlineLevel="0" collapsed="false">
      <c r="A263" s="37" t="s">
        <v>73</v>
      </c>
      <c r="B263" s="37" t="s">
        <v>219</v>
      </c>
      <c r="C263" s="38" t="n">
        <v>3</v>
      </c>
      <c r="D263" s="37" t="s">
        <v>176</v>
      </c>
      <c r="E263" s="37" t="s">
        <v>177</v>
      </c>
      <c r="F263" s="37" t="s">
        <v>178</v>
      </c>
      <c r="G263" s="39" t="n">
        <v>0.44233871</v>
      </c>
      <c r="H263" s="37" t="s">
        <v>179</v>
      </c>
      <c r="I263" s="37" t="s">
        <v>180</v>
      </c>
      <c r="J263" s="37" t="s">
        <v>181</v>
      </c>
      <c r="K263" s="37" t="s">
        <v>182</v>
      </c>
      <c r="L263" s="37" t="n">
        <v>0</v>
      </c>
      <c r="M263" s="37" t="s">
        <v>175</v>
      </c>
    </row>
    <row r="264" customFormat="false" ht="42" hidden="false" customHeight="true" outlineLevel="0" collapsed="false">
      <c r="A264" s="37" t="s">
        <v>73</v>
      </c>
      <c r="B264" s="37" t="s">
        <v>219</v>
      </c>
      <c r="C264" s="38" t="n">
        <v>4</v>
      </c>
      <c r="D264" s="37" t="s">
        <v>256</v>
      </c>
      <c r="E264" s="37" t="s">
        <v>354</v>
      </c>
      <c r="F264" s="37" t="s">
        <v>178</v>
      </c>
      <c r="G264" s="39" t="n">
        <v>0.4422619</v>
      </c>
      <c r="H264" s="37" t="s">
        <v>258</v>
      </c>
      <c r="I264" s="37" t="s">
        <v>259</v>
      </c>
      <c r="J264" s="37" t="s">
        <v>355</v>
      </c>
      <c r="K264" s="37" t="s">
        <v>261</v>
      </c>
      <c r="L264" s="37" t="n">
        <v>0</v>
      </c>
      <c r="M264" s="37" t="s">
        <v>175</v>
      </c>
    </row>
    <row r="265" customFormat="false" ht="42" hidden="false" customHeight="true" outlineLevel="0" collapsed="false">
      <c r="A265" s="37" t="s">
        <v>73</v>
      </c>
      <c r="B265" s="37" t="s">
        <v>219</v>
      </c>
      <c r="C265" s="38" t="n">
        <v>5</v>
      </c>
      <c r="D265" s="37" t="s">
        <v>316</v>
      </c>
      <c r="E265" s="37" t="s">
        <v>358</v>
      </c>
      <c r="F265" s="37" t="s">
        <v>178</v>
      </c>
      <c r="G265" s="39" t="n">
        <v>0.35918182</v>
      </c>
      <c r="H265" s="37" t="s">
        <v>318</v>
      </c>
      <c r="I265" s="37" t="s">
        <v>302</v>
      </c>
      <c r="J265" s="37" t="s">
        <v>359</v>
      </c>
      <c r="K265" s="37" t="s">
        <v>304</v>
      </c>
      <c r="L265" s="37" t="n">
        <v>0</v>
      </c>
      <c r="M265" s="37" t="s">
        <v>175</v>
      </c>
    </row>
    <row r="266" customFormat="false" ht="42" hidden="false" customHeight="true" outlineLevel="0" collapsed="false">
      <c r="A266" s="37" t="s">
        <v>77</v>
      </c>
      <c r="B266" s="37" t="s">
        <v>167</v>
      </c>
      <c r="C266" s="38" t="n">
        <v>1</v>
      </c>
      <c r="D266" s="37" t="s">
        <v>360</v>
      </c>
      <c r="E266" s="37" t="s">
        <v>361</v>
      </c>
      <c r="F266" s="37" t="s">
        <v>170</v>
      </c>
      <c r="G266" s="39" t="n">
        <v>0.44444444</v>
      </c>
      <c r="H266" s="37" t="s">
        <v>362</v>
      </c>
      <c r="I266" s="37" t="s">
        <v>192</v>
      </c>
      <c r="J266" s="37" t="s">
        <v>363</v>
      </c>
      <c r="K266" s="37" t="s">
        <v>364</v>
      </c>
      <c r="L266" s="37" t="n">
        <v>3</v>
      </c>
      <c r="M266" s="37" t="s">
        <v>207</v>
      </c>
    </row>
    <row r="267" customFormat="false" ht="42" hidden="false" customHeight="true" outlineLevel="0" collapsed="false">
      <c r="A267" s="37" t="s">
        <v>77</v>
      </c>
      <c r="B267" s="37" t="s">
        <v>167</v>
      </c>
      <c r="C267" s="38" t="n">
        <v>2</v>
      </c>
      <c r="D267" s="37" t="s">
        <v>225</v>
      </c>
      <c r="E267" s="37" t="s">
        <v>254</v>
      </c>
      <c r="F267" s="37" t="s">
        <v>178</v>
      </c>
      <c r="G267" s="39" t="n">
        <v>0.44444444</v>
      </c>
      <c r="H267" s="37" t="s">
        <v>227</v>
      </c>
      <c r="I267" s="37" t="s">
        <v>228</v>
      </c>
      <c r="J267" s="37" t="s">
        <v>255</v>
      </c>
      <c r="K267" s="37" t="s">
        <v>230</v>
      </c>
      <c r="L267" s="37" t="n">
        <v>0</v>
      </c>
      <c r="M267" s="37" t="s">
        <v>175</v>
      </c>
    </row>
    <row r="268" customFormat="false" ht="42" hidden="false" customHeight="true" outlineLevel="0" collapsed="false">
      <c r="A268" s="37" t="s">
        <v>77</v>
      </c>
      <c r="B268" s="37" t="s">
        <v>167</v>
      </c>
      <c r="C268" s="38" t="n">
        <v>3</v>
      </c>
      <c r="D268" s="37" t="s">
        <v>269</v>
      </c>
      <c r="E268" s="37" t="s">
        <v>270</v>
      </c>
      <c r="F268" s="37" t="s">
        <v>170</v>
      </c>
      <c r="G268" s="39" t="n">
        <v>0.44444444</v>
      </c>
      <c r="H268" s="37" t="s">
        <v>271</v>
      </c>
      <c r="I268" s="37" t="s">
        <v>272</v>
      </c>
      <c r="J268" s="37" t="s">
        <v>273</v>
      </c>
      <c r="K268" s="37" t="s">
        <v>274</v>
      </c>
      <c r="L268" s="37" t="n">
        <v>3</v>
      </c>
      <c r="M268" s="37" t="s">
        <v>207</v>
      </c>
    </row>
    <row r="269" customFormat="false" ht="42" hidden="false" customHeight="true" outlineLevel="0" collapsed="false">
      <c r="A269" s="37" t="s">
        <v>77</v>
      </c>
      <c r="B269" s="37" t="s">
        <v>167</v>
      </c>
      <c r="C269" s="38" t="n">
        <v>4</v>
      </c>
      <c r="D269" s="37" t="s">
        <v>231</v>
      </c>
      <c r="E269" s="37" t="s">
        <v>232</v>
      </c>
      <c r="F269" s="37" t="s">
        <v>170</v>
      </c>
      <c r="G269" s="39" t="n">
        <v>0.33333333</v>
      </c>
      <c r="H269" s="37" t="s">
        <v>233</v>
      </c>
      <c r="I269" s="37" t="s">
        <v>234</v>
      </c>
      <c r="J269" s="37" t="s">
        <v>235</v>
      </c>
      <c r="K269" s="37" t="s">
        <v>236</v>
      </c>
      <c r="L269" s="37" t="n">
        <v>0</v>
      </c>
      <c r="M269" s="37" t="s">
        <v>175</v>
      </c>
    </row>
    <row r="270" customFormat="false" ht="42" hidden="false" customHeight="true" outlineLevel="0" collapsed="false">
      <c r="A270" s="37" t="s">
        <v>77</v>
      </c>
      <c r="B270" s="37" t="s">
        <v>167</v>
      </c>
      <c r="C270" s="38" t="n">
        <v>5</v>
      </c>
      <c r="D270" s="37" t="s">
        <v>249</v>
      </c>
      <c r="E270" s="37" t="s">
        <v>30</v>
      </c>
      <c r="F270" s="37" t="s">
        <v>170</v>
      </c>
      <c r="G270" s="39" t="n">
        <v>0.11111111</v>
      </c>
      <c r="H270" s="37" t="s">
        <v>250</v>
      </c>
      <c r="I270" s="37" t="s">
        <v>251</v>
      </c>
      <c r="J270" s="37" t="s">
        <v>252</v>
      </c>
      <c r="K270" s="37" t="s">
        <v>253</v>
      </c>
      <c r="L270" s="37" t="n">
        <v>0</v>
      </c>
      <c r="M270" s="37" t="s">
        <v>175</v>
      </c>
    </row>
    <row r="271" customFormat="false" ht="42" hidden="false" customHeight="true" outlineLevel="0" collapsed="false">
      <c r="A271" s="37" t="s">
        <v>77</v>
      </c>
      <c r="B271" s="37" t="s">
        <v>201</v>
      </c>
      <c r="C271" s="38" t="n">
        <v>1</v>
      </c>
      <c r="D271" s="37" t="s">
        <v>269</v>
      </c>
      <c r="E271" s="37" t="s">
        <v>270</v>
      </c>
      <c r="F271" s="37" t="s">
        <v>170</v>
      </c>
      <c r="G271" s="39" t="n">
        <v>0.21087475</v>
      </c>
      <c r="H271" s="37" t="s">
        <v>271</v>
      </c>
      <c r="I271" s="37" t="s">
        <v>272</v>
      </c>
      <c r="J271" s="37" t="s">
        <v>273</v>
      </c>
      <c r="K271" s="37" t="s">
        <v>274</v>
      </c>
      <c r="L271" s="37" t="n">
        <v>3</v>
      </c>
      <c r="M271" s="37" t="s">
        <v>207</v>
      </c>
    </row>
    <row r="272" customFormat="false" ht="42" hidden="false" customHeight="true" outlineLevel="0" collapsed="false">
      <c r="A272" s="37" t="s">
        <v>77</v>
      </c>
      <c r="B272" s="37" t="s">
        <v>201</v>
      </c>
      <c r="C272" s="38" t="n">
        <v>2</v>
      </c>
      <c r="D272" s="37" t="s">
        <v>225</v>
      </c>
      <c r="E272" s="37" t="s">
        <v>254</v>
      </c>
      <c r="F272" s="37" t="s">
        <v>178</v>
      </c>
      <c r="G272" s="39" t="n">
        <v>0.17884579</v>
      </c>
      <c r="H272" s="37" t="s">
        <v>227</v>
      </c>
      <c r="I272" s="37" t="s">
        <v>228</v>
      </c>
      <c r="J272" s="37" t="s">
        <v>255</v>
      </c>
      <c r="K272" s="37" t="s">
        <v>230</v>
      </c>
      <c r="L272" s="37" t="n">
        <v>0</v>
      </c>
      <c r="M272" s="37" t="s">
        <v>175</v>
      </c>
    </row>
    <row r="273" customFormat="false" ht="42" hidden="false" customHeight="true" outlineLevel="0" collapsed="false">
      <c r="A273" s="37" t="s">
        <v>77</v>
      </c>
      <c r="B273" s="37" t="s">
        <v>201</v>
      </c>
      <c r="C273" s="38" t="n">
        <v>3</v>
      </c>
      <c r="D273" s="37" t="s">
        <v>360</v>
      </c>
      <c r="E273" s="37" t="s">
        <v>361</v>
      </c>
      <c r="F273" s="37" t="s">
        <v>170</v>
      </c>
      <c r="G273" s="39" t="n">
        <v>0.17001521</v>
      </c>
      <c r="H273" s="37" t="s">
        <v>362</v>
      </c>
      <c r="I273" s="37" t="s">
        <v>192</v>
      </c>
      <c r="J273" s="37" t="s">
        <v>363</v>
      </c>
      <c r="K273" s="37" t="s">
        <v>364</v>
      </c>
      <c r="L273" s="37" t="n">
        <v>3</v>
      </c>
      <c r="M273" s="37" t="s">
        <v>207</v>
      </c>
    </row>
    <row r="274" customFormat="false" ht="42" hidden="false" customHeight="true" outlineLevel="0" collapsed="false">
      <c r="A274" s="37" t="s">
        <v>77</v>
      </c>
      <c r="B274" s="37" t="s">
        <v>201</v>
      </c>
      <c r="C274" s="38" t="n">
        <v>4</v>
      </c>
      <c r="D274" s="37" t="s">
        <v>242</v>
      </c>
      <c r="E274" s="37" t="s">
        <v>267</v>
      </c>
      <c r="F274" s="37" t="s">
        <v>170</v>
      </c>
      <c r="G274" s="39" t="n">
        <v>0.16462072</v>
      </c>
      <c r="H274" s="37" t="s">
        <v>245</v>
      </c>
      <c r="I274" s="37" t="s">
        <v>246</v>
      </c>
      <c r="J274" s="37" t="s">
        <v>268</v>
      </c>
      <c r="K274" s="37" t="s">
        <v>248</v>
      </c>
      <c r="L274" s="37" t="n">
        <v>0</v>
      </c>
      <c r="M274" s="37" t="s">
        <v>175</v>
      </c>
    </row>
    <row r="275" customFormat="false" ht="42" hidden="false" customHeight="true" outlineLevel="0" collapsed="false">
      <c r="A275" s="37" t="s">
        <v>77</v>
      </c>
      <c r="B275" s="37" t="s">
        <v>201</v>
      </c>
      <c r="C275" s="38" t="n">
        <v>5</v>
      </c>
      <c r="D275" s="37" t="s">
        <v>231</v>
      </c>
      <c r="E275" s="37" t="s">
        <v>232</v>
      </c>
      <c r="F275" s="37" t="s">
        <v>170</v>
      </c>
      <c r="G275" s="39" t="n">
        <v>0.16412113</v>
      </c>
      <c r="H275" s="37" t="s">
        <v>233</v>
      </c>
      <c r="I275" s="37" t="s">
        <v>234</v>
      </c>
      <c r="J275" s="37" t="s">
        <v>235</v>
      </c>
      <c r="K275" s="37" t="s">
        <v>236</v>
      </c>
      <c r="L275" s="37" t="n">
        <v>0</v>
      </c>
      <c r="M275" s="37" t="s">
        <v>175</v>
      </c>
    </row>
    <row r="276" customFormat="false" ht="42" hidden="false" customHeight="true" outlineLevel="0" collapsed="false">
      <c r="A276" s="37" t="s">
        <v>77</v>
      </c>
      <c r="B276" s="37" t="s">
        <v>212</v>
      </c>
      <c r="C276" s="38" t="n">
        <v>1</v>
      </c>
      <c r="D276" s="37" t="s">
        <v>269</v>
      </c>
      <c r="E276" s="37" t="s">
        <v>270</v>
      </c>
      <c r="F276" s="37" t="s">
        <v>170</v>
      </c>
      <c r="G276" s="39" t="n">
        <v>0.03259433</v>
      </c>
      <c r="H276" s="37" t="s">
        <v>271</v>
      </c>
      <c r="I276" s="37" t="s">
        <v>272</v>
      </c>
      <c r="J276" s="37" t="s">
        <v>273</v>
      </c>
      <c r="K276" s="37" t="s">
        <v>274</v>
      </c>
      <c r="L276" s="37" t="n">
        <v>3</v>
      </c>
      <c r="M276" s="37" t="s">
        <v>207</v>
      </c>
    </row>
    <row r="277" customFormat="false" ht="42" hidden="false" customHeight="true" outlineLevel="0" collapsed="false">
      <c r="A277" s="37" t="s">
        <v>77</v>
      </c>
      <c r="B277" s="37" t="s">
        <v>212</v>
      </c>
      <c r="C277" s="38" t="n">
        <v>2</v>
      </c>
      <c r="D277" s="37" t="s">
        <v>360</v>
      </c>
      <c r="E277" s="37" t="s">
        <v>361</v>
      </c>
      <c r="F277" s="37" t="s">
        <v>170</v>
      </c>
      <c r="G277" s="39" t="n">
        <v>0.03258392</v>
      </c>
      <c r="H277" s="37" t="s">
        <v>362</v>
      </c>
      <c r="I277" s="37" t="s">
        <v>192</v>
      </c>
      <c r="J277" s="37" t="s">
        <v>363</v>
      </c>
      <c r="K277" s="37" t="s">
        <v>364</v>
      </c>
      <c r="L277" s="37" t="n">
        <v>3</v>
      </c>
      <c r="M277" s="37" t="s">
        <v>207</v>
      </c>
    </row>
    <row r="278" customFormat="false" ht="42" hidden="false" customHeight="true" outlineLevel="0" collapsed="false">
      <c r="A278" s="37" t="s">
        <v>77</v>
      </c>
      <c r="B278" s="37" t="s">
        <v>212</v>
      </c>
      <c r="C278" s="38" t="n">
        <v>3</v>
      </c>
      <c r="D278" s="37" t="s">
        <v>225</v>
      </c>
      <c r="E278" s="37" t="s">
        <v>254</v>
      </c>
      <c r="F278" s="37" t="s">
        <v>178</v>
      </c>
      <c r="G278" s="39" t="n">
        <v>0.03258065</v>
      </c>
      <c r="H278" s="37" t="s">
        <v>227</v>
      </c>
      <c r="I278" s="37" t="s">
        <v>228</v>
      </c>
      <c r="J278" s="37" t="s">
        <v>255</v>
      </c>
      <c r="K278" s="37" t="s">
        <v>230</v>
      </c>
      <c r="L278" s="37" t="n">
        <v>0</v>
      </c>
      <c r="M278" s="37" t="s">
        <v>175</v>
      </c>
    </row>
    <row r="279" customFormat="false" ht="42" hidden="false" customHeight="true" outlineLevel="0" collapsed="false">
      <c r="A279" s="37" t="s">
        <v>77</v>
      </c>
      <c r="B279" s="37" t="s">
        <v>212</v>
      </c>
      <c r="C279" s="38" t="n">
        <v>4</v>
      </c>
      <c r="D279" s="37" t="s">
        <v>231</v>
      </c>
      <c r="E279" s="37" t="s">
        <v>232</v>
      </c>
      <c r="F279" s="37" t="s">
        <v>170</v>
      </c>
      <c r="G279" s="39" t="n">
        <v>0.03131731</v>
      </c>
      <c r="H279" s="37" t="s">
        <v>233</v>
      </c>
      <c r="I279" s="37" t="s">
        <v>234</v>
      </c>
      <c r="J279" s="37" t="s">
        <v>235</v>
      </c>
      <c r="K279" s="37" t="s">
        <v>236</v>
      </c>
      <c r="L279" s="37" t="n">
        <v>0</v>
      </c>
      <c r="M279" s="37" t="s">
        <v>175</v>
      </c>
    </row>
    <row r="280" customFormat="false" ht="42" hidden="false" customHeight="true" outlineLevel="0" collapsed="false">
      <c r="A280" s="37" t="s">
        <v>77</v>
      </c>
      <c r="B280" s="37" t="s">
        <v>212</v>
      </c>
      <c r="C280" s="38" t="n">
        <v>5</v>
      </c>
      <c r="D280" s="37" t="s">
        <v>242</v>
      </c>
      <c r="E280" s="37" t="s">
        <v>267</v>
      </c>
      <c r="F280" s="37" t="s">
        <v>170</v>
      </c>
      <c r="G280" s="39" t="n">
        <v>0.03043025</v>
      </c>
      <c r="H280" s="37" t="s">
        <v>245</v>
      </c>
      <c r="I280" s="37" t="s">
        <v>246</v>
      </c>
      <c r="J280" s="37" t="s">
        <v>268</v>
      </c>
      <c r="K280" s="37" t="s">
        <v>248</v>
      </c>
      <c r="L280" s="37" t="n">
        <v>0</v>
      </c>
      <c r="M280" s="37" t="s">
        <v>175</v>
      </c>
    </row>
    <row r="281" customFormat="false" ht="42" hidden="false" customHeight="true" outlineLevel="0" collapsed="false">
      <c r="A281" s="37" t="s">
        <v>77</v>
      </c>
      <c r="B281" s="37" t="s">
        <v>219</v>
      </c>
      <c r="C281" s="38" t="n">
        <v>1</v>
      </c>
      <c r="D281" s="37" t="s">
        <v>269</v>
      </c>
      <c r="E281" s="37" t="s">
        <v>270</v>
      </c>
      <c r="F281" s="37" t="s">
        <v>170</v>
      </c>
      <c r="G281" s="39" t="n">
        <v>0.32088941</v>
      </c>
      <c r="H281" s="37" t="s">
        <v>271</v>
      </c>
      <c r="I281" s="37" t="s">
        <v>272</v>
      </c>
      <c r="J281" s="37" t="s">
        <v>273</v>
      </c>
      <c r="K281" s="37" t="s">
        <v>274</v>
      </c>
      <c r="L281" s="37" t="n">
        <v>3</v>
      </c>
      <c r="M281" s="37" t="s">
        <v>207</v>
      </c>
    </row>
    <row r="282" customFormat="false" ht="42" hidden="false" customHeight="true" outlineLevel="0" collapsed="false">
      <c r="A282" s="37" t="s">
        <v>77</v>
      </c>
      <c r="B282" s="37" t="s">
        <v>219</v>
      </c>
      <c r="C282" s="38" t="n">
        <v>2</v>
      </c>
      <c r="D282" s="37" t="s">
        <v>360</v>
      </c>
      <c r="E282" s="37" t="s">
        <v>361</v>
      </c>
      <c r="F282" s="37" t="s">
        <v>170</v>
      </c>
      <c r="G282" s="39" t="n">
        <v>0.32088629</v>
      </c>
      <c r="H282" s="37" t="s">
        <v>362</v>
      </c>
      <c r="I282" s="37" t="s">
        <v>192</v>
      </c>
      <c r="J282" s="37" t="s">
        <v>363</v>
      </c>
      <c r="K282" s="37" t="s">
        <v>364</v>
      </c>
      <c r="L282" s="37" t="n">
        <v>3</v>
      </c>
      <c r="M282" s="37" t="s">
        <v>207</v>
      </c>
    </row>
    <row r="283" customFormat="false" ht="42" hidden="false" customHeight="true" outlineLevel="0" collapsed="false">
      <c r="A283" s="37" t="s">
        <v>77</v>
      </c>
      <c r="B283" s="37" t="s">
        <v>219</v>
      </c>
      <c r="C283" s="38" t="n">
        <v>3</v>
      </c>
      <c r="D283" s="37" t="s">
        <v>225</v>
      </c>
      <c r="E283" s="37" t="s">
        <v>254</v>
      </c>
      <c r="F283" s="37" t="s">
        <v>178</v>
      </c>
      <c r="G283" s="39" t="n">
        <v>0.3208853</v>
      </c>
      <c r="H283" s="37" t="s">
        <v>227</v>
      </c>
      <c r="I283" s="37" t="s">
        <v>228</v>
      </c>
      <c r="J283" s="37" t="s">
        <v>255</v>
      </c>
      <c r="K283" s="37" t="s">
        <v>230</v>
      </c>
      <c r="L283" s="37" t="n">
        <v>0</v>
      </c>
      <c r="M283" s="37" t="s">
        <v>175</v>
      </c>
    </row>
    <row r="284" customFormat="false" ht="42" hidden="false" customHeight="true" outlineLevel="0" collapsed="false">
      <c r="A284" s="37" t="s">
        <v>77</v>
      </c>
      <c r="B284" s="37" t="s">
        <v>219</v>
      </c>
      <c r="C284" s="38" t="n">
        <v>4</v>
      </c>
      <c r="D284" s="37" t="s">
        <v>231</v>
      </c>
      <c r="E284" s="37" t="s">
        <v>232</v>
      </c>
      <c r="F284" s="37" t="s">
        <v>170</v>
      </c>
      <c r="G284" s="39" t="n">
        <v>0.24272853</v>
      </c>
      <c r="H284" s="37" t="s">
        <v>233</v>
      </c>
      <c r="I284" s="37" t="s">
        <v>234</v>
      </c>
      <c r="J284" s="37" t="s">
        <v>235</v>
      </c>
      <c r="K284" s="37" t="s">
        <v>236</v>
      </c>
      <c r="L284" s="37" t="n">
        <v>0</v>
      </c>
      <c r="M284" s="37" t="s">
        <v>175</v>
      </c>
    </row>
    <row r="285" customFormat="false" ht="42" hidden="false" customHeight="true" outlineLevel="0" collapsed="false">
      <c r="A285" s="37" t="s">
        <v>77</v>
      </c>
      <c r="B285" s="37" t="s">
        <v>219</v>
      </c>
      <c r="C285" s="38" t="n">
        <v>5</v>
      </c>
      <c r="D285" s="37" t="s">
        <v>242</v>
      </c>
      <c r="E285" s="37" t="s">
        <v>267</v>
      </c>
      <c r="F285" s="37" t="s">
        <v>170</v>
      </c>
      <c r="G285" s="39" t="n">
        <v>0.08690685</v>
      </c>
      <c r="H285" s="37" t="s">
        <v>245</v>
      </c>
      <c r="I285" s="37" t="s">
        <v>246</v>
      </c>
      <c r="J285" s="37" t="s">
        <v>268</v>
      </c>
      <c r="K285" s="37" t="s">
        <v>248</v>
      </c>
      <c r="L285" s="37" t="n">
        <v>0</v>
      </c>
      <c r="M285" s="37" t="s">
        <v>175</v>
      </c>
    </row>
    <row r="286" customFormat="false" ht="42" hidden="false" customHeight="true" outlineLevel="0" collapsed="false">
      <c r="A286" s="37" t="s">
        <v>82</v>
      </c>
      <c r="B286" s="37" t="s">
        <v>167</v>
      </c>
      <c r="C286" s="38" t="n">
        <v>1</v>
      </c>
      <c r="D286" s="37" t="s">
        <v>346</v>
      </c>
      <c r="E286" s="37" t="s">
        <v>347</v>
      </c>
      <c r="F286" s="37" t="s">
        <v>170</v>
      </c>
      <c r="G286" s="39" t="n">
        <v>0.875</v>
      </c>
      <c r="H286" s="37" t="s">
        <v>348</v>
      </c>
      <c r="I286" s="37" t="s">
        <v>349</v>
      </c>
      <c r="J286" s="37" t="s">
        <v>350</v>
      </c>
      <c r="K286" s="37" t="s">
        <v>351</v>
      </c>
      <c r="L286" s="37" t="n">
        <v>3</v>
      </c>
      <c r="M286" s="37" t="s">
        <v>207</v>
      </c>
    </row>
    <row r="287" customFormat="false" ht="42" hidden="false" customHeight="true" outlineLevel="0" collapsed="false">
      <c r="A287" s="37" t="s">
        <v>82</v>
      </c>
      <c r="B287" s="37" t="s">
        <v>167</v>
      </c>
      <c r="C287" s="38" t="n">
        <v>2</v>
      </c>
      <c r="D287" s="37" t="s">
        <v>231</v>
      </c>
      <c r="E287" s="37" t="s">
        <v>232</v>
      </c>
      <c r="F287" s="37" t="s">
        <v>170</v>
      </c>
      <c r="G287" s="39" t="n">
        <v>0.5</v>
      </c>
      <c r="H287" s="37" t="s">
        <v>233</v>
      </c>
      <c r="I287" s="37" t="s">
        <v>234</v>
      </c>
      <c r="J287" s="37" t="s">
        <v>235</v>
      </c>
      <c r="K287" s="37" t="s">
        <v>236</v>
      </c>
      <c r="L287" s="37" t="n">
        <v>0</v>
      </c>
      <c r="M287" s="37" t="s">
        <v>175</v>
      </c>
    </row>
    <row r="288" customFormat="false" ht="42" hidden="false" customHeight="true" outlineLevel="0" collapsed="false">
      <c r="A288" s="37" t="s">
        <v>82</v>
      </c>
      <c r="B288" s="37" t="s">
        <v>167</v>
      </c>
      <c r="C288" s="38" t="n">
        <v>3</v>
      </c>
      <c r="D288" s="37" t="s">
        <v>249</v>
      </c>
      <c r="E288" s="37" t="s">
        <v>30</v>
      </c>
      <c r="F288" s="37" t="s">
        <v>170</v>
      </c>
      <c r="G288" s="39" t="n">
        <v>0.375</v>
      </c>
      <c r="H288" s="37" t="s">
        <v>250</v>
      </c>
      <c r="I288" s="37" t="s">
        <v>251</v>
      </c>
      <c r="J288" s="37" t="s">
        <v>252</v>
      </c>
      <c r="K288" s="37" t="s">
        <v>253</v>
      </c>
      <c r="L288" s="37" t="n">
        <v>0</v>
      </c>
      <c r="M288" s="37" t="s">
        <v>175</v>
      </c>
    </row>
    <row r="289" customFormat="false" ht="42" hidden="false" customHeight="true" outlineLevel="0" collapsed="false">
      <c r="A289" s="37" t="s">
        <v>82</v>
      </c>
      <c r="B289" s="37" t="s">
        <v>167</v>
      </c>
      <c r="C289" s="38" t="n">
        <v>4</v>
      </c>
      <c r="D289" s="37" t="s">
        <v>225</v>
      </c>
      <c r="E289" s="37" t="s">
        <v>254</v>
      </c>
      <c r="F289" s="37" t="s">
        <v>178</v>
      </c>
      <c r="G289" s="39" t="n">
        <v>0.375</v>
      </c>
      <c r="H289" s="37" t="s">
        <v>227</v>
      </c>
      <c r="I289" s="37" t="s">
        <v>228</v>
      </c>
      <c r="J289" s="37" t="s">
        <v>255</v>
      </c>
      <c r="K289" s="37" t="s">
        <v>230</v>
      </c>
      <c r="L289" s="37" t="n">
        <v>0</v>
      </c>
      <c r="M289" s="37" t="s">
        <v>175</v>
      </c>
    </row>
    <row r="290" customFormat="false" ht="42" hidden="false" customHeight="true" outlineLevel="0" collapsed="false">
      <c r="A290" s="37" t="s">
        <v>82</v>
      </c>
      <c r="B290" s="37" t="s">
        <v>167</v>
      </c>
      <c r="C290" s="38" t="n">
        <v>5</v>
      </c>
      <c r="D290" s="37" t="s">
        <v>195</v>
      </c>
      <c r="E290" s="37" t="s">
        <v>365</v>
      </c>
      <c r="F290" s="37" t="s">
        <v>178</v>
      </c>
      <c r="G290" s="39" t="n">
        <v>0.25</v>
      </c>
      <c r="H290" s="37" t="s">
        <v>198</v>
      </c>
      <c r="I290" s="37" t="s">
        <v>192</v>
      </c>
      <c r="J290" s="37" t="s">
        <v>366</v>
      </c>
      <c r="K290" s="37" t="s">
        <v>200</v>
      </c>
      <c r="L290" s="37" t="n">
        <v>0</v>
      </c>
      <c r="M290" s="37" t="s">
        <v>175</v>
      </c>
    </row>
    <row r="291" customFormat="false" ht="42" hidden="false" customHeight="true" outlineLevel="0" collapsed="false">
      <c r="A291" s="37" t="s">
        <v>82</v>
      </c>
      <c r="B291" s="37" t="s">
        <v>201</v>
      </c>
      <c r="C291" s="38" t="n">
        <v>1</v>
      </c>
      <c r="D291" s="37" t="s">
        <v>346</v>
      </c>
      <c r="E291" s="37" t="s">
        <v>347</v>
      </c>
      <c r="F291" s="37" t="s">
        <v>170</v>
      </c>
      <c r="G291" s="39" t="n">
        <v>0.3586878</v>
      </c>
      <c r="H291" s="37" t="s">
        <v>348</v>
      </c>
      <c r="I291" s="37" t="s">
        <v>349</v>
      </c>
      <c r="J291" s="37" t="s">
        <v>350</v>
      </c>
      <c r="K291" s="37" t="s">
        <v>351</v>
      </c>
      <c r="L291" s="37" t="n">
        <v>3</v>
      </c>
      <c r="M291" s="37" t="s">
        <v>207</v>
      </c>
    </row>
    <row r="292" customFormat="false" ht="42" hidden="false" customHeight="true" outlineLevel="0" collapsed="false">
      <c r="A292" s="37" t="s">
        <v>82</v>
      </c>
      <c r="B292" s="37" t="s">
        <v>201</v>
      </c>
      <c r="C292" s="38" t="n">
        <v>2</v>
      </c>
      <c r="D292" s="37" t="s">
        <v>367</v>
      </c>
      <c r="E292" s="37" t="s">
        <v>368</v>
      </c>
      <c r="F292" s="37" t="s">
        <v>170</v>
      </c>
      <c r="G292" s="39" t="n">
        <v>0.2713339</v>
      </c>
      <c r="H292" s="37" t="s">
        <v>369</v>
      </c>
      <c r="I292" s="37" t="s">
        <v>349</v>
      </c>
      <c r="J292" s="37" t="s">
        <v>370</v>
      </c>
      <c r="K292" s="37" t="s">
        <v>371</v>
      </c>
      <c r="L292" s="37" t="n">
        <v>0</v>
      </c>
      <c r="M292" s="37" t="s">
        <v>175</v>
      </c>
    </row>
    <row r="293" customFormat="false" ht="42" hidden="false" customHeight="true" outlineLevel="0" collapsed="false">
      <c r="A293" s="37" t="s">
        <v>82</v>
      </c>
      <c r="B293" s="37" t="s">
        <v>201</v>
      </c>
      <c r="C293" s="38" t="n">
        <v>3</v>
      </c>
      <c r="D293" s="37" t="s">
        <v>269</v>
      </c>
      <c r="E293" s="37" t="s">
        <v>372</v>
      </c>
      <c r="F293" s="37" t="s">
        <v>197</v>
      </c>
      <c r="G293" s="39" t="n">
        <v>0.24244731</v>
      </c>
      <c r="H293" s="37" t="s">
        <v>271</v>
      </c>
      <c r="I293" s="37" t="s">
        <v>272</v>
      </c>
      <c r="J293" s="37" t="s">
        <v>373</v>
      </c>
      <c r="K293" s="37" t="s">
        <v>274</v>
      </c>
      <c r="L293" s="37" t="n">
        <v>0</v>
      </c>
      <c r="M293" s="37" t="s">
        <v>175</v>
      </c>
    </row>
    <row r="294" customFormat="false" ht="42" hidden="false" customHeight="true" outlineLevel="0" collapsed="false">
      <c r="A294" s="37" t="s">
        <v>82</v>
      </c>
      <c r="B294" s="37" t="s">
        <v>201</v>
      </c>
      <c r="C294" s="38" t="n">
        <v>4</v>
      </c>
      <c r="D294" s="37" t="s">
        <v>249</v>
      </c>
      <c r="E294" s="37" t="s">
        <v>30</v>
      </c>
      <c r="F294" s="37" t="s">
        <v>170</v>
      </c>
      <c r="G294" s="39" t="n">
        <v>0.24124473</v>
      </c>
      <c r="H294" s="37" t="s">
        <v>250</v>
      </c>
      <c r="I294" s="37" t="s">
        <v>251</v>
      </c>
      <c r="J294" s="37" t="s">
        <v>252</v>
      </c>
      <c r="K294" s="37" t="s">
        <v>253</v>
      </c>
      <c r="L294" s="37" t="n">
        <v>0</v>
      </c>
      <c r="M294" s="37" t="s">
        <v>175</v>
      </c>
    </row>
    <row r="295" customFormat="false" ht="42" hidden="false" customHeight="true" outlineLevel="0" collapsed="false">
      <c r="A295" s="37" t="s">
        <v>82</v>
      </c>
      <c r="B295" s="37" t="s">
        <v>201</v>
      </c>
      <c r="C295" s="38" t="n">
        <v>5</v>
      </c>
      <c r="D295" s="37" t="s">
        <v>225</v>
      </c>
      <c r="E295" s="37" t="s">
        <v>254</v>
      </c>
      <c r="F295" s="37" t="s">
        <v>178</v>
      </c>
      <c r="G295" s="39" t="n">
        <v>0.23932482</v>
      </c>
      <c r="H295" s="37" t="s">
        <v>227</v>
      </c>
      <c r="I295" s="37" t="s">
        <v>228</v>
      </c>
      <c r="J295" s="37" t="s">
        <v>255</v>
      </c>
      <c r="K295" s="37" t="s">
        <v>230</v>
      </c>
      <c r="L295" s="37" t="n">
        <v>0</v>
      </c>
      <c r="M295" s="37" t="s">
        <v>175</v>
      </c>
    </row>
    <row r="296" customFormat="false" ht="42" hidden="false" customHeight="true" outlineLevel="0" collapsed="false">
      <c r="A296" s="37" t="s">
        <v>82</v>
      </c>
      <c r="B296" s="37" t="s">
        <v>212</v>
      </c>
      <c r="C296" s="38" t="n">
        <v>1</v>
      </c>
      <c r="D296" s="37" t="s">
        <v>346</v>
      </c>
      <c r="E296" s="37" t="s">
        <v>347</v>
      </c>
      <c r="F296" s="37" t="s">
        <v>170</v>
      </c>
      <c r="G296" s="39" t="n">
        <v>0.03311475</v>
      </c>
      <c r="H296" s="37" t="s">
        <v>348</v>
      </c>
      <c r="I296" s="37" t="s">
        <v>349</v>
      </c>
      <c r="J296" s="37" t="s">
        <v>350</v>
      </c>
      <c r="K296" s="37" t="s">
        <v>351</v>
      </c>
      <c r="L296" s="37" t="n">
        <v>3</v>
      </c>
      <c r="M296" s="37" t="s">
        <v>207</v>
      </c>
    </row>
    <row r="297" customFormat="false" ht="42" hidden="false" customHeight="true" outlineLevel="0" collapsed="false">
      <c r="A297" s="37" t="s">
        <v>82</v>
      </c>
      <c r="B297" s="37" t="s">
        <v>212</v>
      </c>
      <c r="C297" s="38" t="n">
        <v>2</v>
      </c>
      <c r="D297" s="37" t="s">
        <v>249</v>
      </c>
      <c r="E297" s="37" t="s">
        <v>30</v>
      </c>
      <c r="F297" s="37" t="s">
        <v>170</v>
      </c>
      <c r="G297" s="39" t="n">
        <v>0.03181052</v>
      </c>
      <c r="H297" s="37" t="s">
        <v>250</v>
      </c>
      <c r="I297" s="37" t="s">
        <v>251</v>
      </c>
      <c r="J297" s="37" t="s">
        <v>252</v>
      </c>
      <c r="K297" s="37" t="s">
        <v>253</v>
      </c>
      <c r="L297" s="37" t="n">
        <v>0</v>
      </c>
      <c r="M297" s="37" t="s">
        <v>175</v>
      </c>
    </row>
    <row r="298" customFormat="false" ht="42" hidden="false" customHeight="true" outlineLevel="0" collapsed="false">
      <c r="A298" s="37" t="s">
        <v>82</v>
      </c>
      <c r="B298" s="37" t="s">
        <v>212</v>
      </c>
      <c r="C298" s="38" t="n">
        <v>3</v>
      </c>
      <c r="D298" s="37" t="s">
        <v>367</v>
      </c>
      <c r="E298" s="37" t="s">
        <v>368</v>
      </c>
      <c r="F298" s="37" t="s">
        <v>170</v>
      </c>
      <c r="G298" s="39" t="n">
        <v>0.03160313</v>
      </c>
      <c r="H298" s="37" t="s">
        <v>369</v>
      </c>
      <c r="I298" s="37" t="s">
        <v>349</v>
      </c>
      <c r="J298" s="37" t="s">
        <v>370</v>
      </c>
      <c r="K298" s="37" t="s">
        <v>371</v>
      </c>
      <c r="L298" s="37" t="n">
        <v>0</v>
      </c>
      <c r="M298" s="37" t="s">
        <v>175</v>
      </c>
    </row>
    <row r="299" customFormat="false" ht="42" hidden="false" customHeight="true" outlineLevel="0" collapsed="false">
      <c r="A299" s="37" t="s">
        <v>82</v>
      </c>
      <c r="B299" s="37" t="s">
        <v>212</v>
      </c>
      <c r="C299" s="38" t="n">
        <v>4</v>
      </c>
      <c r="D299" s="37" t="s">
        <v>225</v>
      </c>
      <c r="E299" s="37" t="s">
        <v>254</v>
      </c>
      <c r="F299" s="37" t="s">
        <v>178</v>
      </c>
      <c r="G299" s="39" t="n">
        <v>0.03131731</v>
      </c>
      <c r="H299" s="37" t="s">
        <v>227</v>
      </c>
      <c r="I299" s="37" t="s">
        <v>228</v>
      </c>
      <c r="J299" s="37" t="s">
        <v>255</v>
      </c>
      <c r="K299" s="37" t="s">
        <v>230</v>
      </c>
      <c r="L299" s="37" t="n">
        <v>0</v>
      </c>
      <c r="M299" s="37" t="s">
        <v>175</v>
      </c>
    </row>
    <row r="300" customFormat="false" ht="42" hidden="false" customHeight="true" outlineLevel="0" collapsed="false">
      <c r="A300" s="37" t="s">
        <v>82</v>
      </c>
      <c r="B300" s="37" t="s">
        <v>212</v>
      </c>
      <c r="C300" s="38" t="n">
        <v>5</v>
      </c>
      <c r="D300" s="37" t="s">
        <v>231</v>
      </c>
      <c r="E300" s="37" t="s">
        <v>232</v>
      </c>
      <c r="F300" s="37" t="s">
        <v>170</v>
      </c>
      <c r="G300" s="39" t="n">
        <v>0.03112903</v>
      </c>
      <c r="H300" s="37" t="s">
        <v>233</v>
      </c>
      <c r="I300" s="37" t="s">
        <v>234</v>
      </c>
      <c r="J300" s="37" t="s">
        <v>235</v>
      </c>
      <c r="K300" s="37" t="s">
        <v>236</v>
      </c>
      <c r="L300" s="37" t="n">
        <v>0</v>
      </c>
      <c r="M300" s="37" t="s">
        <v>175</v>
      </c>
    </row>
    <row r="301" customFormat="false" ht="42" hidden="false" customHeight="true" outlineLevel="0" collapsed="false">
      <c r="A301" s="37" t="s">
        <v>82</v>
      </c>
      <c r="B301" s="37" t="s">
        <v>219</v>
      </c>
      <c r="C301" s="38" t="n">
        <v>1</v>
      </c>
      <c r="D301" s="37" t="s">
        <v>346</v>
      </c>
      <c r="E301" s="37" t="s">
        <v>347</v>
      </c>
      <c r="F301" s="37" t="s">
        <v>170</v>
      </c>
      <c r="G301" s="39" t="n">
        <v>0.62243443</v>
      </c>
      <c r="H301" s="37" t="s">
        <v>348</v>
      </c>
      <c r="I301" s="37" t="s">
        <v>349</v>
      </c>
      <c r="J301" s="37" t="s">
        <v>350</v>
      </c>
      <c r="K301" s="37" t="s">
        <v>351</v>
      </c>
      <c r="L301" s="37" t="n">
        <v>3</v>
      </c>
      <c r="M301" s="37" t="s">
        <v>207</v>
      </c>
    </row>
    <row r="302" customFormat="false" ht="42" hidden="false" customHeight="true" outlineLevel="0" collapsed="false">
      <c r="A302" s="37" t="s">
        <v>82</v>
      </c>
      <c r="B302" s="37" t="s">
        <v>219</v>
      </c>
      <c r="C302" s="38" t="n">
        <v>2</v>
      </c>
      <c r="D302" s="37" t="s">
        <v>231</v>
      </c>
      <c r="E302" s="37" t="s">
        <v>232</v>
      </c>
      <c r="F302" s="37" t="s">
        <v>170</v>
      </c>
      <c r="G302" s="39" t="n">
        <v>0.35933871</v>
      </c>
      <c r="H302" s="37" t="s">
        <v>233</v>
      </c>
      <c r="I302" s="37" t="s">
        <v>234</v>
      </c>
      <c r="J302" s="37" t="s">
        <v>235</v>
      </c>
      <c r="K302" s="37" t="s">
        <v>236</v>
      </c>
      <c r="L302" s="37" t="n">
        <v>0</v>
      </c>
      <c r="M302" s="37" t="s">
        <v>175</v>
      </c>
    </row>
    <row r="303" customFormat="false" ht="42" hidden="false" customHeight="true" outlineLevel="0" collapsed="false">
      <c r="A303" s="37" t="s">
        <v>82</v>
      </c>
      <c r="B303" s="37" t="s">
        <v>219</v>
      </c>
      <c r="C303" s="38" t="n">
        <v>3</v>
      </c>
      <c r="D303" s="37" t="s">
        <v>249</v>
      </c>
      <c r="E303" s="37" t="s">
        <v>30</v>
      </c>
      <c r="F303" s="37" t="s">
        <v>170</v>
      </c>
      <c r="G303" s="39" t="n">
        <v>0.27204315</v>
      </c>
      <c r="H303" s="37" t="s">
        <v>250</v>
      </c>
      <c r="I303" s="37" t="s">
        <v>251</v>
      </c>
      <c r="J303" s="37" t="s">
        <v>252</v>
      </c>
      <c r="K303" s="37" t="s">
        <v>253</v>
      </c>
      <c r="L303" s="37" t="n">
        <v>0</v>
      </c>
      <c r="M303" s="37" t="s">
        <v>175</v>
      </c>
    </row>
    <row r="304" customFormat="false" ht="42" hidden="false" customHeight="true" outlineLevel="0" collapsed="false">
      <c r="A304" s="37" t="s">
        <v>82</v>
      </c>
      <c r="B304" s="37" t="s">
        <v>219</v>
      </c>
      <c r="C304" s="38" t="n">
        <v>4</v>
      </c>
      <c r="D304" s="37" t="s">
        <v>225</v>
      </c>
      <c r="E304" s="37" t="s">
        <v>254</v>
      </c>
      <c r="F304" s="37" t="s">
        <v>178</v>
      </c>
      <c r="G304" s="39" t="n">
        <v>0.27189519</v>
      </c>
      <c r="H304" s="37" t="s">
        <v>227</v>
      </c>
      <c r="I304" s="37" t="s">
        <v>228</v>
      </c>
      <c r="J304" s="37" t="s">
        <v>255</v>
      </c>
      <c r="K304" s="37" t="s">
        <v>230</v>
      </c>
      <c r="L304" s="37" t="n">
        <v>0</v>
      </c>
      <c r="M304" s="37" t="s">
        <v>175</v>
      </c>
    </row>
    <row r="305" customFormat="false" ht="42" hidden="false" customHeight="true" outlineLevel="0" collapsed="false">
      <c r="A305" s="37" t="s">
        <v>82</v>
      </c>
      <c r="B305" s="37" t="s">
        <v>219</v>
      </c>
      <c r="C305" s="38" t="n">
        <v>5</v>
      </c>
      <c r="D305" s="37" t="s">
        <v>367</v>
      </c>
      <c r="E305" s="37" t="s">
        <v>368</v>
      </c>
      <c r="F305" s="37" t="s">
        <v>170</v>
      </c>
      <c r="G305" s="39" t="n">
        <v>0.18448094</v>
      </c>
      <c r="H305" s="37" t="s">
        <v>369</v>
      </c>
      <c r="I305" s="37" t="s">
        <v>349</v>
      </c>
      <c r="J305" s="37" t="s">
        <v>370</v>
      </c>
      <c r="K305" s="37" t="s">
        <v>371</v>
      </c>
      <c r="L305" s="37" t="n">
        <v>0</v>
      </c>
      <c r="M305" s="37" t="s">
        <v>175</v>
      </c>
    </row>
    <row r="306" customFormat="false" ht="42" hidden="false" customHeight="true" outlineLevel="0" collapsed="false">
      <c r="A306" s="37" t="s">
        <v>87</v>
      </c>
      <c r="B306" s="37" t="s">
        <v>167</v>
      </c>
      <c r="C306" s="38" t="n">
        <v>1</v>
      </c>
      <c r="D306" s="37" t="s">
        <v>256</v>
      </c>
      <c r="E306" s="37" t="s">
        <v>257</v>
      </c>
      <c r="F306" s="37" t="s">
        <v>197</v>
      </c>
      <c r="G306" s="39" t="n">
        <v>0.1</v>
      </c>
      <c r="H306" s="37" t="s">
        <v>258</v>
      </c>
      <c r="I306" s="37" t="s">
        <v>259</v>
      </c>
      <c r="J306" s="37" t="s">
        <v>260</v>
      </c>
      <c r="K306" s="37" t="s">
        <v>261</v>
      </c>
      <c r="L306" s="37" t="n">
        <v>0</v>
      </c>
      <c r="M306" s="37" t="s">
        <v>175</v>
      </c>
    </row>
    <row r="307" customFormat="false" ht="42" hidden="false" customHeight="true" outlineLevel="0" collapsed="false">
      <c r="A307" s="37" t="s">
        <v>87</v>
      </c>
      <c r="B307" s="37" t="s">
        <v>167</v>
      </c>
      <c r="C307" s="38" t="n">
        <v>2</v>
      </c>
      <c r="D307" s="37" t="s">
        <v>195</v>
      </c>
      <c r="E307" s="37" t="s">
        <v>365</v>
      </c>
      <c r="F307" s="37" t="s">
        <v>178</v>
      </c>
      <c r="G307" s="39" t="n">
        <v>0.1</v>
      </c>
      <c r="H307" s="37" t="s">
        <v>198</v>
      </c>
      <c r="I307" s="37" t="s">
        <v>192</v>
      </c>
      <c r="J307" s="37" t="s">
        <v>366</v>
      </c>
      <c r="K307" s="37" t="s">
        <v>200</v>
      </c>
      <c r="L307" s="37" t="n">
        <v>3</v>
      </c>
      <c r="M307" s="37" t="s">
        <v>207</v>
      </c>
    </row>
    <row r="308" customFormat="false" ht="42" hidden="false" customHeight="true" outlineLevel="0" collapsed="false">
      <c r="A308" s="37" t="s">
        <v>87</v>
      </c>
      <c r="B308" s="37" t="s">
        <v>167</v>
      </c>
      <c r="C308" s="38" t="n">
        <v>3</v>
      </c>
      <c r="D308" s="37" t="s">
        <v>225</v>
      </c>
      <c r="E308" s="37" t="s">
        <v>331</v>
      </c>
      <c r="F308" s="37" t="s">
        <v>197</v>
      </c>
      <c r="G308" s="39" t="n">
        <v>0.1</v>
      </c>
      <c r="H308" s="37" t="s">
        <v>227</v>
      </c>
      <c r="I308" s="37" t="s">
        <v>228</v>
      </c>
      <c r="J308" s="37" t="s">
        <v>332</v>
      </c>
      <c r="K308" s="37" t="s">
        <v>230</v>
      </c>
      <c r="L308" s="37" t="n">
        <v>0</v>
      </c>
      <c r="M308" s="37" t="s">
        <v>175</v>
      </c>
    </row>
    <row r="309" customFormat="false" ht="42" hidden="false" customHeight="true" outlineLevel="0" collapsed="false">
      <c r="A309" s="37" t="s">
        <v>87</v>
      </c>
      <c r="B309" s="37" t="s">
        <v>167</v>
      </c>
      <c r="C309" s="38" t="n">
        <v>4</v>
      </c>
      <c r="D309" s="37" t="s">
        <v>305</v>
      </c>
      <c r="E309" s="37" t="s">
        <v>374</v>
      </c>
      <c r="F309" s="37" t="s">
        <v>197</v>
      </c>
      <c r="G309" s="39" t="n">
        <v>0.1</v>
      </c>
      <c r="H309" s="37" t="s">
        <v>307</v>
      </c>
      <c r="I309" s="37" t="s">
        <v>308</v>
      </c>
      <c r="J309" s="37" t="s">
        <v>375</v>
      </c>
      <c r="K309" s="37" t="s">
        <v>230</v>
      </c>
      <c r="L309" s="37" t="n">
        <v>0</v>
      </c>
      <c r="M309" s="37" t="s">
        <v>175</v>
      </c>
    </row>
    <row r="310" customFormat="false" ht="42" hidden="false" customHeight="true" outlineLevel="0" collapsed="false">
      <c r="A310" s="37" t="s">
        <v>87</v>
      </c>
      <c r="B310" s="37" t="s">
        <v>167</v>
      </c>
      <c r="C310" s="38" t="n">
        <v>5</v>
      </c>
      <c r="D310" s="37" t="s">
        <v>269</v>
      </c>
      <c r="E310" s="37" t="s">
        <v>270</v>
      </c>
      <c r="F310" s="37" t="s">
        <v>170</v>
      </c>
      <c r="G310" s="39" t="n">
        <v>0.1</v>
      </c>
      <c r="H310" s="37" t="s">
        <v>271</v>
      </c>
      <c r="I310" s="37" t="s">
        <v>272</v>
      </c>
      <c r="J310" s="37" t="s">
        <v>273</v>
      </c>
      <c r="K310" s="37" t="s">
        <v>274</v>
      </c>
      <c r="L310" s="37" t="n">
        <v>0</v>
      </c>
      <c r="M310" s="37" t="s">
        <v>175</v>
      </c>
    </row>
    <row r="311" customFormat="false" ht="42" hidden="false" customHeight="true" outlineLevel="0" collapsed="false">
      <c r="A311" s="37" t="s">
        <v>87</v>
      </c>
      <c r="B311" s="37" t="s">
        <v>201</v>
      </c>
      <c r="C311" s="38" t="n">
        <v>1</v>
      </c>
      <c r="D311" s="37" t="s">
        <v>367</v>
      </c>
      <c r="E311" s="37" t="s">
        <v>368</v>
      </c>
      <c r="F311" s="37" t="s">
        <v>170</v>
      </c>
      <c r="G311" s="39" t="n">
        <v>0.16313222</v>
      </c>
      <c r="H311" s="37" t="s">
        <v>369</v>
      </c>
      <c r="I311" s="37" t="s">
        <v>349</v>
      </c>
      <c r="J311" s="37" t="s">
        <v>370</v>
      </c>
      <c r="K311" s="37" t="s">
        <v>371</v>
      </c>
      <c r="L311" s="37" t="n">
        <v>3</v>
      </c>
      <c r="M311" s="37" t="s">
        <v>207</v>
      </c>
    </row>
    <row r="312" customFormat="false" ht="42" hidden="false" customHeight="true" outlineLevel="0" collapsed="false">
      <c r="A312" s="37" t="s">
        <v>87</v>
      </c>
      <c r="B312" s="37" t="s">
        <v>201</v>
      </c>
      <c r="C312" s="38" t="n">
        <v>2</v>
      </c>
      <c r="D312" s="37" t="s">
        <v>346</v>
      </c>
      <c r="E312" s="37" t="s">
        <v>347</v>
      </c>
      <c r="F312" s="37" t="s">
        <v>170</v>
      </c>
      <c r="G312" s="39" t="n">
        <v>0.12460792</v>
      </c>
      <c r="H312" s="37" t="s">
        <v>348</v>
      </c>
      <c r="I312" s="37" t="s">
        <v>349</v>
      </c>
      <c r="J312" s="37" t="s">
        <v>350</v>
      </c>
      <c r="K312" s="37" t="s">
        <v>351</v>
      </c>
      <c r="L312" s="37" t="n">
        <v>0</v>
      </c>
      <c r="M312" s="37" t="s">
        <v>175</v>
      </c>
    </row>
    <row r="313" customFormat="false" ht="42" hidden="false" customHeight="true" outlineLevel="0" collapsed="false">
      <c r="A313" s="37" t="s">
        <v>87</v>
      </c>
      <c r="B313" s="37" t="s">
        <v>201</v>
      </c>
      <c r="C313" s="38" t="n">
        <v>3</v>
      </c>
      <c r="D313" s="37" t="s">
        <v>305</v>
      </c>
      <c r="E313" s="37" t="s">
        <v>374</v>
      </c>
      <c r="F313" s="37" t="s">
        <v>197</v>
      </c>
      <c r="G313" s="39" t="n">
        <v>0.12269732</v>
      </c>
      <c r="H313" s="37" t="s">
        <v>307</v>
      </c>
      <c r="I313" s="37" t="s">
        <v>308</v>
      </c>
      <c r="J313" s="37" t="s">
        <v>375</v>
      </c>
      <c r="K313" s="37" t="s">
        <v>230</v>
      </c>
      <c r="L313" s="37" t="n">
        <v>0</v>
      </c>
      <c r="M313" s="37" t="s">
        <v>175</v>
      </c>
    </row>
    <row r="314" customFormat="false" ht="42" hidden="false" customHeight="true" outlineLevel="0" collapsed="false">
      <c r="A314" s="37" t="s">
        <v>87</v>
      </c>
      <c r="B314" s="37" t="s">
        <v>201</v>
      </c>
      <c r="C314" s="38" t="n">
        <v>4</v>
      </c>
      <c r="D314" s="37" t="s">
        <v>195</v>
      </c>
      <c r="E314" s="37" t="s">
        <v>365</v>
      </c>
      <c r="F314" s="37" t="s">
        <v>178</v>
      </c>
      <c r="G314" s="39" t="n">
        <v>0.12181424</v>
      </c>
      <c r="H314" s="37" t="s">
        <v>198</v>
      </c>
      <c r="I314" s="37" t="s">
        <v>192</v>
      </c>
      <c r="J314" s="37" t="s">
        <v>366</v>
      </c>
      <c r="K314" s="37" t="s">
        <v>200</v>
      </c>
      <c r="L314" s="37" t="n">
        <v>3</v>
      </c>
      <c r="M314" s="37" t="s">
        <v>207</v>
      </c>
    </row>
    <row r="315" customFormat="false" ht="42" hidden="false" customHeight="true" outlineLevel="0" collapsed="false">
      <c r="A315" s="37" t="s">
        <v>87</v>
      </c>
      <c r="B315" s="37" t="s">
        <v>201</v>
      </c>
      <c r="C315" s="38" t="n">
        <v>5</v>
      </c>
      <c r="D315" s="37" t="s">
        <v>225</v>
      </c>
      <c r="E315" s="37" t="s">
        <v>331</v>
      </c>
      <c r="F315" s="37" t="s">
        <v>197</v>
      </c>
      <c r="G315" s="39" t="n">
        <v>0.12014527</v>
      </c>
      <c r="H315" s="37" t="s">
        <v>227</v>
      </c>
      <c r="I315" s="37" t="s">
        <v>228</v>
      </c>
      <c r="J315" s="37" t="s">
        <v>332</v>
      </c>
      <c r="K315" s="37" t="s">
        <v>230</v>
      </c>
      <c r="L315" s="37" t="n">
        <v>0</v>
      </c>
      <c r="M315" s="37" t="s">
        <v>175</v>
      </c>
    </row>
    <row r="316" customFormat="false" ht="42" hidden="false" customHeight="true" outlineLevel="0" collapsed="false">
      <c r="A316" s="37" t="s">
        <v>87</v>
      </c>
      <c r="B316" s="37" t="s">
        <v>212</v>
      </c>
      <c r="C316" s="38" t="n">
        <v>1</v>
      </c>
      <c r="D316" s="37" t="s">
        <v>195</v>
      </c>
      <c r="E316" s="37" t="s">
        <v>365</v>
      </c>
      <c r="F316" s="37" t="s">
        <v>178</v>
      </c>
      <c r="G316" s="39" t="n">
        <v>0.03206653</v>
      </c>
      <c r="H316" s="37" t="s">
        <v>198</v>
      </c>
      <c r="I316" s="37" t="s">
        <v>192</v>
      </c>
      <c r="J316" s="37" t="s">
        <v>366</v>
      </c>
      <c r="K316" s="37" t="s">
        <v>200</v>
      </c>
      <c r="L316" s="37" t="n">
        <v>3</v>
      </c>
      <c r="M316" s="37" t="s">
        <v>207</v>
      </c>
    </row>
    <row r="317" customFormat="false" ht="42" hidden="false" customHeight="true" outlineLevel="0" collapsed="false">
      <c r="A317" s="37" t="s">
        <v>87</v>
      </c>
      <c r="B317" s="37" t="s">
        <v>212</v>
      </c>
      <c r="C317" s="38" t="n">
        <v>2</v>
      </c>
      <c r="D317" s="37" t="s">
        <v>367</v>
      </c>
      <c r="E317" s="37" t="s">
        <v>368</v>
      </c>
      <c r="F317" s="37" t="s">
        <v>170</v>
      </c>
      <c r="G317" s="39" t="n">
        <v>0.03187283</v>
      </c>
      <c r="H317" s="37" t="s">
        <v>369</v>
      </c>
      <c r="I317" s="37" t="s">
        <v>349</v>
      </c>
      <c r="J317" s="37" t="s">
        <v>370</v>
      </c>
      <c r="K317" s="37" t="s">
        <v>371</v>
      </c>
      <c r="L317" s="37" t="n">
        <v>3</v>
      </c>
      <c r="M317" s="37" t="s">
        <v>207</v>
      </c>
    </row>
    <row r="318" customFormat="false" ht="42" hidden="false" customHeight="true" outlineLevel="0" collapsed="false">
      <c r="A318" s="37" t="s">
        <v>87</v>
      </c>
      <c r="B318" s="37" t="s">
        <v>212</v>
      </c>
      <c r="C318" s="38" t="n">
        <v>3</v>
      </c>
      <c r="D318" s="37" t="s">
        <v>305</v>
      </c>
      <c r="E318" s="37" t="s">
        <v>374</v>
      </c>
      <c r="F318" s="37" t="s">
        <v>197</v>
      </c>
      <c r="G318" s="39" t="n">
        <v>0.03181548</v>
      </c>
      <c r="H318" s="37" t="s">
        <v>307</v>
      </c>
      <c r="I318" s="37" t="s">
        <v>308</v>
      </c>
      <c r="J318" s="37" t="s">
        <v>375</v>
      </c>
      <c r="K318" s="37" t="s">
        <v>230</v>
      </c>
      <c r="L318" s="37" t="n">
        <v>0</v>
      </c>
      <c r="M318" s="37" t="s">
        <v>175</v>
      </c>
    </row>
    <row r="319" customFormat="false" ht="42" hidden="false" customHeight="true" outlineLevel="0" collapsed="false">
      <c r="A319" s="37" t="s">
        <v>87</v>
      </c>
      <c r="B319" s="37" t="s">
        <v>212</v>
      </c>
      <c r="C319" s="38" t="n">
        <v>4</v>
      </c>
      <c r="D319" s="37" t="s">
        <v>225</v>
      </c>
      <c r="E319" s="37" t="s">
        <v>331</v>
      </c>
      <c r="F319" s="37" t="s">
        <v>197</v>
      </c>
      <c r="G319" s="39" t="n">
        <v>0.03156532</v>
      </c>
      <c r="H319" s="37" t="s">
        <v>227</v>
      </c>
      <c r="I319" s="37" t="s">
        <v>228</v>
      </c>
      <c r="J319" s="37" t="s">
        <v>332</v>
      </c>
      <c r="K319" s="37" t="s">
        <v>230</v>
      </c>
      <c r="L319" s="37" t="n">
        <v>0</v>
      </c>
      <c r="M319" s="37" t="s">
        <v>175</v>
      </c>
    </row>
    <row r="320" customFormat="false" ht="42" hidden="false" customHeight="true" outlineLevel="0" collapsed="false">
      <c r="A320" s="37" t="s">
        <v>87</v>
      </c>
      <c r="B320" s="37" t="s">
        <v>212</v>
      </c>
      <c r="C320" s="38" t="n">
        <v>5</v>
      </c>
      <c r="D320" s="37" t="s">
        <v>237</v>
      </c>
      <c r="E320" s="37" t="s">
        <v>238</v>
      </c>
      <c r="F320" s="37" t="s">
        <v>197</v>
      </c>
      <c r="G320" s="39" t="n">
        <v>0.03014925</v>
      </c>
      <c r="H320" s="37" t="s">
        <v>239</v>
      </c>
      <c r="I320" s="37" t="s">
        <v>240</v>
      </c>
      <c r="J320" s="37" t="s">
        <v>241</v>
      </c>
      <c r="K320" s="37" t="s">
        <v>230</v>
      </c>
      <c r="L320" s="37" t="n">
        <v>0</v>
      </c>
      <c r="M320" s="37" t="s">
        <v>175</v>
      </c>
    </row>
    <row r="321" customFormat="false" ht="42" hidden="false" customHeight="true" outlineLevel="0" collapsed="false">
      <c r="A321" s="37" t="s">
        <v>87</v>
      </c>
      <c r="B321" s="37" t="s">
        <v>219</v>
      </c>
      <c r="C321" s="38" t="n">
        <v>1</v>
      </c>
      <c r="D321" s="37" t="s">
        <v>195</v>
      </c>
      <c r="E321" s="37" t="s">
        <v>365</v>
      </c>
      <c r="F321" s="37" t="s">
        <v>178</v>
      </c>
      <c r="G321" s="39" t="n">
        <v>0.07961996</v>
      </c>
      <c r="H321" s="37" t="s">
        <v>198</v>
      </c>
      <c r="I321" s="37" t="s">
        <v>192</v>
      </c>
      <c r="J321" s="37" t="s">
        <v>366</v>
      </c>
      <c r="K321" s="37" t="s">
        <v>200</v>
      </c>
      <c r="L321" s="37" t="n">
        <v>3</v>
      </c>
      <c r="M321" s="37" t="s">
        <v>207</v>
      </c>
    </row>
    <row r="322" customFormat="false" ht="42" hidden="false" customHeight="true" outlineLevel="0" collapsed="false">
      <c r="A322" s="37" t="s">
        <v>87</v>
      </c>
      <c r="B322" s="37" t="s">
        <v>219</v>
      </c>
      <c r="C322" s="38" t="n">
        <v>2</v>
      </c>
      <c r="D322" s="37" t="s">
        <v>367</v>
      </c>
      <c r="E322" s="37" t="s">
        <v>368</v>
      </c>
      <c r="F322" s="37" t="s">
        <v>170</v>
      </c>
      <c r="G322" s="39" t="n">
        <v>0.07956185</v>
      </c>
      <c r="H322" s="37" t="s">
        <v>369</v>
      </c>
      <c r="I322" s="37" t="s">
        <v>349</v>
      </c>
      <c r="J322" s="37" t="s">
        <v>370</v>
      </c>
      <c r="K322" s="37" t="s">
        <v>371</v>
      </c>
      <c r="L322" s="37" t="n">
        <v>3</v>
      </c>
      <c r="M322" s="37" t="s">
        <v>207</v>
      </c>
    </row>
    <row r="323" customFormat="false" ht="42" hidden="false" customHeight="true" outlineLevel="0" collapsed="false">
      <c r="A323" s="37" t="s">
        <v>87</v>
      </c>
      <c r="B323" s="37" t="s">
        <v>219</v>
      </c>
      <c r="C323" s="38" t="n">
        <v>3</v>
      </c>
      <c r="D323" s="37" t="s">
        <v>305</v>
      </c>
      <c r="E323" s="37" t="s">
        <v>374</v>
      </c>
      <c r="F323" s="37" t="s">
        <v>197</v>
      </c>
      <c r="G323" s="39" t="n">
        <v>0.07954464</v>
      </c>
      <c r="H323" s="37" t="s">
        <v>307</v>
      </c>
      <c r="I323" s="37" t="s">
        <v>308</v>
      </c>
      <c r="J323" s="37" t="s">
        <v>375</v>
      </c>
      <c r="K323" s="37" t="s">
        <v>230</v>
      </c>
      <c r="L323" s="37" t="n">
        <v>0</v>
      </c>
      <c r="M323" s="37" t="s">
        <v>175</v>
      </c>
    </row>
    <row r="324" customFormat="false" ht="42" hidden="false" customHeight="true" outlineLevel="0" collapsed="false">
      <c r="A324" s="37" t="s">
        <v>87</v>
      </c>
      <c r="B324" s="37" t="s">
        <v>219</v>
      </c>
      <c r="C324" s="38" t="n">
        <v>4</v>
      </c>
      <c r="D324" s="37" t="s">
        <v>225</v>
      </c>
      <c r="E324" s="37" t="s">
        <v>331</v>
      </c>
      <c r="F324" s="37" t="s">
        <v>197</v>
      </c>
      <c r="G324" s="39" t="n">
        <v>0.0794696</v>
      </c>
      <c r="H324" s="37" t="s">
        <v>227</v>
      </c>
      <c r="I324" s="37" t="s">
        <v>228</v>
      </c>
      <c r="J324" s="37" t="s">
        <v>332</v>
      </c>
      <c r="K324" s="37" t="s">
        <v>230</v>
      </c>
      <c r="L324" s="37" t="n">
        <v>0</v>
      </c>
      <c r="M324" s="37" t="s">
        <v>175</v>
      </c>
    </row>
    <row r="325" customFormat="false" ht="42" hidden="false" customHeight="true" outlineLevel="0" collapsed="false">
      <c r="A325" s="37" t="s">
        <v>87</v>
      </c>
      <c r="B325" s="37" t="s">
        <v>219</v>
      </c>
      <c r="C325" s="38" t="n">
        <v>5</v>
      </c>
      <c r="D325" s="37" t="s">
        <v>237</v>
      </c>
      <c r="E325" s="37" t="s">
        <v>238</v>
      </c>
      <c r="F325" s="37" t="s">
        <v>197</v>
      </c>
      <c r="G325" s="39" t="n">
        <v>0.07904478</v>
      </c>
      <c r="H325" s="37" t="s">
        <v>239</v>
      </c>
      <c r="I325" s="37" t="s">
        <v>240</v>
      </c>
      <c r="J325" s="37" t="s">
        <v>241</v>
      </c>
      <c r="K325" s="37" t="s">
        <v>230</v>
      </c>
      <c r="L325" s="37" t="n">
        <v>0</v>
      </c>
      <c r="M325" s="37" t="s">
        <v>175</v>
      </c>
    </row>
    <row r="326" customFormat="false" ht="42" hidden="false" customHeight="true" outlineLevel="0" collapsed="false">
      <c r="A326" s="37" t="s">
        <v>92</v>
      </c>
      <c r="B326" s="37" t="s">
        <v>167</v>
      </c>
      <c r="C326" s="38" t="n">
        <v>1</v>
      </c>
      <c r="D326" s="37" t="s">
        <v>208</v>
      </c>
      <c r="E326" s="37" t="s">
        <v>376</v>
      </c>
      <c r="F326" s="37" t="s">
        <v>178</v>
      </c>
      <c r="G326" s="39" t="n">
        <v>0.90909091</v>
      </c>
      <c r="H326" s="37" t="s">
        <v>210</v>
      </c>
      <c r="I326" s="37" t="s">
        <v>186</v>
      </c>
      <c r="J326" s="37" t="s">
        <v>377</v>
      </c>
      <c r="K326" s="37" t="s">
        <v>188</v>
      </c>
      <c r="L326" s="37" t="n">
        <v>3</v>
      </c>
      <c r="M326" s="37" t="s">
        <v>207</v>
      </c>
    </row>
    <row r="327" customFormat="false" ht="42" hidden="false" customHeight="true" outlineLevel="0" collapsed="false">
      <c r="A327" s="37" t="s">
        <v>92</v>
      </c>
      <c r="B327" s="37" t="s">
        <v>167</v>
      </c>
      <c r="C327" s="38" t="n">
        <v>2</v>
      </c>
      <c r="D327" s="37" t="s">
        <v>183</v>
      </c>
      <c r="E327" s="37" t="s">
        <v>184</v>
      </c>
      <c r="F327" s="37" t="s">
        <v>178</v>
      </c>
      <c r="G327" s="39" t="n">
        <v>0.63636364</v>
      </c>
      <c r="H327" s="37" t="s">
        <v>185</v>
      </c>
      <c r="I327" s="37" t="s">
        <v>186</v>
      </c>
      <c r="J327" s="37" t="s">
        <v>187</v>
      </c>
      <c r="K327" s="37" t="s">
        <v>188</v>
      </c>
      <c r="L327" s="37" t="n">
        <v>3</v>
      </c>
      <c r="M327" s="37" t="s">
        <v>207</v>
      </c>
    </row>
    <row r="328" customFormat="false" ht="42" hidden="false" customHeight="true" outlineLevel="0" collapsed="false">
      <c r="A328" s="37" t="s">
        <v>92</v>
      </c>
      <c r="B328" s="37" t="s">
        <v>167</v>
      </c>
      <c r="C328" s="38" t="n">
        <v>3</v>
      </c>
      <c r="D328" s="37" t="s">
        <v>225</v>
      </c>
      <c r="E328" s="37" t="s">
        <v>378</v>
      </c>
      <c r="F328" s="37" t="s">
        <v>276</v>
      </c>
      <c r="G328" s="39" t="n">
        <v>0.63636364</v>
      </c>
      <c r="H328" s="37" t="s">
        <v>227</v>
      </c>
      <c r="I328" s="37" t="s">
        <v>228</v>
      </c>
      <c r="J328" s="37" t="s">
        <v>379</v>
      </c>
      <c r="K328" s="37" t="s">
        <v>230</v>
      </c>
      <c r="L328" s="37" t="n">
        <v>0</v>
      </c>
      <c r="M328" s="37" t="s">
        <v>175</v>
      </c>
    </row>
    <row r="329" customFormat="false" ht="42" hidden="false" customHeight="true" outlineLevel="0" collapsed="false">
      <c r="A329" s="37" t="s">
        <v>92</v>
      </c>
      <c r="B329" s="37" t="s">
        <v>167</v>
      </c>
      <c r="C329" s="38" t="n">
        <v>4</v>
      </c>
      <c r="D329" s="37" t="s">
        <v>242</v>
      </c>
      <c r="E329" s="37" t="s">
        <v>380</v>
      </c>
      <c r="F329" s="37" t="s">
        <v>265</v>
      </c>
      <c r="G329" s="39" t="n">
        <v>0.54545455</v>
      </c>
      <c r="H329" s="37" t="s">
        <v>245</v>
      </c>
      <c r="I329" s="37" t="s">
        <v>246</v>
      </c>
      <c r="J329" s="37" t="s">
        <v>381</v>
      </c>
      <c r="K329" s="37" t="s">
        <v>248</v>
      </c>
      <c r="L329" s="37" t="n">
        <v>0</v>
      </c>
      <c r="M329" s="37" t="s">
        <v>175</v>
      </c>
    </row>
    <row r="330" customFormat="false" ht="42" hidden="false" customHeight="true" outlineLevel="0" collapsed="false">
      <c r="A330" s="37" t="s">
        <v>92</v>
      </c>
      <c r="B330" s="37" t="s">
        <v>167</v>
      </c>
      <c r="C330" s="38" t="n">
        <v>5</v>
      </c>
      <c r="D330" s="37" t="s">
        <v>320</v>
      </c>
      <c r="E330" s="37" t="s">
        <v>382</v>
      </c>
      <c r="F330" s="37" t="s">
        <v>197</v>
      </c>
      <c r="G330" s="39" t="n">
        <v>0.45454545</v>
      </c>
      <c r="H330" s="37" t="s">
        <v>322</v>
      </c>
      <c r="I330" s="37" t="s">
        <v>323</v>
      </c>
      <c r="J330" s="37" t="s">
        <v>383</v>
      </c>
      <c r="K330" s="37" t="s">
        <v>325</v>
      </c>
      <c r="L330" s="37" t="n">
        <v>0</v>
      </c>
      <c r="M330" s="37" t="s">
        <v>175</v>
      </c>
    </row>
    <row r="331" customFormat="false" ht="42" hidden="false" customHeight="true" outlineLevel="0" collapsed="false">
      <c r="A331" s="37" t="s">
        <v>92</v>
      </c>
      <c r="B331" s="37" t="s">
        <v>201</v>
      </c>
      <c r="C331" s="38" t="n">
        <v>1</v>
      </c>
      <c r="D331" s="37" t="s">
        <v>208</v>
      </c>
      <c r="E331" s="37" t="s">
        <v>376</v>
      </c>
      <c r="F331" s="37" t="s">
        <v>178</v>
      </c>
      <c r="G331" s="39" t="n">
        <v>0.53705996</v>
      </c>
      <c r="H331" s="37" t="s">
        <v>210</v>
      </c>
      <c r="I331" s="37" t="s">
        <v>186</v>
      </c>
      <c r="J331" s="37" t="s">
        <v>377</v>
      </c>
      <c r="K331" s="37" t="s">
        <v>188</v>
      </c>
      <c r="L331" s="37" t="n">
        <v>3</v>
      </c>
      <c r="M331" s="37" t="s">
        <v>207</v>
      </c>
    </row>
    <row r="332" customFormat="false" ht="42" hidden="false" customHeight="true" outlineLevel="0" collapsed="false">
      <c r="A332" s="37" t="s">
        <v>92</v>
      </c>
      <c r="B332" s="37" t="s">
        <v>201</v>
      </c>
      <c r="C332" s="38" t="n">
        <v>2</v>
      </c>
      <c r="D332" s="37" t="s">
        <v>183</v>
      </c>
      <c r="E332" s="37" t="s">
        <v>184</v>
      </c>
      <c r="F332" s="37" t="s">
        <v>178</v>
      </c>
      <c r="G332" s="39" t="n">
        <v>0.52976454</v>
      </c>
      <c r="H332" s="37" t="s">
        <v>185</v>
      </c>
      <c r="I332" s="37" t="s">
        <v>186</v>
      </c>
      <c r="J332" s="37" t="s">
        <v>187</v>
      </c>
      <c r="K332" s="37" t="s">
        <v>188</v>
      </c>
      <c r="L332" s="37" t="n">
        <v>3</v>
      </c>
      <c r="M332" s="37" t="s">
        <v>207</v>
      </c>
    </row>
    <row r="333" customFormat="false" ht="42" hidden="false" customHeight="true" outlineLevel="0" collapsed="false">
      <c r="A333" s="37" t="s">
        <v>92</v>
      </c>
      <c r="B333" s="37" t="s">
        <v>201</v>
      </c>
      <c r="C333" s="38" t="n">
        <v>3</v>
      </c>
      <c r="D333" s="37" t="s">
        <v>225</v>
      </c>
      <c r="E333" s="37" t="s">
        <v>378</v>
      </c>
      <c r="F333" s="37" t="s">
        <v>276</v>
      </c>
      <c r="G333" s="39" t="n">
        <v>0.43221011</v>
      </c>
      <c r="H333" s="37" t="s">
        <v>227</v>
      </c>
      <c r="I333" s="37" t="s">
        <v>228</v>
      </c>
      <c r="J333" s="37" t="s">
        <v>379</v>
      </c>
      <c r="K333" s="37" t="s">
        <v>230</v>
      </c>
      <c r="L333" s="37" t="n">
        <v>0</v>
      </c>
      <c r="M333" s="37" t="s">
        <v>175</v>
      </c>
    </row>
    <row r="334" customFormat="false" ht="42" hidden="false" customHeight="true" outlineLevel="0" collapsed="false">
      <c r="A334" s="37" t="s">
        <v>92</v>
      </c>
      <c r="B334" s="37" t="s">
        <v>201</v>
      </c>
      <c r="C334" s="38" t="n">
        <v>4</v>
      </c>
      <c r="D334" s="37" t="s">
        <v>320</v>
      </c>
      <c r="E334" s="37" t="s">
        <v>382</v>
      </c>
      <c r="F334" s="37" t="s">
        <v>197</v>
      </c>
      <c r="G334" s="39" t="n">
        <v>0.41830512</v>
      </c>
      <c r="H334" s="37" t="s">
        <v>322</v>
      </c>
      <c r="I334" s="37" t="s">
        <v>323</v>
      </c>
      <c r="J334" s="37" t="s">
        <v>383</v>
      </c>
      <c r="K334" s="37" t="s">
        <v>325</v>
      </c>
      <c r="L334" s="37" t="n">
        <v>0</v>
      </c>
      <c r="M334" s="37" t="s">
        <v>175</v>
      </c>
    </row>
    <row r="335" customFormat="false" ht="42" hidden="false" customHeight="true" outlineLevel="0" collapsed="false">
      <c r="A335" s="37" t="s">
        <v>92</v>
      </c>
      <c r="B335" s="37" t="s">
        <v>201</v>
      </c>
      <c r="C335" s="38" t="n">
        <v>5</v>
      </c>
      <c r="D335" s="37" t="s">
        <v>237</v>
      </c>
      <c r="E335" s="37" t="s">
        <v>238</v>
      </c>
      <c r="F335" s="37" t="s">
        <v>197</v>
      </c>
      <c r="G335" s="39" t="n">
        <v>0.39606506</v>
      </c>
      <c r="H335" s="37" t="s">
        <v>239</v>
      </c>
      <c r="I335" s="37" t="s">
        <v>240</v>
      </c>
      <c r="J335" s="37" t="s">
        <v>241</v>
      </c>
      <c r="K335" s="37" t="s">
        <v>230</v>
      </c>
      <c r="L335" s="37" t="n">
        <v>0</v>
      </c>
      <c r="M335" s="37" t="s">
        <v>175</v>
      </c>
    </row>
    <row r="336" customFormat="false" ht="42" hidden="false" customHeight="true" outlineLevel="0" collapsed="false">
      <c r="A336" s="37" t="s">
        <v>92</v>
      </c>
      <c r="B336" s="37" t="s">
        <v>212</v>
      </c>
      <c r="C336" s="38" t="n">
        <v>1</v>
      </c>
      <c r="D336" s="37" t="s">
        <v>208</v>
      </c>
      <c r="E336" s="37" t="s">
        <v>376</v>
      </c>
      <c r="F336" s="37" t="s">
        <v>178</v>
      </c>
      <c r="G336" s="39" t="n">
        <v>0.03311475</v>
      </c>
      <c r="H336" s="37" t="s">
        <v>210</v>
      </c>
      <c r="I336" s="37" t="s">
        <v>186</v>
      </c>
      <c r="J336" s="37" t="s">
        <v>377</v>
      </c>
      <c r="K336" s="37" t="s">
        <v>188</v>
      </c>
      <c r="L336" s="37" t="n">
        <v>3</v>
      </c>
      <c r="M336" s="37" t="s">
        <v>207</v>
      </c>
    </row>
    <row r="337" customFormat="false" ht="42" hidden="false" customHeight="true" outlineLevel="0" collapsed="false">
      <c r="A337" s="37" t="s">
        <v>92</v>
      </c>
      <c r="B337" s="37" t="s">
        <v>212</v>
      </c>
      <c r="C337" s="38" t="n">
        <v>2</v>
      </c>
      <c r="D337" s="37" t="s">
        <v>183</v>
      </c>
      <c r="E337" s="37" t="s">
        <v>184</v>
      </c>
      <c r="F337" s="37" t="s">
        <v>178</v>
      </c>
      <c r="G337" s="39" t="n">
        <v>0.03258065</v>
      </c>
      <c r="H337" s="37" t="s">
        <v>185</v>
      </c>
      <c r="I337" s="37" t="s">
        <v>186</v>
      </c>
      <c r="J337" s="37" t="s">
        <v>187</v>
      </c>
      <c r="K337" s="37" t="s">
        <v>188</v>
      </c>
      <c r="L337" s="37" t="n">
        <v>3</v>
      </c>
      <c r="M337" s="37" t="s">
        <v>207</v>
      </c>
    </row>
    <row r="338" customFormat="false" ht="42" hidden="false" customHeight="true" outlineLevel="0" collapsed="false">
      <c r="A338" s="37" t="s">
        <v>92</v>
      </c>
      <c r="B338" s="37" t="s">
        <v>212</v>
      </c>
      <c r="C338" s="38" t="n">
        <v>3</v>
      </c>
      <c r="D338" s="37" t="s">
        <v>225</v>
      </c>
      <c r="E338" s="37" t="s">
        <v>378</v>
      </c>
      <c r="F338" s="37" t="s">
        <v>276</v>
      </c>
      <c r="G338" s="39" t="n">
        <v>0.03206349</v>
      </c>
      <c r="H338" s="37" t="s">
        <v>227</v>
      </c>
      <c r="I338" s="37" t="s">
        <v>228</v>
      </c>
      <c r="J338" s="37" t="s">
        <v>379</v>
      </c>
      <c r="K338" s="37" t="s">
        <v>230</v>
      </c>
      <c r="L338" s="37" t="n">
        <v>0</v>
      </c>
      <c r="M338" s="37" t="s">
        <v>175</v>
      </c>
    </row>
    <row r="339" customFormat="false" ht="42" hidden="false" customHeight="true" outlineLevel="0" collapsed="false">
      <c r="A339" s="37" t="s">
        <v>92</v>
      </c>
      <c r="B339" s="37" t="s">
        <v>212</v>
      </c>
      <c r="C339" s="38" t="n">
        <v>4</v>
      </c>
      <c r="D339" s="37" t="s">
        <v>320</v>
      </c>
      <c r="E339" s="37" t="s">
        <v>382</v>
      </c>
      <c r="F339" s="37" t="s">
        <v>197</v>
      </c>
      <c r="G339" s="39" t="n">
        <v>0.03132212</v>
      </c>
      <c r="H339" s="37" t="s">
        <v>322</v>
      </c>
      <c r="I339" s="37" t="s">
        <v>323</v>
      </c>
      <c r="J339" s="37" t="s">
        <v>383</v>
      </c>
      <c r="K339" s="37" t="s">
        <v>325</v>
      </c>
      <c r="L339" s="37" t="n">
        <v>0</v>
      </c>
      <c r="M339" s="37" t="s">
        <v>175</v>
      </c>
    </row>
    <row r="340" customFormat="false" ht="42" hidden="false" customHeight="true" outlineLevel="0" collapsed="false">
      <c r="A340" s="37" t="s">
        <v>92</v>
      </c>
      <c r="B340" s="37" t="s">
        <v>212</v>
      </c>
      <c r="C340" s="38" t="n">
        <v>5</v>
      </c>
      <c r="D340" s="37" t="s">
        <v>242</v>
      </c>
      <c r="E340" s="37" t="s">
        <v>380</v>
      </c>
      <c r="F340" s="37" t="s">
        <v>265</v>
      </c>
      <c r="G340" s="39" t="n">
        <v>0.030625</v>
      </c>
      <c r="H340" s="37" t="s">
        <v>245</v>
      </c>
      <c r="I340" s="37" t="s">
        <v>246</v>
      </c>
      <c r="J340" s="37" t="s">
        <v>381</v>
      </c>
      <c r="K340" s="37" t="s">
        <v>248</v>
      </c>
      <c r="L340" s="37" t="n">
        <v>0</v>
      </c>
      <c r="M340" s="37" t="s">
        <v>175</v>
      </c>
    </row>
    <row r="341" customFormat="false" ht="42" hidden="false" customHeight="true" outlineLevel="0" collapsed="false">
      <c r="A341" s="37" t="s">
        <v>92</v>
      </c>
      <c r="B341" s="37" t="s">
        <v>219</v>
      </c>
      <c r="C341" s="38" t="n">
        <v>1</v>
      </c>
      <c r="D341" s="37" t="s">
        <v>208</v>
      </c>
      <c r="E341" s="37" t="s">
        <v>376</v>
      </c>
      <c r="F341" s="37" t="s">
        <v>178</v>
      </c>
      <c r="G341" s="39" t="n">
        <v>0.64629806</v>
      </c>
      <c r="H341" s="37" t="s">
        <v>210</v>
      </c>
      <c r="I341" s="37" t="s">
        <v>186</v>
      </c>
      <c r="J341" s="37" t="s">
        <v>377</v>
      </c>
      <c r="K341" s="37" t="s">
        <v>188</v>
      </c>
      <c r="L341" s="37" t="n">
        <v>3</v>
      </c>
      <c r="M341" s="37" t="s">
        <v>207</v>
      </c>
    </row>
    <row r="342" customFormat="false" ht="42" hidden="false" customHeight="true" outlineLevel="0" collapsed="false">
      <c r="A342" s="37" t="s">
        <v>92</v>
      </c>
      <c r="B342" s="37" t="s">
        <v>219</v>
      </c>
      <c r="C342" s="38" t="n">
        <v>2</v>
      </c>
      <c r="D342" s="37" t="s">
        <v>183</v>
      </c>
      <c r="E342" s="37" t="s">
        <v>184</v>
      </c>
      <c r="F342" s="37" t="s">
        <v>178</v>
      </c>
      <c r="G342" s="39" t="n">
        <v>0.45522874</v>
      </c>
      <c r="H342" s="37" t="s">
        <v>185</v>
      </c>
      <c r="I342" s="37" t="s">
        <v>186</v>
      </c>
      <c r="J342" s="37" t="s">
        <v>187</v>
      </c>
      <c r="K342" s="37" t="s">
        <v>188</v>
      </c>
      <c r="L342" s="37" t="n">
        <v>3</v>
      </c>
      <c r="M342" s="37" t="s">
        <v>207</v>
      </c>
    </row>
    <row r="343" customFormat="false" ht="42" hidden="false" customHeight="true" outlineLevel="0" collapsed="false">
      <c r="A343" s="37" t="s">
        <v>92</v>
      </c>
      <c r="B343" s="37" t="s">
        <v>219</v>
      </c>
      <c r="C343" s="38" t="n">
        <v>3</v>
      </c>
      <c r="D343" s="37" t="s">
        <v>225</v>
      </c>
      <c r="E343" s="37" t="s">
        <v>378</v>
      </c>
      <c r="F343" s="37" t="s">
        <v>276</v>
      </c>
      <c r="G343" s="39" t="n">
        <v>0.45507359</v>
      </c>
      <c r="H343" s="37" t="s">
        <v>227</v>
      </c>
      <c r="I343" s="37" t="s">
        <v>228</v>
      </c>
      <c r="J343" s="37" t="s">
        <v>379</v>
      </c>
      <c r="K343" s="37" t="s">
        <v>230</v>
      </c>
      <c r="L343" s="37" t="n">
        <v>0</v>
      </c>
      <c r="M343" s="37" t="s">
        <v>175</v>
      </c>
    </row>
    <row r="344" customFormat="false" ht="42" hidden="false" customHeight="true" outlineLevel="0" collapsed="false">
      <c r="A344" s="37" t="s">
        <v>92</v>
      </c>
      <c r="B344" s="37" t="s">
        <v>219</v>
      </c>
      <c r="C344" s="38" t="n">
        <v>4</v>
      </c>
      <c r="D344" s="37" t="s">
        <v>242</v>
      </c>
      <c r="E344" s="37" t="s">
        <v>380</v>
      </c>
      <c r="F344" s="37" t="s">
        <v>265</v>
      </c>
      <c r="G344" s="39" t="n">
        <v>0.39100568</v>
      </c>
      <c r="H344" s="37" t="s">
        <v>245</v>
      </c>
      <c r="I344" s="37" t="s">
        <v>246</v>
      </c>
      <c r="J344" s="37" t="s">
        <v>381</v>
      </c>
      <c r="K344" s="37" t="s">
        <v>248</v>
      </c>
      <c r="L344" s="37" t="n">
        <v>0</v>
      </c>
      <c r="M344" s="37" t="s">
        <v>175</v>
      </c>
    </row>
    <row r="345" customFormat="false" ht="42" hidden="false" customHeight="true" outlineLevel="0" collapsed="false">
      <c r="A345" s="37" t="s">
        <v>92</v>
      </c>
      <c r="B345" s="37" t="s">
        <v>219</v>
      </c>
      <c r="C345" s="38" t="n">
        <v>5</v>
      </c>
      <c r="D345" s="37" t="s">
        <v>320</v>
      </c>
      <c r="E345" s="37" t="s">
        <v>382</v>
      </c>
      <c r="F345" s="37" t="s">
        <v>197</v>
      </c>
      <c r="G345" s="39" t="n">
        <v>0.32757845</v>
      </c>
      <c r="H345" s="37" t="s">
        <v>322</v>
      </c>
      <c r="I345" s="37" t="s">
        <v>323</v>
      </c>
      <c r="J345" s="37" t="s">
        <v>383</v>
      </c>
      <c r="K345" s="37" t="s">
        <v>325</v>
      </c>
      <c r="L345" s="37" t="n">
        <v>0</v>
      </c>
      <c r="M345" s="37" t="s">
        <v>175</v>
      </c>
    </row>
    <row r="346" customFormat="false" ht="42" hidden="false" customHeight="true" outlineLevel="0" collapsed="false">
      <c r="A346" s="37" t="s">
        <v>96</v>
      </c>
      <c r="B346" s="37" t="s">
        <v>167</v>
      </c>
      <c r="C346" s="38" t="n">
        <v>1</v>
      </c>
      <c r="D346" s="37" t="s">
        <v>213</v>
      </c>
      <c r="E346" s="37" t="s">
        <v>214</v>
      </c>
      <c r="F346" s="37" t="s">
        <v>170</v>
      </c>
      <c r="G346" s="39" t="n">
        <v>0.3</v>
      </c>
      <c r="H346" s="37" t="s">
        <v>215</v>
      </c>
      <c r="I346" s="37" t="s">
        <v>216</v>
      </c>
      <c r="J346" s="37" t="s">
        <v>217</v>
      </c>
      <c r="K346" s="37" t="s">
        <v>218</v>
      </c>
      <c r="L346" s="37" t="n">
        <v>0</v>
      </c>
      <c r="M346" s="37" t="s">
        <v>175</v>
      </c>
    </row>
    <row r="347" customFormat="false" ht="42" hidden="false" customHeight="true" outlineLevel="0" collapsed="false">
      <c r="A347" s="37" t="s">
        <v>96</v>
      </c>
      <c r="B347" s="37" t="s">
        <v>167</v>
      </c>
      <c r="C347" s="38" t="n">
        <v>2</v>
      </c>
      <c r="D347" s="37" t="s">
        <v>189</v>
      </c>
      <c r="E347" s="37" t="s">
        <v>190</v>
      </c>
      <c r="F347" s="37" t="s">
        <v>170</v>
      </c>
      <c r="G347" s="39" t="n">
        <v>0.3</v>
      </c>
      <c r="H347" s="37" t="s">
        <v>191</v>
      </c>
      <c r="I347" s="37" t="s">
        <v>192</v>
      </c>
      <c r="J347" s="37" t="s">
        <v>193</v>
      </c>
      <c r="K347" s="37" t="s">
        <v>194</v>
      </c>
      <c r="L347" s="37" t="n">
        <v>0</v>
      </c>
      <c r="M347" s="37" t="s">
        <v>175</v>
      </c>
    </row>
    <row r="348" customFormat="false" ht="42" hidden="false" customHeight="true" outlineLevel="0" collapsed="false">
      <c r="A348" s="37" t="s">
        <v>96</v>
      </c>
      <c r="B348" s="37" t="s">
        <v>167</v>
      </c>
      <c r="C348" s="38" t="n">
        <v>3</v>
      </c>
      <c r="D348" s="37" t="s">
        <v>176</v>
      </c>
      <c r="E348" s="37" t="s">
        <v>335</v>
      </c>
      <c r="F348" s="37" t="s">
        <v>170</v>
      </c>
      <c r="G348" s="39" t="n">
        <v>0.1</v>
      </c>
      <c r="H348" s="37" t="s">
        <v>179</v>
      </c>
      <c r="I348" s="37" t="s">
        <v>180</v>
      </c>
      <c r="J348" s="37" t="s">
        <v>336</v>
      </c>
      <c r="K348" s="37" t="s">
        <v>182</v>
      </c>
      <c r="L348" s="37" t="n">
        <v>0</v>
      </c>
      <c r="M348" s="37" t="s">
        <v>175</v>
      </c>
    </row>
    <row r="349" customFormat="false" ht="42" hidden="false" customHeight="true" outlineLevel="0" collapsed="false">
      <c r="A349" s="37" t="s">
        <v>96</v>
      </c>
      <c r="B349" s="37" t="s">
        <v>167</v>
      </c>
      <c r="C349" s="38" t="n">
        <v>4</v>
      </c>
      <c r="D349" s="37" t="s">
        <v>299</v>
      </c>
      <c r="E349" s="37" t="s">
        <v>356</v>
      </c>
      <c r="F349" s="37" t="s">
        <v>178</v>
      </c>
      <c r="G349" s="39" t="n">
        <v>0.1</v>
      </c>
      <c r="H349" s="37" t="s">
        <v>301</v>
      </c>
      <c r="I349" s="37" t="s">
        <v>302</v>
      </c>
      <c r="J349" s="37" t="s">
        <v>357</v>
      </c>
      <c r="K349" s="37" t="s">
        <v>304</v>
      </c>
      <c r="L349" s="37" t="n">
        <v>0</v>
      </c>
      <c r="M349" s="37" t="s">
        <v>175</v>
      </c>
    </row>
    <row r="350" customFormat="false" ht="42" hidden="false" customHeight="true" outlineLevel="0" collapsed="false">
      <c r="A350" s="37" t="s">
        <v>96</v>
      </c>
      <c r="B350" s="37" t="s">
        <v>167</v>
      </c>
      <c r="C350" s="38" t="n">
        <v>5</v>
      </c>
      <c r="D350" s="37" t="s">
        <v>316</v>
      </c>
      <c r="E350" s="37" t="s">
        <v>337</v>
      </c>
      <c r="F350" s="37" t="s">
        <v>170</v>
      </c>
      <c r="G350" s="39" t="n">
        <v>0.1</v>
      </c>
      <c r="H350" s="37" t="s">
        <v>318</v>
      </c>
      <c r="I350" s="37" t="s">
        <v>302</v>
      </c>
      <c r="J350" s="37" t="s">
        <v>338</v>
      </c>
      <c r="K350" s="37" t="s">
        <v>304</v>
      </c>
      <c r="L350" s="37" t="n">
        <v>0</v>
      </c>
      <c r="M350" s="37" t="s">
        <v>175</v>
      </c>
    </row>
    <row r="351" customFormat="false" ht="42" hidden="false" customHeight="true" outlineLevel="0" collapsed="false">
      <c r="A351" s="37" t="s">
        <v>96</v>
      </c>
      <c r="B351" s="37" t="s">
        <v>201</v>
      </c>
      <c r="C351" s="38" t="n">
        <v>1</v>
      </c>
      <c r="D351" s="37" t="s">
        <v>305</v>
      </c>
      <c r="E351" s="37" t="s">
        <v>306</v>
      </c>
      <c r="F351" s="37" t="s">
        <v>178</v>
      </c>
      <c r="G351" s="39" t="n">
        <v>0.21824366</v>
      </c>
      <c r="H351" s="37" t="s">
        <v>307</v>
      </c>
      <c r="I351" s="37" t="s">
        <v>308</v>
      </c>
      <c r="J351" s="37" t="s">
        <v>309</v>
      </c>
      <c r="K351" s="37" t="s">
        <v>230</v>
      </c>
      <c r="L351" s="37" t="n">
        <v>0</v>
      </c>
      <c r="M351" s="37" t="s">
        <v>175</v>
      </c>
    </row>
    <row r="352" customFormat="false" ht="42" hidden="false" customHeight="true" outlineLevel="0" collapsed="false">
      <c r="A352" s="37" t="s">
        <v>96</v>
      </c>
      <c r="B352" s="37" t="s">
        <v>201</v>
      </c>
      <c r="C352" s="38" t="n">
        <v>2</v>
      </c>
      <c r="D352" s="37" t="s">
        <v>202</v>
      </c>
      <c r="E352" s="37" t="s">
        <v>20</v>
      </c>
      <c r="F352" s="37" t="s">
        <v>170</v>
      </c>
      <c r="G352" s="39" t="n">
        <v>0.2107567</v>
      </c>
      <c r="H352" s="37" t="s">
        <v>203</v>
      </c>
      <c r="I352" s="37" t="s">
        <v>204</v>
      </c>
      <c r="J352" s="37" t="s">
        <v>205</v>
      </c>
      <c r="K352" s="37" t="s">
        <v>206</v>
      </c>
      <c r="L352" s="37" t="n">
        <v>0</v>
      </c>
      <c r="M352" s="37" t="s">
        <v>175</v>
      </c>
    </row>
    <row r="353" customFormat="false" ht="42" hidden="false" customHeight="true" outlineLevel="0" collapsed="false">
      <c r="A353" s="37" t="s">
        <v>96</v>
      </c>
      <c r="B353" s="37" t="s">
        <v>201</v>
      </c>
      <c r="C353" s="38" t="n">
        <v>3</v>
      </c>
      <c r="D353" s="37" t="s">
        <v>213</v>
      </c>
      <c r="E353" s="37" t="s">
        <v>214</v>
      </c>
      <c r="F353" s="37" t="s">
        <v>170</v>
      </c>
      <c r="G353" s="39" t="n">
        <v>0.20537721</v>
      </c>
      <c r="H353" s="37" t="s">
        <v>215</v>
      </c>
      <c r="I353" s="37" t="s">
        <v>216</v>
      </c>
      <c r="J353" s="37" t="s">
        <v>217</v>
      </c>
      <c r="K353" s="37" t="s">
        <v>218</v>
      </c>
      <c r="L353" s="37" t="n">
        <v>0</v>
      </c>
      <c r="M353" s="37" t="s">
        <v>175</v>
      </c>
    </row>
    <row r="354" customFormat="false" ht="42" hidden="false" customHeight="true" outlineLevel="0" collapsed="false">
      <c r="A354" s="37" t="s">
        <v>96</v>
      </c>
      <c r="B354" s="37" t="s">
        <v>201</v>
      </c>
      <c r="C354" s="38" t="n">
        <v>4</v>
      </c>
      <c r="D354" s="37" t="s">
        <v>189</v>
      </c>
      <c r="E354" s="37" t="s">
        <v>190</v>
      </c>
      <c r="F354" s="37" t="s">
        <v>170</v>
      </c>
      <c r="G354" s="39" t="n">
        <v>0.19668698</v>
      </c>
      <c r="H354" s="37" t="s">
        <v>191</v>
      </c>
      <c r="I354" s="37" t="s">
        <v>192</v>
      </c>
      <c r="J354" s="37" t="s">
        <v>193</v>
      </c>
      <c r="K354" s="37" t="s">
        <v>194</v>
      </c>
      <c r="L354" s="37" t="n">
        <v>0</v>
      </c>
      <c r="M354" s="37" t="s">
        <v>175</v>
      </c>
    </row>
    <row r="355" customFormat="false" ht="42" hidden="false" customHeight="true" outlineLevel="0" collapsed="false">
      <c r="A355" s="37" t="s">
        <v>96</v>
      </c>
      <c r="B355" s="37" t="s">
        <v>201</v>
      </c>
      <c r="C355" s="38" t="n">
        <v>5</v>
      </c>
      <c r="D355" s="37" t="s">
        <v>242</v>
      </c>
      <c r="E355" s="37" t="s">
        <v>380</v>
      </c>
      <c r="F355" s="37" t="s">
        <v>265</v>
      </c>
      <c r="G355" s="39" t="n">
        <v>0.18836761</v>
      </c>
      <c r="H355" s="37" t="s">
        <v>245</v>
      </c>
      <c r="I355" s="37" t="s">
        <v>246</v>
      </c>
      <c r="J355" s="37" t="s">
        <v>381</v>
      </c>
      <c r="K355" s="37" t="s">
        <v>248</v>
      </c>
      <c r="L355" s="37" t="n">
        <v>0</v>
      </c>
      <c r="M355" s="37" t="s">
        <v>175</v>
      </c>
    </row>
    <row r="356" customFormat="false" ht="42" hidden="false" customHeight="true" outlineLevel="0" collapsed="false">
      <c r="A356" s="37" t="s">
        <v>96</v>
      </c>
      <c r="B356" s="37" t="s">
        <v>212</v>
      </c>
      <c r="C356" s="38" t="n">
        <v>1</v>
      </c>
      <c r="D356" s="37" t="s">
        <v>213</v>
      </c>
      <c r="E356" s="37" t="s">
        <v>214</v>
      </c>
      <c r="F356" s="37" t="s">
        <v>170</v>
      </c>
      <c r="G356" s="39" t="n">
        <v>0.03258392</v>
      </c>
      <c r="H356" s="37" t="s">
        <v>215</v>
      </c>
      <c r="I356" s="37" t="s">
        <v>216</v>
      </c>
      <c r="J356" s="37" t="s">
        <v>217</v>
      </c>
      <c r="K356" s="37" t="s">
        <v>218</v>
      </c>
      <c r="L356" s="37" t="n">
        <v>0</v>
      </c>
      <c r="M356" s="37" t="s">
        <v>175</v>
      </c>
    </row>
    <row r="357" customFormat="false" ht="42" hidden="false" customHeight="true" outlineLevel="0" collapsed="false">
      <c r="A357" s="37" t="s">
        <v>96</v>
      </c>
      <c r="B357" s="37" t="s">
        <v>212</v>
      </c>
      <c r="C357" s="38" t="n">
        <v>2</v>
      </c>
      <c r="D357" s="37" t="s">
        <v>189</v>
      </c>
      <c r="E357" s="37" t="s">
        <v>190</v>
      </c>
      <c r="F357" s="37" t="s">
        <v>170</v>
      </c>
      <c r="G357" s="39" t="n">
        <v>0.03206653</v>
      </c>
      <c r="H357" s="37" t="s">
        <v>191</v>
      </c>
      <c r="I357" s="37" t="s">
        <v>192</v>
      </c>
      <c r="J357" s="37" t="s">
        <v>193</v>
      </c>
      <c r="K357" s="37" t="s">
        <v>194</v>
      </c>
      <c r="L357" s="37" t="n">
        <v>0</v>
      </c>
      <c r="M357" s="37" t="s">
        <v>175</v>
      </c>
    </row>
    <row r="358" customFormat="false" ht="42" hidden="false" customHeight="true" outlineLevel="0" collapsed="false">
      <c r="A358" s="37" t="s">
        <v>96</v>
      </c>
      <c r="B358" s="37" t="s">
        <v>212</v>
      </c>
      <c r="C358" s="38" t="n">
        <v>3</v>
      </c>
      <c r="D358" s="37" t="s">
        <v>305</v>
      </c>
      <c r="E358" s="37" t="s">
        <v>306</v>
      </c>
      <c r="F358" s="37" t="s">
        <v>178</v>
      </c>
      <c r="G358" s="39" t="n">
        <v>0.01672131</v>
      </c>
      <c r="H358" s="37" t="s">
        <v>307</v>
      </c>
      <c r="I358" s="37" t="s">
        <v>308</v>
      </c>
      <c r="J358" s="37" t="s">
        <v>309</v>
      </c>
      <c r="K358" s="37" t="s">
        <v>230</v>
      </c>
      <c r="L358" s="37" t="n">
        <v>0</v>
      </c>
      <c r="M358" s="37" t="s">
        <v>175</v>
      </c>
    </row>
    <row r="359" customFormat="false" ht="42" hidden="false" customHeight="true" outlineLevel="0" collapsed="false">
      <c r="A359" s="37" t="s">
        <v>96</v>
      </c>
      <c r="B359" s="37" t="s">
        <v>212</v>
      </c>
      <c r="C359" s="38" t="n">
        <v>4</v>
      </c>
      <c r="D359" s="37" t="s">
        <v>202</v>
      </c>
      <c r="E359" s="37" t="s">
        <v>20</v>
      </c>
      <c r="F359" s="37" t="s">
        <v>170</v>
      </c>
      <c r="G359" s="39" t="n">
        <v>0.01645161</v>
      </c>
      <c r="H359" s="37" t="s">
        <v>203</v>
      </c>
      <c r="I359" s="37" t="s">
        <v>204</v>
      </c>
      <c r="J359" s="37" t="s">
        <v>205</v>
      </c>
      <c r="K359" s="37" t="s">
        <v>206</v>
      </c>
      <c r="L359" s="37" t="n">
        <v>0</v>
      </c>
      <c r="M359" s="37" t="s">
        <v>175</v>
      </c>
    </row>
    <row r="360" customFormat="false" ht="42" hidden="false" customHeight="true" outlineLevel="0" collapsed="false">
      <c r="A360" s="37" t="s">
        <v>96</v>
      </c>
      <c r="B360" s="37" t="s">
        <v>212</v>
      </c>
      <c r="C360" s="38" t="n">
        <v>5</v>
      </c>
      <c r="D360" s="37" t="s">
        <v>176</v>
      </c>
      <c r="E360" s="37" t="s">
        <v>335</v>
      </c>
      <c r="F360" s="37" t="s">
        <v>170</v>
      </c>
      <c r="G360" s="39" t="n">
        <v>0.01587302</v>
      </c>
      <c r="H360" s="37" t="s">
        <v>179</v>
      </c>
      <c r="I360" s="37" t="s">
        <v>180</v>
      </c>
      <c r="J360" s="37" t="s">
        <v>336</v>
      </c>
      <c r="K360" s="37" t="s">
        <v>182</v>
      </c>
      <c r="L360" s="37" t="n">
        <v>0</v>
      </c>
      <c r="M360" s="37" t="s">
        <v>175</v>
      </c>
    </row>
    <row r="361" customFormat="false" ht="42" hidden="false" customHeight="true" outlineLevel="0" collapsed="false">
      <c r="A361" s="37" t="s">
        <v>96</v>
      </c>
      <c r="B361" s="37" t="s">
        <v>219</v>
      </c>
      <c r="C361" s="38" t="n">
        <v>1</v>
      </c>
      <c r="D361" s="37" t="s">
        <v>213</v>
      </c>
      <c r="E361" s="37" t="s">
        <v>214</v>
      </c>
      <c r="F361" s="37" t="s">
        <v>170</v>
      </c>
      <c r="G361" s="39" t="n">
        <v>0.21977518</v>
      </c>
      <c r="H361" s="37" t="s">
        <v>215</v>
      </c>
      <c r="I361" s="37" t="s">
        <v>216</v>
      </c>
      <c r="J361" s="37" t="s">
        <v>217</v>
      </c>
      <c r="K361" s="37" t="s">
        <v>218</v>
      </c>
      <c r="L361" s="37" t="n">
        <v>0</v>
      </c>
      <c r="M361" s="37" t="s">
        <v>175</v>
      </c>
    </row>
    <row r="362" customFormat="false" ht="42" hidden="false" customHeight="true" outlineLevel="0" collapsed="false">
      <c r="A362" s="37" t="s">
        <v>96</v>
      </c>
      <c r="B362" s="37" t="s">
        <v>219</v>
      </c>
      <c r="C362" s="38" t="n">
        <v>2</v>
      </c>
      <c r="D362" s="37" t="s">
        <v>189</v>
      </c>
      <c r="E362" s="37" t="s">
        <v>190</v>
      </c>
      <c r="F362" s="37" t="s">
        <v>170</v>
      </c>
      <c r="G362" s="39" t="n">
        <v>0.21961996</v>
      </c>
      <c r="H362" s="37" t="s">
        <v>191</v>
      </c>
      <c r="I362" s="37" t="s">
        <v>192</v>
      </c>
      <c r="J362" s="37" t="s">
        <v>193</v>
      </c>
      <c r="K362" s="37" t="s">
        <v>194</v>
      </c>
      <c r="L362" s="37" t="n">
        <v>0</v>
      </c>
      <c r="M362" s="37" t="s">
        <v>175</v>
      </c>
    </row>
    <row r="363" customFormat="false" ht="42" hidden="false" customHeight="true" outlineLevel="0" collapsed="false">
      <c r="A363" s="37" t="s">
        <v>96</v>
      </c>
      <c r="B363" s="37" t="s">
        <v>219</v>
      </c>
      <c r="C363" s="38" t="n">
        <v>3</v>
      </c>
      <c r="D363" s="37" t="s">
        <v>305</v>
      </c>
      <c r="E363" s="37" t="s">
        <v>306</v>
      </c>
      <c r="F363" s="37" t="s">
        <v>178</v>
      </c>
      <c r="G363" s="39" t="n">
        <v>0.07501639</v>
      </c>
      <c r="H363" s="37" t="s">
        <v>307</v>
      </c>
      <c r="I363" s="37" t="s">
        <v>308</v>
      </c>
      <c r="J363" s="37" t="s">
        <v>309</v>
      </c>
      <c r="K363" s="37" t="s">
        <v>230</v>
      </c>
      <c r="L363" s="37" t="n">
        <v>0</v>
      </c>
      <c r="M363" s="37" t="s">
        <v>175</v>
      </c>
    </row>
    <row r="364" customFormat="false" ht="42" hidden="false" customHeight="true" outlineLevel="0" collapsed="false">
      <c r="A364" s="37" t="s">
        <v>96</v>
      </c>
      <c r="B364" s="37" t="s">
        <v>219</v>
      </c>
      <c r="C364" s="38" t="n">
        <v>4</v>
      </c>
      <c r="D364" s="37" t="s">
        <v>202</v>
      </c>
      <c r="E364" s="37" t="s">
        <v>20</v>
      </c>
      <c r="F364" s="37" t="s">
        <v>170</v>
      </c>
      <c r="G364" s="39" t="n">
        <v>0.07493548</v>
      </c>
      <c r="H364" s="37" t="s">
        <v>203</v>
      </c>
      <c r="I364" s="37" t="s">
        <v>204</v>
      </c>
      <c r="J364" s="37" t="s">
        <v>205</v>
      </c>
      <c r="K364" s="37" t="s">
        <v>206</v>
      </c>
      <c r="L364" s="37" t="n">
        <v>0</v>
      </c>
      <c r="M364" s="37" t="s">
        <v>175</v>
      </c>
    </row>
    <row r="365" customFormat="false" ht="42" hidden="false" customHeight="true" outlineLevel="0" collapsed="false">
      <c r="A365" s="37" t="s">
        <v>96</v>
      </c>
      <c r="B365" s="37" t="s">
        <v>219</v>
      </c>
      <c r="C365" s="38" t="n">
        <v>5</v>
      </c>
      <c r="D365" s="37" t="s">
        <v>176</v>
      </c>
      <c r="E365" s="37" t="s">
        <v>335</v>
      </c>
      <c r="F365" s="37" t="s">
        <v>170</v>
      </c>
      <c r="G365" s="39" t="n">
        <v>0.0747619</v>
      </c>
      <c r="H365" s="37" t="s">
        <v>179</v>
      </c>
      <c r="I365" s="37" t="s">
        <v>180</v>
      </c>
      <c r="J365" s="37" t="s">
        <v>336</v>
      </c>
      <c r="K365" s="37" t="s">
        <v>182</v>
      </c>
      <c r="L365" s="37" t="n">
        <v>0</v>
      </c>
      <c r="M365" s="37" t="s">
        <v>175</v>
      </c>
    </row>
    <row r="366" customFormat="false" ht="42" hidden="false" customHeight="true" outlineLevel="0" collapsed="false">
      <c r="A366" s="37" t="s">
        <v>101</v>
      </c>
      <c r="B366" s="37" t="s">
        <v>167</v>
      </c>
      <c r="C366" s="38" t="n">
        <v>1</v>
      </c>
      <c r="D366" s="37" t="s">
        <v>176</v>
      </c>
      <c r="E366" s="37" t="s">
        <v>384</v>
      </c>
      <c r="F366" s="37" t="s">
        <v>244</v>
      </c>
      <c r="G366" s="39" t="n">
        <v>0.77777778</v>
      </c>
      <c r="H366" s="37" t="s">
        <v>179</v>
      </c>
      <c r="I366" s="37" t="s">
        <v>180</v>
      </c>
      <c r="J366" s="37" t="s">
        <v>385</v>
      </c>
      <c r="K366" s="37" t="s">
        <v>182</v>
      </c>
      <c r="L366" s="37" t="n">
        <v>3</v>
      </c>
      <c r="M366" s="37" t="s">
        <v>207</v>
      </c>
    </row>
    <row r="367" customFormat="false" ht="42" hidden="false" customHeight="true" outlineLevel="0" collapsed="false">
      <c r="A367" s="37" t="s">
        <v>101</v>
      </c>
      <c r="B367" s="37" t="s">
        <v>167</v>
      </c>
      <c r="C367" s="38" t="n">
        <v>2</v>
      </c>
      <c r="D367" s="37" t="s">
        <v>386</v>
      </c>
      <c r="E367" s="37" t="s">
        <v>387</v>
      </c>
      <c r="F367" s="37" t="s">
        <v>170</v>
      </c>
      <c r="G367" s="39" t="n">
        <v>0.55555556</v>
      </c>
      <c r="H367" s="37" t="s">
        <v>388</v>
      </c>
      <c r="I367" s="37" t="s">
        <v>281</v>
      </c>
      <c r="J367" s="37" t="s">
        <v>389</v>
      </c>
      <c r="K367" s="37" t="s">
        <v>182</v>
      </c>
      <c r="L367" s="37" t="n">
        <v>0</v>
      </c>
      <c r="M367" s="37" t="s">
        <v>175</v>
      </c>
    </row>
    <row r="368" customFormat="false" ht="42" hidden="false" customHeight="true" outlineLevel="0" collapsed="false">
      <c r="A368" s="37" t="s">
        <v>101</v>
      </c>
      <c r="B368" s="37" t="s">
        <v>167</v>
      </c>
      <c r="C368" s="38" t="n">
        <v>3</v>
      </c>
      <c r="D368" s="37" t="s">
        <v>299</v>
      </c>
      <c r="E368" s="37" t="s">
        <v>356</v>
      </c>
      <c r="F368" s="37" t="s">
        <v>178</v>
      </c>
      <c r="G368" s="39" t="n">
        <v>0.44444444</v>
      </c>
      <c r="H368" s="37" t="s">
        <v>301</v>
      </c>
      <c r="I368" s="37" t="s">
        <v>302</v>
      </c>
      <c r="J368" s="37" t="s">
        <v>357</v>
      </c>
      <c r="K368" s="37" t="s">
        <v>304</v>
      </c>
      <c r="L368" s="37" t="n">
        <v>0</v>
      </c>
      <c r="M368" s="37" t="s">
        <v>175</v>
      </c>
    </row>
    <row r="369" customFormat="false" ht="42" hidden="false" customHeight="true" outlineLevel="0" collapsed="false">
      <c r="A369" s="37" t="s">
        <v>101</v>
      </c>
      <c r="B369" s="37" t="s">
        <v>167</v>
      </c>
      <c r="C369" s="38" t="n">
        <v>4</v>
      </c>
      <c r="D369" s="37" t="s">
        <v>316</v>
      </c>
      <c r="E369" s="37" t="s">
        <v>337</v>
      </c>
      <c r="F369" s="37" t="s">
        <v>170</v>
      </c>
      <c r="G369" s="39" t="n">
        <v>0.44444444</v>
      </c>
      <c r="H369" s="37" t="s">
        <v>318</v>
      </c>
      <c r="I369" s="37" t="s">
        <v>302</v>
      </c>
      <c r="J369" s="37" t="s">
        <v>338</v>
      </c>
      <c r="K369" s="37" t="s">
        <v>304</v>
      </c>
      <c r="L369" s="37" t="n">
        <v>0</v>
      </c>
      <c r="M369" s="37" t="s">
        <v>175</v>
      </c>
    </row>
    <row r="370" customFormat="false" ht="42" hidden="false" customHeight="true" outlineLevel="0" collapsed="false">
      <c r="A370" s="37" t="s">
        <v>101</v>
      </c>
      <c r="B370" s="37" t="s">
        <v>167</v>
      </c>
      <c r="C370" s="38" t="n">
        <v>5</v>
      </c>
      <c r="D370" s="37" t="s">
        <v>256</v>
      </c>
      <c r="E370" s="37" t="s">
        <v>284</v>
      </c>
      <c r="F370" s="37" t="s">
        <v>244</v>
      </c>
      <c r="G370" s="39" t="n">
        <v>0.44444444</v>
      </c>
      <c r="H370" s="37" t="s">
        <v>258</v>
      </c>
      <c r="I370" s="37" t="s">
        <v>259</v>
      </c>
      <c r="J370" s="37" t="s">
        <v>285</v>
      </c>
      <c r="K370" s="37" t="s">
        <v>261</v>
      </c>
      <c r="L370" s="37" t="n">
        <v>0</v>
      </c>
      <c r="M370" s="37" t="s">
        <v>175</v>
      </c>
    </row>
    <row r="371" customFormat="false" ht="42" hidden="false" customHeight="true" outlineLevel="0" collapsed="false">
      <c r="A371" s="37" t="s">
        <v>101</v>
      </c>
      <c r="B371" s="37" t="s">
        <v>201</v>
      </c>
      <c r="C371" s="38" t="n">
        <v>1</v>
      </c>
      <c r="D371" s="37" t="s">
        <v>299</v>
      </c>
      <c r="E371" s="37" t="s">
        <v>356</v>
      </c>
      <c r="F371" s="37" t="s">
        <v>178</v>
      </c>
      <c r="G371" s="39" t="n">
        <v>0.28576636</v>
      </c>
      <c r="H371" s="37" t="s">
        <v>301</v>
      </c>
      <c r="I371" s="37" t="s">
        <v>302</v>
      </c>
      <c r="J371" s="37" t="s">
        <v>357</v>
      </c>
      <c r="K371" s="37" t="s">
        <v>304</v>
      </c>
      <c r="L371" s="37" t="n">
        <v>0</v>
      </c>
      <c r="M371" s="37" t="s">
        <v>175</v>
      </c>
    </row>
    <row r="372" customFormat="false" ht="42" hidden="false" customHeight="true" outlineLevel="0" collapsed="false">
      <c r="A372" s="37" t="s">
        <v>101</v>
      </c>
      <c r="B372" s="37" t="s">
        <v>201</v>
      </c>
      <c r="C372" s="38" t="n">
        <v>2</v>
      </c>
      <c r="D372" s="37" t="s">
        <v>176</v>
      </c>
      <c r="E372" s="37" t="s">
        <v>384</v>
      </c>
      <c r="F372" s="37" t="s">
        <v>244</v>
      </c>
      <c r="G372" s="39" t="n">
        <v>0.27229613</v>
      </c>
      <c r="H372" s="37" t="s">
        <v>179</v>
      </c>
      <c r="I372" s="37" t="s">
        <v>180</v>
      </c>
      <c r="J372" s="37" t="s">
        <v>385</v>
      </c>
      <c r="K372" s="37" t="s">
        <v>182</v>
      </c>
      <c r="L372" s="37" t="n">
        <v>3</v>
      </c>
      <c r="M372" s="37" t="s">
        <v>207</v>
      </c>
    </row>
    <row r="373" customFormat="false" ht="42" hidden="false" customHeight="true" outlineLevel="0" collapsed="false">
      <c r="A373" s="37" t="s">
        <v>101</v>
      </c>
      <c r="B373" s="37" t="s">
        <v>201</v>
      </c>
      <c r="C373" s="38" t="n">
        <v>3</v>
      </c>
      <c r="D373" s="37" t="s">
        <v>316</v>
      </c>
      <c r="E373" s="37" t="s">
        <v>337</v>
      </c>
      <c r="F373" s="37" t="s">
        <v>170</v>
      </c>
      <c r="G373" s="39" t="n">
        <v>0.22876235</v>
      </c>
      <c r="H373" s="37" t="s">
        <v>318</v>
      </c>
      <c r="I373" s="37" t="s">
        <v>302</v>
      </c>
      <c r="J373" s="37" t="s">
        <v>338</v>
      </c>
      <c r="K373" s="37" t="s">
        <v>304</v>
      </c>
      <c r="L373" s="37" t="n">
        <v>0</v>
      </c>
      <c r="M373" s="37" t="s">
        <v>175</v>
      </c>
    </row>
    <row r="374" customFormat="false" ht="42" hidden="false" customHeight="true" outlineLevel="0" collapsed="false">
      <c r="A374" s="37" t="s">
        <v>101</v>
      </c>
      <c r="B374" s="37" t="s">
        <v>201</v>
      </c>
      <c r="C374" s="38" t="n">
        <v>4</v>
      </c>
      <c r="D374" s="37" t="s">
        <v>386</v>
      </c>
      <c r="E374" s="37" t="s">
        <v>387</v>
      </c>
      <c r="F374" s="37" t="s">
        <v>170</v>
      </c>
      <c r="G374" s="39" t="n">
        <v>0.19053904</v>
      </c>
      <c r="H374" s="37" t="s">
        <v>388</v>
      </c>
      <c r="I374" s="37" t="s">
        <v>281</v>
      </c>
      <c r="J374" s="37" t="s">
        <v>389</v>
      </c>
      <c r="K374" s="37" t="s">
        <v>182</v>
      </c>
      <c r="L374" s="37" t="n">
        <v>0</v>
      </c>
      <c r="M374" s="37" t="s">
        <v>175</v>
      </c>
    </row>
    <row r="375" customFormat="false" ht="42" hidden="false" customHeight="true" outlineLevel="0" collapsed="false">
      <c r="A375" s="37" t="s">
        <v>101</v>
      </c>
      <c r="B375" s="37" t="s">
        <v>201</v>
      </c>
      <c r="C375" s="38" t="n">
        <v>5</v>
      </c>
      <c r="D375" s="37" t="s">
        <v>256</v>
      </c>
      <c r="E375" s="37" t="s">
        <v>284</v>
      </c>
      <c r="F375" s="37" t="s">
        <v>244</v>
      </c>
      <c r="G375" s="39" t="n">
        <v>0.15798641</v>
      </c>
      <c r="H375" s="37" t="s">
        <v>258</v>
      </c>
      <c r="I375" s="37" t="s">
        <v>259</v>
      </c>
      <c r="J375" s="37" t="s">
        <v>285</v>
      </c>
      <c r="K375" s="37" t="s">
        <v>261</v>
      </c>
      <c r="L375" s="37" t="n">
        <v>0</v>
      </c>
      <c r="M375" s="37" t="s">
        <v>175</v>
      </c>
    </row>
    <row r="376" customFormat="false" ht="42" hidden="false" customHeight="true" outlineLevel="0" collapsed="false">
      <c r="A376" s="37" t="s">
        <v>101</v>
      </c>
      <c r="B376" s="37" t="s">
        <v>212</v>
      </c>
      <c r="C376" s="38" t="n">
        <v>1</v>
      </c>
      <c r="D376" s="37" t="s">
        <v>176</v>
      </c>
      <c r="E376" s="37" t="s">
        <v>384</v>
      </c>
      <c r="F376" s="37" t="s">
        <v>244</v>
      </c>
      <c r="G376" s="39" t="n">
        <v>0.03284506</v>
      </c>
      <c r="H376" s="37" t="s">
        <v>179</v>
      </c>
      <c r="I376" s="37" t="s">
        <v>180</v>
      </c>
      <c r="J376" s="37" t="s">
        <v>385</v>
      </c>
      <c r="K376" s="37" t="s">
        <v>182</v>
      </c>
      <c r="L376" s="37" t="n">
        <v>3</v>
      </c>
      <c r="M376" s="37" t="s">
        <v>207</v>
      </c>
    </row>
    <row r="377" customFormat="false" ht="42" hidden="false" customHeight="true" outlineLevel="0" collapsed="false">
      <c r="A377" s="37" t="s">
        <v>101</v>
      </c>
      <c r="B377" s="37" t="s">
        <v>212</v>
      </c>
      <c r="C377" s="38" t="n">
        <v>2</v>
      </c>
      <c r="D377" s="37" t="s">
        <v>299</v>
      </c>
      <c r="E377" s="37" t="s">
        <v>356</v>
      </c>
      <c r="F377" s="37" t="s">
        <v>178</v>
      </c>
      <c r="G377" s="39" t="n">
        <v>0.03259433</v>
      </c>
      <c r="H377" s="37" t="s">
        <v>301</v>
      </c>
      <c r="I377" s="37" t="s">
        <v>302</v>
      </c>
      <c r="J377" s="37" t="s">
        <v>357</v>
      </c>
      <c r="K377" s="37" t="s">
        <v>304</v>
      </c>
      <c r="L377" s="37" t="n">
        <v>0</v>
      </c>
      <c r="M377" s="37" t="s">
        <v>175</v>
      </c>
    </row>
    <row r="378" customFormat="false" ht="42" hidden="false" customHeight="true" outlineLevel="0" collapsed="false">
      <c r="A378" s="37" t="s">
        <v>101</v>
      </c>
      <c r="B378" s="37" t="s">
        <v>212</v>
      </c>
      <c r="C378" s="38" t="n">
        <v>3</v>
      </c>
      <c r="D378" s="37" t="s">
        <v>386</v>
      </c>
      <c r="E378" s="37" t="s">
        <v>387</v>
      </c>
      <c r="F378" s="37" t="s">
        <v>170</v>
      </c>
      <c r="G378" s="39" t="n">
        <v>0.03206653</v>
      </c>
      <c r="H378" s="37" t="s">
        <v>388</v>
      </c>
      <c r="I378" s="37" t="s">
        <v>281</v>
      </c>
      <c r="J378" s="37" t="s">
        <v>389</v>
      </c>
      <c r="K378" s="37" t="s">
        <v>182</v>
      </c>
      <c r="L378" s="37" t="n">
        <v>0</v>
      </c>
      <c r="M378" s="37" t="s">
        <v>175</v>
      </c>
    </row>
    <row r="379" customFormat="false" ht="42" hidden="false" customHeight="true" outlineLevel="0" collapsed="false">
      <c r="A379" s="37" t="s">
        <v>101</v>
      </c>
      <c r="B379" s="37" t="s">
        <v>212</v>
      </c>
      <c r="C379" s="38" t="n">
        <v>4</v>
      </c>
      <c r="D379" s="37" t="s">
        <v>316</v>
      </c>
      <c r="E379" s="37" t="s">
        <v>337</v>
      </c>
      <c r="F379" s="37" t="s">
        <v>170</v>
      </c>
      <c r="G379" s="39" t="n">
        <v>0.03181548</v>
      </c>
      <c r="H379" s="37" t="s">
        <v>318</v>
      </c>
      <c r="I379" s="37" t="s">
        <v>302</v>
      </c>
      <c r="J379" s="37" t="s">
        <v>338</v>
      </c>
      <c r="K379" s="37" t="s">
        <v>304</v>
      </c>
      <c r="L379" s="37" t="n">
        <v>0</v>
      </c>
      <c r="M379" s="37" t="s">
        <v>175</v>
      </c>
    </row>
    <row r="380" customFormat="false" ht="42" hidden="false" customHeight="true" outlineLevel="0" collapsed="false">
      <c r="A380" s="37" t="s">
        <v>101</v>
      </c>
      <c r="B380" s="37" t="s">
        <v>212</v>
      </c>
      <c r="C380" s="38" t="n">
        <v>5</v>
      </c>
      <c r="D380" s="37" t="s">
        <v>256</v>
      </c>
      <c r="E380" s="37" t="s">
        <v>284</v>
      </c>
      <c r="F380" s="37" t="s">
        <v>244</v>
      </c>
      <c r="G380" s="39" t="n">
        <v>0.03107692</v>
      </c>
      <c r="H380" s="37" t="s">
        <v>258</v>
      </c>
      <c r="I380" s="37" t="s">
        <v>259</v>
      </c>
      <c r="J380" s="37" t="s">
        <v>285</v>
      </c>
      <c r="K380" s="37" t="s">
        <v>261</v>
      </c>
      <c r="L380" s="37" t="n">
        <v>0</v>
      </c>
      <c r="M380" s="37" t="s">
        <v>175</v>
      </c>
    </row>
    <row r="381" customFormat="false" ht="42" hidden="false" customHeight="true" outlineLevel="0" collapsed="false">
      <c r="A381" s="37" t="s">
        <v>101</v>
      </c>
      <c r="B381" s="37" t="s">
        <v>219</v>
      </c>
      <c r="C381" s="38" t="n">
        <v>1</v>
      </c>
      <c r="D381" s="37" t="s">
        <v>176</v>
      </c>
      <c r="E381" s="37" t="s">
        <v>384</v>
      </c>
      <c r="F381" s="37" t="s">
        <v>244</v>
      </c>
      <c r="G381" s="39" t="n">
        <v>0.55429796</v>
      </c>
      <c r="H381" s="37" t="s">
        <v>179</v>
      </c>
      <c r="I381" s="37" t="s">
        <v>180</v>
      </c>
      <c r="J381" s="37" t="s">
        <v>385</v>
      </c>
      <c r="K381" s="37" t="s">
        <v>182</v>
      </c>
      <c r="L381" s="37" t="n">
        <v>3</v>
      </c>
      <c r="M381" s="37" t="s">
        <v>207</v>
      </c>
    </row>
    <row r="382" customFormat="false" ht="42" hidden="false" customHeight="true" outlineLevel="0" collapsed="false">
      <c r="A382" s="37" t="s">
        <v>101</v>
      </c>
      <c r="B382" s="37" t="s">
        <v>219</v>
      </c>
      <c r="C382" s="38" t="n">
        <v>2</v>
      </c>
      <c r="D382" s="37" t="s">
        <v>386</v>
      </c>
      <c r="E382" s="37" t="s">
        <v>387</v>
      </c>
      <c r="F382" s="37" t="s">
        <v>170</v>
      </c>
      <c r="G382" s="39" t="n">
        <v>0.39850885</v>
      </c>
      <c r="H382" s="37" t="s">
        <v>388</v>
      </c>
      <c r="I382" s="37" t="s">
        <v>281</v>
      </c>
      <c r="J382" s="37" t="s">
        <v>389</v>
      </c>
      <c r="K382" s="37" t="s">
        <v>182</v>
      </c>
      <c r="L382" s="37" t="n">
        <v>0</v>
      </c>
      <c r="M382" s="37" t="s">
        <v>175</v>
      </c>
    </row>
    <row r="383" customFormat="false" ht="42" hidden="false" customHeight="true" outlineLevel="0" collapsed="false">
      <c r="A383" s="37" t="s">
        <v>101</v>
      </c>
      <c r="B383" s="37" t="s">
        <v>219</v>
      </c>
      <c r="C383" s="38" t="n">
        <v>3</v>
      </c>
      <c r="D383" s="37" t="s">
        <v>299</v>
      </c>
      <c r="E383" s="37" t="s">
        <v>356</v>
      </c>
      <c r="F383" s="37" t="s">
        <v>178</v>
      </c>
      <c r="G383" s="39" t="n">
        <v>0.32088941</v>
      </c>
      <c r="H383" s="37" t="s">
        <v>301</v>
      </c>
      <c r="I383" s="37" t="s">
        <v>302</v>
      </c>
      <c r="J383" s="37" t="s">
        <v>357</v>
      </c>
      <c r="K383" s="37" t="s">
        <v>304</v>
      </c>
      <c r="L383" s="37" t="n">
        <v>0</v>
      </c>
      <c r="M383" s="37" t="s">
        <v>175</v>
      </c>
    </row>
    <row r="384" customFormat="false" ht="42" hidden="false" customHeight="true" outlineLevel="0" collapsed="false">
      <c r="A384" s="37" t="s">
        <v>101</v>
      </c>
      <c r="B384" s="37" t="s">
        <v>219</v>
      </c>
      <c r="C384" s="38" t="n">
        <v>4</v>
      </c>
      <c r="D384" s="37" t="s">
        <v>316</v>
      </c>
      <c r="E384" s="37" t="s">
        <v>337</v>
      </c>
      <c r="F384" s="37" t="s">
        <v>170</v>
      </c>
      <c r="G384" s="39" t="n">
        <v>0.32065575</v>
      </c>
      <c r="H384" s="37" t="s">
        <v>318</v>
      </c>
      <c r="I384" s="37" t="s">
        <v>302</v>
      </c>
      <c r="J384" s="37" t="s">
        <v>338</v>
      </c>
      <c r="K384" s="37" t="s">
        <v>304</v>
      </c>
      <c r="L384" s="37" t="n">
        <v>0</v>
      </c>
      <c r="M384" s="37" t="s">
        <v>175</v>
      </c>
    </row>
    <row r="385" customFormat="false" ht="42" hidden="false" customHeight="true" outlineLevel="0" collapsed="false">
      <c r="A385" s="37" t="s">
        <v>101</v>
      </c>
      <c r="B385" s="37" t="s">
        <v>219</v>
      </c>
      <c r="C385" s="38" t="n">
        <v>5</v>
      </c>
      <c r="D385" s="37" t="s">
        <v>256</v>
      </c>
      <c r="E385" s="37" t="s">
        <v>284</v>
      </c>
      <c r="F385" s="37" t="s">
        <v>244</v>
      </c>
      <c r="G385" s="39" t="n">
        <v>0.32043419</v>
      </c>
      <c r="H385" s="37" t="s">
        <v>258</v>
      </c>
      <c r="I385" s="37" t="s">
        <v>259</v>
      </c>
      <c r="J385" s="37" t="s">
        <v>285</v>
      </c>
      <c r="K385" s="37" t="s">
        <v>261</v>
      </c>
      <c r="L385" s="37" t="n">
        <v>0</v>
      </c>
      <c r="M385" s="37" t="s">
        <v>175</v>
      </c>
    </row>
    <row r="386" customFormat="false" ht="42" hidden="false" customHeight="true" outlineLevel="0" collapsed="false">
      <c r="A386" s="37" t="s">
        <v>106</v>
      </c>
      <c r="B386" s="37" t="s">
        <v>167</v>
      </c>
      <c r="C386" s="38" t="n">
        <v>1</v>
      </c>
      <c r="D386" s="37" t="s">
        <v>220</v>
      </c>
      <c r="E386" s="37" t="s">
        <v>275</v>
      </c>
      <c r="F386" s="37" t="s">
        <v>276</v>
      </c>
      <c r="G386" s="39" t="n">
        <v>0.14285714</v>
      </c>
      <c r="H386" s="37" t="s">
        <v>221</v>
      </c>
      <c r="I386" s="37" t="s">
        <v>222</v>
      </c>
      <c r="J386" s="37" t="s">
        <v>277</v>
      </c>
      <c r="K386" s="37" t="s">
        <v>224</v>
      </c>
      <c r="L386" s="37" t="n">
        <v>0</v>
      </c>
      <c r="M386" s="37" t="s">
        <v>175</v>
      </c>
    </row>
    <row r="387" customFormat="false" ht="42" hidden="false" customHeight="true" outlineLevel="0" collapsed="false">
      <c r="A387" s="37" t="s">
        <v>106</v>
      </c>
      <c r="B387" s="37" t="s">
        <v>167</v>
      </c>
      <c r="C387" s="38" t="n">
        <v>2</v>
      </c>
      <c r="D387" s="37" t="s">
        <v>213</v>
      </c>
      <c r="E387" s="37" t="s">
        <v>214</v>
      </c>
      <c r="F387" s="37" t="s">
        <v>170</v>
      </c>
      <c r="G387" s="39" t="n">
        <v>0.14285714</v>
      </c>
      <c r="H387" s="37" t="s">
        <v>215</v>
      </c>
      <c r="I387" s="37" t="s">
        <v>216</v>
      </c>
      <c r="J387" s="37" t="s">
        <v>217</v>
      </c>
      <c r="K387" s="37" t="s">
        <v>218</v>
      </c>
      <c r="L387" s="37" t="n">
        <v>0</v>
      </c>
      <c r="M387" s="37" t="s">
        <v>175</v>
      </c>
    </row>
    <row r="388" customFormat="false" ht="42" hidden="false" customHeight="true" outlineLevel="0" collapsed="false">
      <c r="A388" s="37" t="s">
        <v>106</v>
      </c>
      <c r="B388" s="37" t="s">
        <v>167</v>
      </c>
      <c r="C388" s="38" t="n">
        <v>3</v>
      </c>
      <c r="D388" s="37" t="s">
        <v>189</v>
      </c>
      <c r="E388" s="37" t="s">
        <v>190</v>
      </c>
      <c r="F388" s="37" t="s">
        <v>170</v>
      </c>
      <c r="G388" s="39" t="n">
        <v>0.14285714</v>
      </c>
      <c r="H388" s="37" t="s">
        <v>191</v>
      </c>
      <c r="I388" s="37" t="s">
        <v>192</v>
      </c>
      <c r="J388" s="37" t="s">
        <v>193</v>
      </c>
      <c r="K388" s="37" t="s">
        <v>194</v>
      </c>
      <c r="L388" s="37" t="n">
        <v>0</v>
      </c>
      <c r="M388" s="37" t="s">
        <v>175</v>
      </c>
    </row>
    <row r="389" customFormat="false" ht="42" hidden="false" customHeight="true" outlineLevel="0" collapsed="false">
      <c r="A389" s="37" t="s">
        <v>106</v>
      </c>
      <c r="B389" s="37" t="s">
        <v>167</v>
      </c>
      <c r="C389" s="38" t="n">
        <v>4</v>
      </c>
      <c r="D389" s="37" t="s">
        <v>176</v>
      </c>
      <c r="E389" s="37" t="s">
        <v>335</v>
      </c>
      <c r="F389" s="37" t="s">
        <v>170</v>
      </c>
      <c r="G389" s="39" t="n">
        <v>0</v>
      </c>
      <c r="H389" s="37" t="s">
        <v>179</v>
      </c>
      <c r="I389" s="37" t="s">
        <v>180</v>
      </c>
      <c r="J389" s="37" t="s">
        <v>336</v>
      </c>
      <c r="K389" s="37" t="s">
        <v>182</v>
      </c>
      <c r="L389" s="37" t="n">
        <v>0</v>
      </c>
      <c r="M389" s="37" t="s">
        <v>175</v>
      </c>
    </row>
    <row r="390" customFormat="false" ht="42" hidden="false" customHeight="true" outlineLevel="0" collapsed="false">
      <c r="A390" s="37" t="s">
        <v>106</v>
      </c>
      <c r="B390" s="37" t="s">
        <v>167</v>
      </c>
      <c r="C390" s="38" t="n">
        <v>5</v>
      </c>
      <c r="D390" s="37" t="s">
        <v>299</v>
      </c>
      <c r="E390" s="37" t="s">
        <v>300</v>
      </c>
      <c r="F390" s="37" t="s">
        <v>170</v>
      </c>
      <c r="G390" s="39" t="n">
        <v>0</v>
      </c>
      <c r="H390" s="37" t="s">
        <v>301</v>
      </c>
      <c r="I390" s="37" t="s">
        <v>302</v>
      </c>
      <c r="J390" s="37" t="s">
        <v>303</v>
      </c>
      <c r="K390" s="37" t="s">
        <v>304</v>
      </c>
      <c r="L390" s="37" t="n">
        <v>3</v>
      </c>
      <c r="M390" s="37" t="s">
        <v>207</v>
      </c>
    </row>
    <row r="391" customFormat="false" ht="42" hidden="false" customHeight="true" outlineLevel="0" collapsed="false">
      <c r="A391" s="37" t="s">
        <v>106</v>
      </c>
      <c r="B391" s="37" t="s">
        <v>201</v>
      </c>
      <c r="C391" s="38" t="n">
        <v>1</v>
      </c>
      <c r="D391" s="37" t="s">
        <v>269</v>
      </c>
      <c r="E391" s="37" t="s">
        <v>270</v>
      </c>
      <c r="F391" s="37" t="s">
        <v>170</v>
      </c>
      <c r="G391" s="39" t="n">
        <v>0.08732801</v>
      </c>
      <c r="H391" s="37" t="s">
        <v>271</v>
      </c>
      <c r="I391" s="37" t="s">
        <v>272</v>
      </c>
      <c r="J391" s="37" t="s">
        <v>273</v>
      </c>
      <c r="K391" s="37" t="s">
        <v>274</v>
      </c>
      <c r="L391" s="37" t="n">
        <v>0</v>
      </c>
      <c r="M391" s="37" t="s">
        <v>175</v>
      </c>
    </row>
    <row r="392" customFormat="false" ht="42" hidden="false" customHeight="true" outlineLevel="0" collapsed="false">
      <c r="A392" s="37" t="s">
        <v>106</v>
      </c>
      <c r="B392" s="37" t="s">
        <v>201</v>
      </c>
      <c r="C392" s="38" t="n">
        <v>2</v>
      </c>
      <c r="D392" s="37" t="s">
        <v>367</v>
      </c>
      <c r="E392" s="37" t="s">
        <v>368</v>
      </c>
      <c r="F392" s="37" t="s">
        <v>170</v>
      </c>
      <c r="G392" s="39" t="n">
        <v>0.0705291</v>
      </c>
      <c r="H392" s="37" t="s">
        <v>369</v>
      </c>
      <c r="I392" s="37" t="s">
        <v>349</v>
      </c>
      <c r="J392" s="37" t="s">
        <v>370</v>
      </c>
      <c r="K392" s="37" t="s">
        <v>371</v>
      </c>
      <c r="L392" s="37" t="n">
        <v>0</v>
      </c>
      <c r="M392" s="37" t="s">
        <v>175</v>
      </c>
    </row>
    <row r="393" customFormat="false" ht="42" hidden="false" customHeight="true" outlineLevel="0" collapsed="false">
      <c r="A393" s="37" t="s">
        <v>106</v>
      </c>
      <c r="B393" s="37" t="s">
        <v>201</v>
      </c>
      <c r="C393" s="38" t="n">
        <v>3</v>
      </c>
      <c r="D393" s="37" t="s">
        <v>231</v>
      </c>
      <c r="E393" s="37" t="s">
        <v>232</v>
      </c>
      <c r="F393" s="37" t="s">
        <v>170</v>
      </c>
      <c r="G393" s="39" t="n">
        <v>0.06577382</v>
      </c>
      <c r="H393" s="37" t="s">
        <v>233</v>
      </c>
      <c r="I393" s="37" t="s">
        <v>234</v>
      </c>
      <c r="J393" s="37" t="s">
        <v>235</v>
      </c>
      <c r="K393" s="37" t="s">
        <v>236</v>
      </c>
      <c r="L393" s="37" t="n">
        <v>0</v>
      </c>
      <c r="M393" s="37" t="s">
        <v>175</v>
      </c>
    </row>
    <row r="394" customFormat="false" ht="42" hidden="false" customHeight="true" outlineLevel="0" collapsed="false">
      <c r="A394" s="37" t="s">
        <v>106</v>
      </c>
      <c r="B394" s="37" t="s">
        <v>201</v>
      </c>
      <c r="C394" s="38" t="n">
        <v>4</v>
      </c>
      <c r="D394" s="37" t="s">
        <v>225</v>
      </c>
      <c r="E394" s="37" t="s">
        <v>226</v>
      </c>
      <c r="F394" s="37" t="s">
        <v>170</v>
      </c>
      <c r="G394" s="39" t="n">
        <v>0.05864974</v>
      </c>
      <c r="H394" s="37" t="s">
        <v>227</v>
      </c>
      <c r="I394" s="37" t="s">
        <v>228</v>
      </c>
      <c r="J394" s="37" t="s">
        <v>229</v>
      </c>
      <c r="K394" s="37" t="s">
        <v>230</v>
      </c>
      <c r="L394" s="37" t="n">
        <v>0</v>
      </c>
      <c r="M394" s="37" t="s">
        <v>175</v>
      </c>
    </row>
    <row r="395" customFormat="false" ht="42" hidden="false" customHeight="true" outlineLevel="0" collapsed="false">
      <c r="A395" s="37" t="s">
        <v>106</v>
      </c>
      <c r="B395" s="37" t="s">
        <v>201</v>
      </c>
      <c r="C395" s="38" t="n">
        <v>5</v>
      </c>
      <c r="D395" s="37" t="s">
        <v>346</v>
      </c>
      <c r="E395" s="37" t="s">
        <v>347</v>
      </c>
      <c r="F395" s="37" t="s">
        <v>170</v>
      </c>
      <c r="G395" s="39" t="n">
        <v>0.05761859</v>
      </c>
      <c r="H395" s="37" t="s">
        <v>348</v>
      </c>
      <c r="I395" s="37" t="s">
        <v>349</v>
      </c>
      <c r="J395" s="37" t="s">
        <v>350</v>
      </c>
      <c r="K395" s="37" t="s">
        <v>351</v>
      </c>
      <c r="L395" s="37" t="n">
        <v>0</v>
      </c>
      <c r="M395" s="37" t="s">
        <v>175</v>
      </c>
    </row>
    <row r="396" customFormat="false" ht="42" hidden="false" customHeight="true" outlineLevel="0" collapsed="false">
      <c r="A396" s="37" t="s">
        <v>106</v>
      </c>
      <c r="B396" s="37" t="s">
        <v>212</v>
      </c>
      <c r="C396" s="38" t="n">
        <v>1</v>
      </c>
      <c r="D396" s="37" t="s">
        <v>213</v>
      </c>
      <c r="E396" s="37" t="s">
        <v>214</v>
      </c>
      <c r="F396" s="37" t="s">
        <v>170</v>
      </c>
      <c r="G396" s="39" t="n">
        <v>0.03112903</v>
      </c>
      <c r="H396" s="37" t="s">
        <v>215</v>
      </c>
      <c r="I396" s="37" t="s">
        <v>216</v>
      </c>
      <c r="J396" s="37" t="s">
        <v>217</v>
      </c>
      <c r="K396" s="37" t="s">
        <v>218</v>
      </c>
      <c r="L396" s="37" t="n">
        <v>0</v>
      </c>
      <c r="M396" s="37" t="s">
        <v>175</v>
      </c>
    </row>
    <row r="397" customFormat="false" ht="42" hidden="false" customHeight="true" outlineLevel="0" collapsed="false">
      <c r="A397" s="37" t="s">
        <v>106</v>
      </c>
      <c r="B397" s="37" t="s">
        <v>212</v>
      </c>
      <c r="C397" s="38" t="n">
        <v>2</v>
      </c>
      <c r="D397" s="37" t="s">
        <v>249</v>
      </c>
      <c r="E397" s="37" t="s">
        <v>30</v>
      </c>
      <c r="F397" s="37" t="s">
        <v>170</v>
      </c>
      <c r="G397" s="39" t="n">
        <v>0.02906832</v>
      </c>
      <c r="H397" s="37" t="s">
        <v>250</v>
      </c>
      <c r="I397" s="37" t="s">
        <v>251</v>
      </c>
      <c r="J397" s="37" t="s">
        <v>252</v>
      </c>
      <c r="K397" s="37" t="s">
        <v>253</v>
      </c>
      <c r="L397" s="37" t="n">
        <v>0</v>
      </c>
      <c r="M397" s="37" t="s">
        <v>175</v>
      </c>
    </row>
    <row r="398" customFormat="false" ht="42" hidden="false" customHeight="true" outlineLevel="0" collapsed="false">
      <c r="A398" s="37" t="s">
        <v>106</v>
      </c>
      <c r="B398" s="37" t="s">
        <v>212</v>
      </c>
      <c r="C398" s="38" t="n">
        <v>3</v>
      </c>
      <c r="D398" s="37" t="s">
        <v>269</v>
      </c>
      <c r="E398" s="37" t="s">
        <v>270</v>
      </c>
      <c r="F398" s="37" t="s">
        <v>170</v>
      </c>
      <c r="G398" s="39" t="n">
        <v>0.01672131</v>
      </c>
      <c r="H398" s="37" t="s">
        <v>271</v>
      </c>
      <c r="I398" s="37" t="s">
        <v>272</v>
      </c>
      <c r="J398" s="37" t="s">
        <v>273</v>
      </c>
      <c r="K398" s="37" t="s">
        <v>274</v>
      </c>
      <c r="L398" s="37" t="n">
        <v>0</v>
      </c>
      <c r="M398" s="37" t="s">
        <v>175</v>
      </c>
    </row>
    <row r="399" customFormat="false" ht="42" hidden="false" customHeight="true" outlineLevel="0" collapsed="false">
      <c r="A399" s="37" t="s">
        <v>106</v>
      </c>
      <c r="B399" s="37" t="s">
        <v>212</v>
      </c>
      <c r="C399" s="38" t="n">
        <v>4</v>
      </c>
      <c r="D399" s="37" t="s">
        <v>367</v>
      </c>
      <c r="E399" s="37" t="s">
        <v>368</v>
      </c>
      <c r="F399" s="37" t="s">
        <v>170</v>
      </c>
      <c r="G399" s="39" t="n">
        <v>0.01645161</v>
      </c>
      <c r="H399" s="37" t="s">
        <v>369</v>
      </c>
      <c r="I399" s="37" t="s">
        <v>349</v>
      </c>
      <c r="J399" s="37" t="s">
        <v>370</v>
      </c>
      <c r="K399" s="37" t="s">
        <v>371</v>
      </c>
      <c r="L399" s="37" t="n">
        <v>0</v>
      </c>
      <c r="M399" s="37" t="s">
        <v>175</v>
      </c>
    </row>
    <row r="400" customFormat="false" ht="42" hidden="false" customHeight="true" outlineLevel="0" collapsed="false">
      <c r="A400" s="37" t="s">
        <v>106</v>
      </c>
      <c r="B400" s="37" t="s">
        <v>212</v>
      </c>
      <c r="C400" s="38" t="n">
        <v>5</v>
      </c>
      <c r="D400" s="37" t="s">
        <v>220</v>
      </c>
      <c r="E400" s="37" t="s">
        <v>275</v>
      </c>
      <c r="F400" s="37" t="s">
        <v>276</v>
      </c>
      <c r="G400" s="39" t="n">
        <v>0.01639344</v>
      </c>
      <c r="H400" s="37" t="s">
        <v>221</v>
      </c>
      <c r="I400" s="37" t="s">
        <v>222</v>
      </c>
      <c r="J400" s="37" t="s">
        <v>277</v>
      </c>
      <c r="K400" s="37" t="s">
        <v>224</v>
      </c>
      <c r="L400" s="37" t="n">
        <v>0</v>
      </c>
      <c r="M400" s="37" t="s">
        <v>175</v>
      </c>
    </row>
    <row r="401" customFormat="false" ht="42" hidden="false" customHeight="true" outlineLevel="0" collapsed="false">
      <c r="A401" s="37" t="s">
        <v>106</v>
      </c>
      <c r="B401" s="37" t="s">
        <v>219</v>
      </c>
      <c r="C401" s="38" t="n">
        <v>1</v>
      </c>
      <c r="D401" s="37" t="s">
        <v>213</v>
      </c>
      <c r="E401" s="37" t="s">
        <v>214</v>
      </c>
      <c r="F401" s="37" t="s">
        <v>170</v>
      </c>
      <c r="G401" s="39" t="n">
        <v>0.10933871</v>
      </c>
      <c r="H401" s="37" t="s">
        <v>215</v>
      </c>
      <c r="I401" s="37" t="s">
        <v>216</v>
      </c>
      <c r="J401" s="37" t="s">
        <v>217</v>
      </c>
      <c r="K401" s="37" t="s">
        <v>218</v>
      </c>
      <c r="L401" s="37" t="n">
        <v>0</v>
      </c>
      <c r="M401" s="37" t="s">
        <v>175</v>
      </c>
    </row>
    <row r="402" customFormat="false" ht="42" hidden="false" customHeight="true" outlineLevel="0" collapsed="false">
      <c r="A402" s="37" t="s">
        <v>106</v>
      </c>
      <c r="B402" s="37" t="s">
        <v>219</v>
      </c>
      <c r="C402" s="38" t="n">
        <v>2</v>
      </c>
      <c r="D402" s="37" t="s">
        <v>220</v>
      </c>
      <c r="E402" s="37" t="s">
        <v>275</v>
      </c>
      <c r="F402" s="37" t="s">
        <v>276</v>
      </c>
      <c r="G402" s="39" t="n">
        <v>0.10491803</v>
      </c>
      <c r="H402" s="37" t="s">
        <v>221</v>
      </c>
      <c r="I402" s="37" t="s">
        <v>222</v>
      </c>
      <c r="J402" s="37" t="s">
        <v>277</v>
      </c>
      <c r="K402" s="37" t="s">
        <v>224</v>
      </c>
      <c r="L402" s="37" t="n">
        <v>0</v>
      </c>
      <c r="M402" s="37" t="s">
        <v>175</v>
      </c>
    </row>
    <row r="403" customFormat="false" ht="42" hidden="false" customHeight="true" outlineLevel="0" collapsed="false">
      <c r="A403" s="37" t="s">
        <v>106</v>
      </c>
      <c r="B403" s="37" t="s">
        <v>219</v>
      </c>
      <c r="C403" s="38" t="n">
        <v>3</v>
      </c>
      <c r="D403" s="37" t="s">
        <v>189</v>
      </c>
      <c r="E403" s="37" t="s">
        <v>190</v>
      </c>
      <c r="F403" s="37" t="s">
        <v>170</v>
      </c>
      <c r="G403" s="39" t="n">
        <v>0.1047619</v>
      </c>
      <c r="H403" s="37" t="s">
        <v>191</v>
      </c>
      <c r="I403" s="37" t="s">
        <v>192</v>
      </c>
      <c r="J403" s="37" t="s">
        <v>193</v>
      </c>
      <c r="K403" s="37" t="s">
        <v>194</v>
      </c>
      <c r="L403" s="37" t="n">
        <v>0</v>
      </c>
      <c r="M403" s="37" t="s">
        <v>175</v>
      </c>
    </row>
    <row r="404" customFormat="false" ht="42" hidden="false" customHeight="true" outlineLevel="0" collapsed="false">
      <c r="A404" s="37" t="s">
        <v>106</v>
      </c>
      <c r="B404" s="37" t="s">
        <v>219</v>
      </c>
      <c r="C404" s="38" t="n">
        <v>4</v>
      </c>
      <c r="D404" s="37" t="s">
        <v>249</v>
      </c>
      <c r="E404" s="37" t="s">
        <v>30</v>
      </c>
      <c r="F404" s="37" t="s">
        <v>170</v>
      </c>
      <c r="G404" s="39" t="n">
        <v>0.0087205</v>
      </c>
      <c r="H404" s="37" t="s">
        <v>250</v>
      </c>
      <c r="I404" s="37" t="s">
        <v>251</v>
      </c>
      <c r="J404" s="37" t="s">
        <v>252</v>
      </c>
      <c r="K404" s="37" t="s">
        <v>253</v>
      </c>
      <c r="L404" s="37" t="n">
        <v>0</v>
      </c>
      <c r="M404" s="37" t="s">
        <v>175</v>
      </c>
    </row>
    <row r="405" customFormat="false" ht="42" hidden="false" customHeight="true" outlineLevel="0" collapsed="false">
      <c r="A405" s="37" t="s">
        <v>106</v>
      </c>
      <c r="B405" s="37" t="s">
        <v>219</v>
      </c>
      <c r="C405" s="38" t="n">
        <v>5</v>
      </c>
      <c r="D405" s="37" t="s">
        <v>269</v>
      </c>
      <c r="E405" s="37" t="s">
        <v>270</v>
      </c>
      <c r="F405" s="37" t="s">
        <v>170</v>
      </c>
      <c r="G405" s="39" t="n">
        <v>0.00501639</v>
      </c>
      <c r="H405" s="37" t="s">
        <v>271</v>
      </c>
      <c r="I405" s="37" t="s">
        <v>272</v>
      </c>
      <c r="J405" s="37" t="s">
        <v>273</v>
      </c>
      <c r="K405" s="37" t="s">
        <v>274</v>
      </c>
      <c r="L405" s="37" t="n">
        <v>0</v>
      </c>
      <c r="M405" s="37" t="s">
        <v>175</v>
      </c>
    </row>
    <row r="406" customFormat="false" ht="42" hidden="false" customHeight="true" outlineLevel="0" collapsed="false">
      <c r="A406" s="37" t="s">
        <v>111</v>
      </c>
      <c r="B406" s="37" t="s">
        <v>167</v>
      </c>
      <c r="C406" s="38" t="n">
        <v>1</v>
      </c>
      <c r="D406" s="37" t="s">
        <v>176</v>
      </c>
      <c r="E406" s="37" t="s">
        <v>177</v>
      </c>
      <c r="F406" s="37" t="s">
        <v>178</v>
      </c>
      <c r="G406" s="39" t="n">
        <v>0.75</v>
      </c>
      <c r="H406" s="37" t="s">
        <v>179</v>
      </c>
      <c r="I406" s="37" t="s">
        <v>180</v>
      </c>
      <c r="J406" s="37" t="s">
        <v>181</v>
      </c>
      <c r="K406" s="37" t="s">
        <v>182</v>
      </c>
      <c r="L406" s="37" t="n">
        <v>0</v>
      </c>
      <c r="M406" s="37" t="s">
        <v>175</v>
      </c>
    </row>
    <row r="407" customFormat="false" ht="42" hidden="false" customHeight="true" outlineLevel="0" collapsed="false">
      <c r="A407" s="37" t="s">
        <v>111</v>
      </c>
      <c r="B407" s="37" t="s">
        <v>167</v>
      </c>
      <c r="C407" s="38" t="n">
        <v>2</v>
      </c>
      <c r="D407" s="37" t="s">
        <v>386</v>
      </c>
      <c r="E407" s="37" t="s">
        <v>390</v>
      </c>
      <c r="F407" s="37" t="s">
        <v>244</v>
      </c>
      <c r="G407" s="39" t="n">
        <v>0.625</v>
      </c>
      <c r="H407" s="37" t="s">
        <v>388</v>
      </c>
      <c r="I407" s="37" t="s">
        <v>281</v>
      </c>
      <c r="J407" s="37" t="s">
        <v>391</v>
      </c>
      <c r="K407" s="37" t="s">
        <v>182</v>
      </c>
      <c r="L407" s="37" t="n">
        <v>3</v>
      </c>
      <c r="M407" s="37" t="s">
        <v>207</v>
      </c>
    </row>
    <row r="408" customFormat="false" ht="42" hidden="false" customHeight="true" outlineLevel="0" collapsed="false">
      <c r="A408" s="37" t="s">
        <v>111</v>
      </c>
      <c r="B408" s="37" t="s">
        <v>167</v>
      </c>
      <c r="C408" s="38" t="n">
        <v>3</v>
      </c>
      <c r="D408" s="37" t="s">
        <v>299</v>
      </c>
      <c r="E408" s="37" t="s">
        <v>392</v>
      </c>
      <c r="F408" s="37" t="s">
        <v>197</v>
      </c>
      <c r="G408" s="39" t="n">
        <v>0.5</v>
      </c>
      <c r="H408" s="37" t="s">
        <v>301</v>
      </c>
      <c r="I408" s="37" t="s">
        <v>302</v>
      </c>
      <c r="J408" s="37" t="s">
        <v>393</v>
      </c>
      <c r="K408" s="37" t="s">
        <v>304</v>
      </c>
      <c r="L408" s="37" t="n">
        <v>0</v>
      </c>
      <c r="M408" s="37" t="s">
        <v>175</v>
      </c>
    </row>
    <row r="409" customFormat="false" ht="42" hidden="false" customHeight="true" outlineLevel="0" collapsed="false">
      <c r="A409" s="37" t="s">
        <v>111</v>
      </c>
      <c r="B409" s="37" t="s">
        <v>167</v>
      </c>
      <c r="C409" s="38" t="n">
        <v>4</v>
      </c>
      <c r="D409" s="37" t="s">
        <v>316</v>
      </c>
      <c r="E409" s="37" t="s">
        <v>337</v>
      </c>
      <c r="F409" s="37" t="s">
        <v>170</v>
      </c>
      <c r="G409" s="39" t="n">
        <v>0.375</v>
      </c>
      <c r="H409" s="37" t="s">
        <v>318</v>
      </c>
      <c r="I409" s="37" t="s">
        <v>302</v>
      </c>
      <c r="J409" s="37" t="s">
        <v>338</v>
      </c>
      <c r="K409" s="37" t="s">
        <v>304</v>
      </c>
      <c r="L409" s="37" t="n">
        <v>0</v>
      </c>
      <c r="M409" s="37" t="s">
        <v>175</v>
      </c>
    </row>
    <row r="410" customFormat="false" ht="42" hidden="false" customHeight="true" outlineLevel="0" collapsed="false">
      <c r="A410" s="37" t="s">
        <v>111</v>
      </c>
      <c r="B410" s="37" t="s">
        <v>167</v>
      </c>
      <c r="C410" s="38" t="n">
        <v>5</v>
      </c>
      <c r="D410" s="37" t="s">
        <v>294</v>
      </c>
      <c r="E410" s="37" t="s">
        <v>295</v>
      </c>
      <c r="F410" s="37" t="s">
        <v>178</v>
      </c>
      <c r="G410" s="39" t="n">
        <v>0.375</v>
      </c>
      <c r="H410" s="37" t="s">
        <v>296</v>
      </c>
      <c r="I410" s="37" t="s">
        <v>281</v>
      </c>
      <c r="J410" s="37" t="s">
        <v>297</v>
      </c>
      <c r="K410" s="37" t="s">
        <v>298</v>
      </c>
      <c r="L410" s="37" t="n">
        <v>3</v>
      </c>
      <c r="M410" s="37" t="s">
        <v>207</v>
      </c>
    </row>
    <row r="411" customFormat="false" ht="42" hidden="false" customHeight="true" outlineLevel="0" collapsed="false">
      <c r="A411" s="37" t="s">
        <v>111</v>
      </c>
      <c r="B411" s="37" t="s">
        <v>201</v>
      </c>
      <c r="C411" s="38" t="n">
        <v>1</v>
      </c>
      <c r="D411" s="37" t="s">
        <v>176</v>
      </c>
      <c r="E411" s="37" t="s">
        <v>177</v>
      </c>
      <c r="F411" s="37" t="s">
        <v>178</v>
      </c>
      <c r="G411" s="39" t="n">
        <v>0.41856736</v>
      </c>
      <c r="H411" s="37" t="s">
        <v>179</v>
      </c>
      <c r="I411" s="37" t="s">
        <v>180</v>
      </c>
      <c r="J411" s="37" t="s">
        <v>181</v>
      </c>
      <c r="K411" s="37" t="s">
        <v>182</v>
      </c>
      <c r="L411" s="37" t="n">
        <v>0</v>
      </c>
      <c r="M411" s="37" t="s">
        <v>175</v>
      </c>
    </row>
    <row r="412" customFormat="false" ht="42" hidden="false" customHeight="true" outlineLevel="0" collapsed="false">
      <c r="A412" s="37" t="s">
        <v>111</v>
      </c>
      <c r="B412" s="37" t="s">
        <v>201</v>
      </c>
      <c r="C412" s="38" t="n">
        <v>2</v>
      </c>
      <c r="D412" s="37" t="s">
        <v>386</v>
      </c>
      <c r="E412" s="37" t="s">
        <v>390</v>
      </c>
      <c r="F412" s="37" t="s">
        <v>244</v>
      </c>
      <c r="G412" s="39" t="n">
        <v>0.36396077</v>
      </c>
      <c r="H412" s="37" t="s">
        <v>388</v>
      </c>
      <c r="I412" s="37" t="s">
        <v>281</v>
      </c>
      <c r="J412" s="37" t="s">
        <v>391</v>
      </c>
      <c r="K412" s="37" t="s">
        <v>182</v>
      </c>
      <c r="L412" s="37" t="n">
        <v>3</v>
      </c>
      <c r="M412" s="37" t="s">
        <v>207</v>
      </c>
    </row>
    <row r="413" customFormat="false" ht="42" hidden="false" customHeight="true" outlineLevel="0" collapsed="false">
      <c r="A413" s="37" t="s">
        <v>111</v>
      </c>
      <c r="B413" s="37" t="s">
        <v>201</v>
      </c>
      <c r="C413" s="38" t="n">
        <v>3</v>
      </c>
      <c r="D413" s="37" t="s">
        <v>294</v>
      </c>
      <c r="E413" s="37" t="s">
        <v>295</v>
      </c>
      <c r="F413" s="37" t="s">
        <v>178</v>
      </c>
      <c r="G413" s="39" t="n">
        <v>0.33064397</v>
      </c>
      <c r="H413" s="37" t="s">
        <v>296</v>
      </c>
      <c r="I413" s="37" t="s">
        <v>281</v>
      </c>
      <c r="J413" s="37" t="s">
        <v>297</v>
      </c>
      <c r="K413" s="37" t="s">
        <v>298</v>
      </c>
      <c r="L413" s="37" t="n">
        <v>3</v>
      </c>
      <c r="M413" s="37" t="s">
        <v>207</v>
      </c>
    </row>
    <row r="414" customFormat="false" ht="42" hidden="false" customHeight="true" outlineLevel="0" collapsed="false">
      <c r="A414" s="37" t="s">
        <v>111</v>
      </c>
      <c r="B414" s="37" t="s">
        <v>201</v>
      </c>
      <c r="C414" s="38" t="n">
        <v>4</v>
      </c>
      <c r="D414" s="37" t="s">
        <v>269</v>
      </c>
      <c r="E414" s="37" t="s">
        <v>372</v>
      </c>
      <c r="F414" s="37" t="s">
        <v>197</v>
      </c>
      <c r="G414" s="39" t="n">
        <v>0.3277634</v>
      </c>
      <c r="H414" s="37" t="s">
        <v>271</v>
      </c>
      <c r="I414" s="37" t="s">
        <v>272</v>
      </c>
      <c r="J414" s="37" t="s">
        <v>373</v>
      </c>
      <c r="K414" s="37" t="s">
        <v>274</v>
      </c>
      <c r="L414" s="37" t="n">
        <v>0</v>
      </c>
      <c r="M414" s="37" t="s">
        <v>175</v>
      </c>
    </row>
    <row r="415" customFormat="false" ht="42" hidden="false" customHeight="true" outlineLevel="0" collapsed="false">
      <c r="A415" s="37" t="s">
        <v>111</v>
      </c>
      <c r="B415" s="37" t="s">
        <v>201</v>
      </c>
      <c r="C415" s="38" t="n">
        <v>5</v>
      </c>
      <c r="D415" s="37" t="s">
        <v>299</v>
      </c>
      <c r="E415" s="37" t="s">
        <v>392</v>
      </c>
      <c r="F415" s="37" t="s">
        <v>197</v>
      </c>
      <c r="G415" s="39" t="n">
        <v>0.31668933</v>
      </c>
      <c r="H415" s="37" t="s">
        <v>301</v>
      </c>
      <c r="I415" s="37" t="s">
        <v>302</v>
      </c>
      <c r="J415" s="37" t="s">
        <v>393</v>
      </c>
      <c r="K415" s="37" t="s">
        <v>304</v>
      </c>
      <c r="L415" s="37" t="n">
        <v>0</v>
      </c>
      <c r="M415" s="37" t="s">
        <v>175</v>
      </c>
    </row>
    <row r="416" customFormat="false" ht="42" hidden="false" customHeight="true" outlineLevel="0" collapsed="false">
      <c r="A416" s="37" t="s">
        <v>111</v>
      </c>
      <c r="B416" s="37" t="s">
        <v>212</v>
      </c>
      <c r="C416" s="38" t="n">
        <v>1</v>
      </c>
      <c r="D416" s="37" t="s">
        <v>176</v>
      </c>
      <c r="E416" s="37" t="s">
        <v>177</v>
      </c>
      <c r="F416" s="37" t="s">
        <v>178</v>
      </c>
      <c r="G416" s="39" t="n">
        <v>0.03311475</v>
      </c>
      <c r="H416" s="37" t="s">
        <v>179</v>
      </c>
      <c r="I416" s="37" t="s">
        <v>180</v>
      </c>
      <c r="J416" s="37" t="s">
        <v>181</v>
      </c>
      <c r="K416" s="37" t="s">
        <v>182</v>
      </c>
      <c r="L416" s="37" t="n">
        <v>0</v>
      </c>
      <c r="M416" s="37" t="s">
        <v>175</v>
      </c>
    </row>
    <row r="417" customFormat="false" ht="42" hidden="false" customHeight="true" outlineLevel="0" collapsed="false">
      <c r="A417" s="37" t="s">
        <v>111</v>
      </c>
      <c r="B417" s="37" t="s">
        <v>212</v>
      </c>
      <c r="C417" s="38" t="n">
        <v>2</v>
      </c>
      <c r="D417" s="37" t="s">
        <v>386</v>
      </c>
      <c r="E417" s="37" t="s">
        <v>390</v>
      </c>
      <c r="F417" s="37" t="s">
        <v>244</v>
      </c>
      <c r="G417" s="39" t="n">
        <v>0.03258065</v>
      </c>
      <c r="H417" s="37" t="s">
        <v>388</v>
      </c>
      <c r="I417" s="37" t="s">
        <v>281</v>
      </c>
      <c r="J417" s="37" t="s">
        <v>391</v>
      </c>
      <c r="K417" s="37" t="s">
        <v>182</v>
      </c>
      <c r="L417" s="37" t="n">
        <v>3</v>
      </c>
      <c r="M417" s="37" t="s">
        <v>207</v>
      </c>
    </row>
    <row r="418" customFormat="false" ht="42" hidden="false" customHeight="true" outlineLevel="0" collapsed="false">
      <c r="A418" s="37" t="s">
        <v>111</v>
      </c>
      <c r="B418" s="37" t="s">
        <v>212</v>
      </c>
      <c r="C418" s="38" t="n">
        <v>3</v>
      </c>
      <c r="D418" s="37" t="s">
        <v>294</v>
      </c>
      <c r="E418" s="37" t="s">
        <v>295</v>
      </c>
      <c r="F418" s="37" t="s">
        <v>178</v>
      </c>
      <c r="G418" s="39" t="n">
        <v>0.03157509</v>
      </c>
      <c r="H418" s="37" t="s">
        <v>296</v>
      </c>
      <c r="I418" s="37" t="s">
        <v>281</v>
      </c>
      <c r="J418" s="37" t="s">
        <v>297</v>
      </c>
      <c r="K418" s="37" t="s">
        <v>298</v>
      </c>
      <c r="L418" s="37" t="n">
        <v>3</v>
      </c>
      <c r="M418" s="37" t="s">
        <v>207</v>
      </c>
    </row>
    <row r="419" customFormat="false" ht="42" hidden="false" customHeight="true" outlineLevel="0" collapsed="false">
      <c r="A419" s="37" t="s">
        <v>111</v>
      </c>
      <c r="B419" s="37" t="s">
        <v>212</v>
      </c>
      <c r="C419" s="38" t="n">
        <v>4</v>
      </c>
      <c r="D419" s="37" t="s">
        <v>299</v>
      </c>
      <c r="E419" s="37" t="s">
        <v>392</v>
      </c>
      <c r="F419" s="37" t="s">
        <v>197</v>
      </c>
      <c r="G419" s="39" t="n">
        <v>0.03156532</v>
      </c>
      <c r="H419" s="37" t="s">
        <v>301</v>
      </c>
      <c r="I419" s="37" t="s">
        <v>302</v>
      </c>
      <c r="J419" s="37" t="s">
        <v>393</v>
      </c>
      <c r="K419" s="37" t="s">
        <v>304</v>
      </c>
      <c r="L419" s="37" t="n">
        <v>0</v>
      </c>
      <c r="M419" s="37" t="s">
        <v>175</v>
      </c>
    </row>
    <row r="420" customFormat="false" ht="42" hidden="false" customHeight="true" outlineLevel="0" collapsed="false">
      <c r="A420" s="37" t="s">
        <v>111</v>
      </c>
      <c r="B420" s="37" t="s">
        <v>212</v>
      </c>
      <c r="C420" s="38" t="n">
        <v>5</v>
      </c>
      <c r="D420" s="37" t="s">
        <v>237</v>
      </c>
      <c r="E420" s="37" t="s">
        <v>238</v>
      </c>
      <c r="F420" s="37" t="s">
        <v>197</v>
      </c>
      <c r="G420" s="39" t="n">
        <v>0.0299473</v>
      </c>
      <c r="H420" s="37" t="s">
        <v>239</v>
      </c>
      <c r="I420" s="37" t="s">
        <v>240</v>
      </c>
      <c r="J420" s="37" t="s">
        <v>241</v>
      </c>
      <c r="K420" s="37" t="s">
        <v>230</v>
      </c>
      <c r="L420" s="37" t="n">
        <v>0</v>
      </c>
      <c r="M420" s="37" t="s">
        <v>175</v>
      </c>
    </row>
    <row r="421" customFormat="false" ht="42" hidden="false" customHeight="true" outlineLevel="0" collapsed="false">
      <c r="A421" s="37" t="s">
        <v>111</v>
      </c>
      <c r="B421" s="37" t="s">
        <v>219</v>
      </c>
      <c r="C421" s="38" t="n">
        <v>1</v>
      </c>
      <c r="D421" s="37" t="s">
        <v>176</v>
      </c>
      <c r="E421" s="37" t="s">
        <v>177</v>
      </c>
      <c r="F421" s="37" t="s">
        <v>178</v>
      </c>
      <c r="G421" s="39" t="n">
        <v>0.53493443</v>
      </c>
      <c r="H421" s="37" t="s">
        <v>179</v>
      </c>
      <c r="I421" s="37" t="s">
        <v>180</v>
      </c>
      <c r="J421" s="37" t="s">
        <v>181</v>
      </c>
      <c r="K421" s="37" t="s">
        <v>182</v>
      </c>
      <c r="L421" s="37" t="n">
        <v>0</v>
      </c>
      <c r="M421" s="37" t="s">
        <v>175</v>
      </c>
    </row>
    <row r="422" customFormat="false" ht="42" hidden="false" customHeight="true" outlineLevel="0" collapsed="false">
      <c r="A422" s="37" t="s">
        <v>111</v>
      </c>
      <c r="B422" s="37" t="s">
        <v>219</v>
      </c>
      <c r="C422" s="38" t="n">
        <v>2</v>
      </c>
      <c r="D422" s="37" t="s">
        <v>386</v>
      </c>
      <c r="E422" s="37" t="s">
        <v>390</v>
      </c>
      <c r="F422" s="37" t="s">
        <v>244</v>
      </c>
      <c r="G422" s="39" t="n">
        <v>0.44727419</v>
      </c>
      <c r="H422" s="37" t="s">
        <v>388</v>
      </c>
      <c r="I422" s="37" t="s">
        <v>281</v>
      </c>
      <c r="J422" s="37" t="s">
        <v>391</v>
      </c>
      <c r="K422" s="37" t="s">
        <v>182</v>
      </c>
      <c r="L422" s="37" t="n">
        <v>3</v>
      </c>
      <c r="M422" s="37" t="s">
        <v>207</v>
      </c>
    </row>
    <row r="423" customFormat="false" ht="42" hidden="false" customHeight="true" outlineLevel="0" collapsed="false">
      <c r="A423" s="37" t="s">
        <v>111</v>
      </c>
      <c r="B423" s="37" t="s">
        <v>219</v>
      </c>
      <c r="C423" s="38" t="n">
        <v>3</v>
      </c>
      <c r="D423" s="37" t="s">
        <v>299</v>
      </c>
      <c r="E423" s="37" t="s">
        <v>392</v>
      </c>
      <c r="F423" s="37" t="s">
        <v>197</v>
      </c>
      <c r="G423" s="39" t="n">
        <v>0.3594696</v>
      </c>
      <c r="H423" s="37" t="s">
        <v>301</v>
      </c>
      <c r="I423" s="37" t="s">
        <v>302</v>
      </c>
      <c r="J423" s="37" t="s">
        <v>393</v>
      </c>
      <c r="K423" s="37" t="s">
        <v>304</v>
      </c>
      <c r="L423" s="37" t="n">
        <v>0</v>
      </c>
      <c r="M423" s="37" t="s">
        <v>175</v>
      </c>
    </row>
    <row r="424" customFormat="false" ht="42" hidden="false" customHeight="true" outlineLevel="0" collapsed="false">
      <c r="A424" s="37" t="s">
        <v>111</v>
      </c>
      <c r="B424" s="37" t="s">
        <v>219</v>
      </c>
      <c r="C424" s="38" t="n">
        <v>4</v>
      </c>
      <c r="D424" s="37" t="s">
        <v>294</v>
      </c>
      <c r="E424" s="37" t="s">
        <v>295</v>
      </c>
      <c r="F424" s="37" t="s">
        <v>178</v>
      </c>
      <c r="G424" s="39" t="n">
        <v>0.27197253</v>
      </c>
      <c r="H424" s="37" t="s">
        <v>296</v>
      </c>
      <c r="I424" s="37" t="s">
        <v>281</v>
      </c>
      <c r="J424" s="37" t="s">
        <v>297</v>
      </c>
      <c r="K424" s="37" t="s">
        <v>298</v>
      </c>
      <c r="L424" s="37" t="n">
        <v>3</v>
      </c>
      <c r="M424" s="37" t="s">
        <v>207</v>
      </c>
    </row>
    <row r="425" customFormat="false" ht="42" hidden="false" customHeight="true" outlineLevel="0" collapsed="false">
      <c r="A425" s="37" t="s">
        <v>111</v>
      </c>
      <c r="B425" s="37" t="s">
        <v>219</v>
      </c>
      <c r="C425" s="38" t="n">
        <v>5</v>
      </c>
      <c r="D425" s="37" t="s">
        <v>242</v>
      </c>
      <c r="E425" s="37" t="s">
        <v>267</v>
      </c>
      <c r="F425" s="37" t="s">
        <v>170</v>
      </c>
      <c r="G425" s="39" t="n">
        <v>0.27134904</v>
      </c>
      <c r="H425" s="37" t="s">
        <v>245</v>
      </c>
      <c r="I425" s="37" t="s">
        <v>246</v>
      </c>
      <c r="J425" s="37" t="s">
        <v>268</v>
      </c>
      <c r="K425" s="37" t="s">
        <v>248</v>
      </c>
      <c r="L425" s="37" t="n">
        <v>0</v>
      </c>
      <c r="M425" s="37" t="s">
        <v>175</v>
      </c>
    </row>
    <row r="426" customFormat="false" ht="42" hidden="false" customHeight="true" outlineLevel="0" collapsed="false">
      <c r="A426" s="37" t="s">
        <v>115</v>
      </c>
      <c r="B426" s="37" t="s">
        <v>167</v>
      </c>
      <c r="C426" s="38" t="n">
        <v>1</v>
      </c>
      <c r="D426" s="37" t="s">
        <v>269</v>
      </c>
      <c r="E426" s="37" t="s">
        <v>270</v>
      </c>
      <c r="F426" s="37" t="s">
        <v>170</v>
      </c>
      <c r="G426" s="39" t="n">
        <v>0.33333333</v>
      </c>
      <c r="H426" s="37" t="s">
        <v>271</v>
      </c>
      <c r="I426" s="37" t="s">
        <v>272</v>
      </c>
      <c r="J426" s="37" t="s">
        <v>273</v>
      </c>
      <c r="K426" s="37" t="s">
        <v>274</v>
      </c>
      <c r="L426" s="37" t="n">
        <v>0</v>
      </c>
      <c r="M426" s="37" t="s">
        <v>175</v>
      </c>
    </row>
    <row r="427" customFormat="false" ht="42" hidden="false" customHeight="true" outlineLevel="0" collapsed="false">
      <c r="A427" s="37" t="s">
        <v>115</v>
      </c>
      <c r="B427" s="37" t="s">
        <v>167</v>
      </c>
      <c r="C427" s="38" t="n">
        <v>2</v>
      </c>
      <c r="D427" s="37" t="s">
        <v>176</v>
      </c>
      <c r="E427" s="37" t="s">
        <v>335</v>
      </c>
      <c r="F427" s="37" t="s">
        <v>170</v>
      </c>
      <c r="G427" s="39" t="n">
        <v>0</v>
      </c>
      <c r="H427" s="37" t="s">
        <v>179</v>
      </c>
      <c r="I427" s="37" t="s">
        <v>180</v>
      </c>
      <c r="J427" s="37" t="s">
        <v>336</v>
      </c>
      <c r="K427" s="37" t="s">
        <v>182</v>
      </c>
      <c r="L427" s="37" t="n">
        <v>0</v>
      </c>
      <c r="M427" s="37" t="s">
        <v>175</v>
      </c>
    </row>
    <row r="428" customFormat="false" ht="42" hidden="false" customHeight="true" outlineLevel="0" collapsed="false">
      <c r="A428" s="37" t="s">
        <v>115</v>
      </c>
      <c r="B428" s="37" t="s">
        <v>167</v>
      </c>
      <c r="C428" s="38" t="n">
        <v>3</v>
      </c>
      <c r="D428" s="37" t="s">
        <v>299</v>
      </c>
      <c r="E428" s="37" t="s">
        <v>300</v>
      </c>
      <c r="F428" s="37" t="s">
        <v>170</v>
      </c>
      <c r="G428" s="39" t="n">
        <v>0</v>
      </c>
      <c r="H428" s="37" t="s">
        <v>301</v>
      </c>
      <c r="I428" s="37" t="s">
        <v>302</v>
      </c>
      <c r="J428" s="37" t="s">
        <v>303</v>
      </c>
      <c r="K428" s="37" t="s">
        <v>304</v>
      </c>
      <c r="L428" s="37" t="n">
        <v>0</v>
      </c>
      <c r="M428" s="37" t="s">
        <v>175</v>
      </c>
    </row>
    <row r="429" customFormat="false" ht="42" hidden="false" customHeight="true" outlineLevel="0" collapsed="false">
      <c r="A429" s="37" t="s">
        <v>115</v>
      </c>
      <c r="B429" s="37" t="s">
        <v>167</v>
      </c>
      <c r="C429" s="38" t="n">
        <v>4</v>
      </c>
      <c r="D429" s="37" t="s">
        <v>316</v>
      </c>
      <c r="E429" s="37" t="s">
        <v>337</v>
      </c>
      <c r="F429" s="37" t="s">
        <v>170</v>
      </c>
      <c r="G429" s="39" t="n">
        <v>0</v>
      </c>
      <c r="H429" s="37" t="s">
        <v>318</v>
      </c>
      <c r="I429" s="37" t="s">
        <v>302</v>
      </c>
      <c r="J429" s="37" t="s">
        <v>338</v>
      </c>
      <c r="K429" s="37" t="s">
        <v>304</v>
      </c>
      <c r="L429" s="37" t="n">
        <v>0</v>
      </c>
      <c r="M429" s="37" t="s">
        <v>175</v>
      </c>
    </row>
    <row r="430" customFormat="false" ht="42" hidden="false" customHeight="true" outlineLevel="0" collapsed="false">
      <c r="A430" s="37" t="s">
        <v>115</v>
      </c>
      <c r="B430" s="37" t="s">
        <v>167</v>
      </c>
      <c r="C430" s="38" t="n">
        <v>5</v>
      </c>
      <c r="D430" s="37" t="s">
        <v>294</v>
      </c>
      <c r="E430" s="37" t="s">
        <v>339</v>
      </c>
      <c r="F430" s="37" t="s">
        <v>170</v>
      </c>
      <c r="G430" s="39" t="n">
        <v>0</v>
      </c>
      <c r="H430" s="37" t="s">
        <v>296</v>
      </c>
      <c r="I430" s="37" t="s">
        <v>281</v>
      </c>
      <c r="J430" s="37" t="s">
        <v>340</v>
      </c>
      <c r="K430" s="37" t="s">
        <v>298</v>
      </c>
      <c r="L430" s="37" t="n">
        <v>0</v>
      </c>
      <c r="M430" s="37" t="s">
        <v>175</v>
      </c>
    </row>
    <row r="431" customFormat="false" ht="42" hidden="false" customHeight="true" outlineLevel="0" collapsed="false">
      <c r="A431" s="37" t="s">
        <v>115</v>
      </c>
      <c r="B431" s="37" t="s">
        <v>201</v>
      </c>
      <c r="C431" s="38" t="n">
        <v>1</v>
      </c>
      <c r="D431" s="37" t="s">
        <v>346</v>
      </c>
      <c r="E431" s="37" t="s">
        <v>347</v>
      </c>
      <c r="F431" s="37" t="s">
        <v>170</v>
      </c>
      <c r="G431" s="39" t="n">
        <v>0.15135682</v>
      </c>
      <c r="H431" s="37" t="s">
        <v>348</v>
      </c>
      <c r="I431" s="37" t="s">
        <v>349</v>
      </c>
      <c r="J431" s="37" t="s">
        <v>350</v>
      </c>
      <c r="K431" s="37" t="s">
        <v>351</v>
      </c>
      <c r="L431" s="37" t="n">
        <v>0</v>
      </c>
      <c r="M431" s="37" t="s">
        <v>175</v>
      </c>
    </row>
    <row r="432" customFormat="false" ht="42" hidden="false" customHeight="true" outlineLevel="0" collapsed="false">
      <c r="A432" s="37" t="s">
        <v>115</v>
      </c>
      <c r="B432" s="37" t="s">
        <v>201</v>
      </c>
      <c r="C432" s="38" t="n">
        <v>2</v>
      </c>
      <c r="D432" s="37" t="s">
        <v>220</v>
      </c>
      <c r="E432" s="37" t="s">
        <v>344</v>
      </c>
      <c r="F432" s="37" t="s">
        <v>170</v>
      </c>
      <c r="G432" s="39" t="n">
        <v>0.13709387</v>
      </c>
      <c r="H432" s="37" t="s">
        <v>221</v>
      </c>
      <c r="I432" s="37" t="s">
        <v>222</v>
      </c>
      <c r="J432" s="37" t="s">
        <v>345</v>
      </c>
      <c r="K432" s="37" t="s">
        <v>224</v>
      </c>
      <c r="L432" s="37" t="n">
        <v>0</v>
      </c>
      <c r="M432" s="37" t="s">
        <v>175</v>
      </c>
    </row>
    <row r="433" customFormat="false" ht="42" hidden="false" customHeight="true" outlineLevel="0" collapsed="false">
      <c r="A433" s="37" t="s">
        <v>115</v>
      </c>
      <c r="B433" s="37" t="s">
        <v>201</v>
      </c>
      <c r="C433" s="38" t="n">
        <v>3</v>
      </c>
      <c r="D433" s="37" t="s">
        <v>242</v>
      </c>
      <c r="E433" s="37" t="s">
        <v>267</v>
      </c>
      <c r="F433" s="37" t="s">
        <v>170</v>
      </c>
      <c r="G433" s="39" t="n">
        <v>0.13092482</v>
      </c>
      <c r="H433" s="37" t="s">
        <v>245</v>
      </c>
      <c r="I433" s="37" t="s">
        <v>246</v>
      </c>
      <c r="J433" s="37" t="s">
        <v>268</v>
      </c>
      <c r="K433" s="37" t="s">
        <v>248</v>
      </c>
      <c r="L433" s="37" t="n">
        <v>0</v>
      </c>
      <c r="M433" s="37" t="s">
        <v>175</v>
      </c>
    </row>
    <row r="434" customFormat="false" ht="42" hidden="false" customHeight="true" outlineLevel="0" collapsed="false">
      <c r="A434" s="37" t="s">
        <v>115</v>
      </c>
      <c r="B434" s="37" t="s">
        <v>201</v>
      </c>
      <c r="C434" s="38" t="n">
        <v>4</v>
      </c>
      <c r="D434" s="37" t="s">
        <v>269</v>
      </c>
      <c r="E434" s="37" t="s">
        <v>270</v>
      </c>
      <c r="F434" s="37" t="s">
        <v>170</v>
      </c>
      <c r="G434" s="39" t="n">
        <v>0.12833553</v>
      </c>
      <c r="H434" s="37" t="s">
        <v>271</v>
      </c>
      <c r="I434" s="37" t="s">
        <v>272</v>
      </c>
      <c r="J434" s="37" t="s">
        <v>273</v>
      </c>
      <c r="K434" s="37" t="s">
        <v>274</v>
      </c>
      <c r="L434" s="37" t="n">
        <v>0</v>
      </c>
      <c r="M434" s="37" t="s">
        <v>175</v>
      </c>
    </row>
    <row r="435" customFormat="false" ht="42" hidden="false" customHeight="true" outlineLevel="0" collapsed="false">
      <c r="A435" s="37" t="s">
        <v>115</v>
      </c>
      <c r="B435" s="37" t="s">
        <v>201</v>
      </c>
      <c r="C435" s="38" t="n">
        <v>5</v>
      </c>
      <c r="D435" s="37" t="s">
        <v>367</v>
      </c>
      <c r="E435" s="37" t="s">
        <v>368</v>
      </c>
      <c r="F435" s="37" t="s">
        <v>170</v>
      </c>
      <c r="G435" s="39" t="n">
        <v>0.11528781</v>
      </c>
      <c r="H435" s="37" t="s">
        <v>369</v>
      </c>
      <c r="I435" s="37" t="s">
        <v>349</v>
      </c>
      <c r="J435" s="37" t="s">
        <v>370</v>
      </c>
      <c r="K435" s="37" t="s">
        <v>371</v>
      </c>
      <c r="L435" s="37" t="n">
        <v>0</v>
      </c>
      <c r="M435" s="37" t="s">
        <v>175</v>
      </c>
    </row>
    <row r="436" customFormat="false" ht="42" hidden="false" customHeight="true" outlineLevel="0" collapsed="false">
      <c r="A436" s="37" t="s">
        <v>115</v>
      </c>
      <c r="B436" s="37" t="s">
        <v>212</v>
      </c>
      <c r="C436" s="38" t="n">
        <v>1</v>
      </c>
      <c r="D436" s="37" t="s">
        <v>269</v>
      </c>
      <c r="E436" s="37" t="s">
        <v>270</v>
      </c>
      <c r="F436" s="37" t="s">
        <v>170</v>
      </c>
      <c r="G436" s="39" t="n">
        <v>0.03233094</v>
      </c>
      <c r="H436" s="37" t="s">
        <v>271</v>
      </c>
      <c r="I436" s="37" t="s">
        <v>272</v>
      </c>
      <c r="J436" s="37" t="s">
        <v>273</v>
      </c>
      <c r="K436" s="37" t="s">
        <v>274</v>
      </c>
      <c r="L436" s="37" t="n">
        <v>0</v>
      </c>
      <c r="M436" s="37" t="s">
        <v>175</v>
      </c>
    </row>
    <row r="437" customFormat="false" ht="42" hidden="false" customHeight="true" outlineLevel="0" collapsed="false">
      <c r="A437" s="37" t="s">
        <v>115</v>
      </c>
      <c r="B437" s="37" t="s">
        <v>212</v>
      </c>
      <c r="C437" s="38" t="n">
        <v>2</v>
      </c>
      <c r="D437" s="37" t="s">
        <v>168</v>
      </c>
      <c r="E437" s="37" t="s">
        <v>169</v>
      </c>
      <c r="F437" s="37" t="s">
        <v>170</v>
      </c>
      <c r="G437" s="39" t="n">
        <v>0.02927536</v>
      </c>
      <c r="H437" s="37" t="s">
        <v>171</v>
      </c>
      <c r="I437" s="37" t="s">
        <v>172</v>
      </c>
      <c r="J437" s="37" t="s">
        <v>173</v>
      </c>
      <c r="K437" s="37" t="s">
        <v>174</v>
      </c>
      <c r="L437" s="37" t="n">
        <v>0</v>
      </c>
      <c r="M437" s="37" t="s">
        <v>175</v>
      </c>
    </row>
    <row r="438" customFormat="false" ht="42" hidden="false" customHeight="true" outlineLevel="0" collapsed="false">
      <c r="A438" s="37" t="s">
        <v>115</v>
      </c>
      <c r="B438" s="37" t="s">
        <v>212</v>
      </c>
      <c r="C438" s="38" t="n">
        <v>3</v>
      </c>
      <c r="D438" s="37" t="s">
        <v>346</v>
      </c>
      <c r="E438" s="37" t="s">
        <v>347</v>
      </c>
      <c r="F438" s="37" t="s">
        <v>170</v>
      </c>
      <c r="G438" s="39" t="n">
        <v>0.01672131</v>
      </c>
      <c r="H438" s="37" t="s">
        <v>348</v>
      </c>
      <c r="I438" s="37" t="s">
        <v>349</v>
      </c>
      <c r="J438" s="37" t="s">
        <v>350</v>
      </c>
      <c r="K438" s="37" t="s">
        <v>351</v>
      </c>
      <c r="L438" s="37" t="n">
        <v>0</v>
      </c>
      <c r="M438" s="37" t="s">
        <v>175</v>
      </c>
    </row>
    <row r="439" customFormat="false" ht="42" hidden="false" customHeight="true" outlineLevel="0" collapsed="false">
      <c r="A439" s="37" t="s">
        <v>115</v>
      </c>
      <c r="B439" s="37" t="s">
        <v>212</v>
      </c>
      <c r="C439" s="38" t="n">
        <v>4</v>
      </c>
      <c r="D439" s="37" t="s">
        <v>220</v>
      </c>
      <c r="E439" s="37" t="s">
        <v>344</v>
      </c>
      <c r="F439" s="37" t="s">
        <v>170</v>
      </c>
      <c r="G439" s="39" t="n">
        <v>0.01645161</v>
      </c>
      <c r="H439" s="37" t="s">
        <v>221</v>
      </c>
      <c r="I439" s="37" t="s">
        <v>222</v>
      </c>
      <c r="J439" s="37" t="s">
        <v>345</v>
      </c>
      <c r="K439" s="37" t="s">
        <v>224</v>
      </c>
      <c r="L439" s="37" t="n">
        <v>0</v>
      </c>
      <c r="M439" s="37" t="s">
        <v>175</v>
      </c>
    </row>
    <row r="440" customFormat="false" ht="42" hidden="false" customHeight="true" outlineLevel="0" collapsed="false">
      <c r="A440" s="37" t="s">
        <v>115</v>
      </c>
      <c r="B440" s="37" t="s">
        <v>212</v>
      </c>
      <c r="C440" s="38" t="n">
        <v>5</v>
      </c>
      <c r="D440" s="37" t="s">
        <v>242</v>
      </c>
      <c r="E440" s="37" t="s">
        <v>267</v>
      </c>
      <c r="F440" s="37" t="s">
        <v>170</v>
      </c>
      <c r="G440" s="39" t="n">
        <v>0.01619048</v>
      </c>
      <c r="H440" s="37" t="s">
        <v>245</v>
      </c>
      <c r="I440" s="37" t="s">
        <v>246</v>
      </c>
      <c r="J440" s="37" t="s">
        <v>268</v>
      </c>
      <c r="K440" s="37" t="s">
        <v>248</v>
      </c>
      <c r="L440" s="37" t="n">
        <v>0</v>
      </c>
      <c r="M440" s="37" t="s">
        <v>175</v>
      </c>
    </row>
    <row r="441" customFormat="false" ht="42" hidden="false" customHeight="true" outlineLevel="0" collapsed="false">
      <c r="A441" s="37" t="s">
        <v>115</v>
      </c>
      <c r="B441" s="37" t="s">
        <v>219</v>
      </c>
      <c r="C441" s="38" t="n">
        <v>1</v>
      </c>
      <c r="D441" s="37" t="s">
        <v>269</v>
      </c>
      <c r="E441" s="37" t="s">
        <v>270</v>
      </c>
      <c r="F441" s="37" t="s">
        <v>170</v>
      </c>
      <c r="G441" s="39" t="n">
        <v>0.24303262</v>
      </c>
      <c r="H441" s="37" t="s">
        <v>271</v>
      </c>
      <c r="I441" s="37" t="s">
        <v>272</v>
      </c>
      <c r="J441" s="37" t="s">
        <v>273</v>
      </c>
      <c r="K441" s="37" t="s">
        <v>274</v>
      </c>
      <c r="L441" s="37" t="n">
        <v>0</v>
      </c>
      <c r="M441" s="37" t="s">
        <v>175</v>
      </c>
    </row>
    <row r="442" customFormat="false" ht="42" hidden="false" customHeight="true" outlineLevel="0" collapsed="false">
      <c r="A442" s="37" t="s">
        <v>115</v>
      </c>
      <c r="B442" s="37" t="s">
        <v>219</v>
      </c>
      <c r="C442" s="38" t="n">
        <v>2</v>
      </c>
      <c r="D442" s="37" t="s">
        <v>168</v>
      </c>
      <c r="E442" s="37" t="s">
        <v>169</v>
      </c>
      <c r="F442" s="37" t="s">
        <v>170</v>
      </c>
      <c r="G442" s="39" t="n">
        <v>0.00878261</v>
      </c>
      <c r="H442" s="37" t="s">
        <v>171</v>
      </c>
      <c r="I442" s="37" t="s">
        <v>172</v>
      </c>
      <c r="J442" s="37" t="s">
        <v>173</v>
      </c>
      <c r="K442" s="37" t="s">
        <v>174</v>
      </c>
      <c r="L442" s="37" t="n">
        <v>0</v>
      </c>
      <c r="M442" s="37" t="s">
        <v>175</v>
      </c>
    </row>
    <row r="443" customFormat="false" ht="42" hidden="false" customHeight="true" outlineLevel="0" collapsed="false">
      <c r="A443" s="37" t="s">
        <v>115</v>
      </c>
      <c r="B443" s="37" t="s">
        <v>219</v>
      </c>
      <c r="C443" s="38" t="n">
        <v>3</v>
      </c>
      <c r="D443" s="37" t="s">
        <v>346</v>
      </c>
      <c r="E443" s="37" t="s">
        <v>347</v>
      </c>
      <c r="F443" s="37" t="s">
        <v>170</v>
      </c>
      <c r="G443" s="39" t="n">
        <v>0.00501639</v>
      </c>
      <c r="H443" s="37" t="s">
        <v>348</v>
      </c>
      <c r="I443" s="37" t="s">
        <v>349</v>
      </c>
      <c r="J443" s="37" t="s">
        <v>350</v>
      </c>
      <c r="K443" s="37" t="s">
        <v>351</v>
      </c>
      <c r="L443" s="37" t="n">
        <v>0</v>
      </c>
      <c r="M443" s="37" t="s">
        <v>175</v>
      </c>
    </row>
    <row r="444" customFormat="false" ht="42" hidden="false" customHeight="true" outlineLevel="0" collapsed="false">
      <c r="A444" s="37" t="s">
        <v>115</v>
      </c>
      <c r="B444" s="37" t="s">
        <v>219</v>
      </c>
      <c r="C444" s="38" t="n">
        <v>4</v>
      </c>
      <c r="D444" s="37" t="s">
        <v>220</v>
      </c>
      <c r="E444" s="37" t="s">
        <v>344</v>
      </c>
      <c r="F444" s="37" t="s">
        <v>170</v>
      </c>
      <c r="G444" s="39" t="n">
        <v>0.00493548</v>
      </c>
      <c r="H444" s="37" t="s">
        <v>221</v>
      </c>
      <c r="I444" s="37" t="s">
        <v>222</v>
      </c>
      <c r="J444" s="37" t="s">
        <v>345</v>
      </c>
      <c r="K444" s="37" t="s">
        <v>224</v>
      </c>
      <c r="L444" s="37" t="n">
        <v>0</v>
      </c>
      <c r="M444" s="37" t="s">
        <v>175</v>
      </c>
    </row>
    <row r="445" customFormat="false" ht="42" hidden="false" customHeight="true" outlineLevel="0" collapsed="false">
      <c r="A445" s="37" t="s">
        <v>115</v>
      </c>
      <c r="B445" s="37" t="s">
        <v>219</v>
      </c>
      <c r="C445" s="38" t="n">
        <v>5</v>
      </c>
      <c r="D445" s="37" t="s">
        <v>242</v>
      </c>
      <c r="E445" s="37" t="s">
        <v>267</v>
      </c>
      <c r="F445" s="37" t="s">
        <v>170</v>
      </c>
      <c r="G445" s="39" t="n">
        <v>0.00485714</v>
      </c>
      <c r="H445" s="37" t="s">
        <v>245</v>
      </c>
      <c r="I445" s="37" t="s">
        <v>246</v>
      </c>
      <c r="J445" s="37" t="s">
        <v>268</v>
      </c>
      <c r="K445" s="37" t="s">
        <v>248</v>
      </c>
      <c r="L445" s="37" t="n">
        <v>0</v>
      </c>
      <c r="M445" s="37" t="s">
        <v>175</v>
      </c>
    </row>
    <row r="446" customFormat="false" ht="42" hidden="false" customHeight="true" outlineLevel="0" collapsed="false">
      <c r="A446" s="37" t="s">
        <v>120</v>
      </c>
      <c r="B446" s="37" t="s">
        <v>167</v>
      </c>
      <c r="C446" s="38" t="n">
        <v>1</v>
      </c>
      <c r="D446" s="37" t="s">
        <v>294</v>
      </c>
      <c r="E446" s="37" t="s">
        <v>339</v>
      </c>
      <c r="F446" s="37" t="s">
        <v>170</v>
      </c>
      <c r="G446" s="39" t="n">
        <v>0.75</v>
      </c>
      <c r="H446" s="37" t="s">
        <v>296</v>
      </c>
      <c r="I446" s="37" t="s">
        <v>281</v>
      </c>
      <c r="J446" s="37" t="s">
        <v>340</v>
      </c>
      <c r="K446" s="37" t="s">
        <v>298</v>
      </c>
      <c r="L446" s="37" t="n">
        <v>3</v>
      </c>
      <c r="M446" s="37" t="s">
        <v>207</v>
      </c>
    </row>
    <row r="447" customFormat="false" ht="42" hidden="false" customHeight="true" outlineLevel="0" collapsed="false">
      <c r="A447" s="37" t="s">
        <v>120</v>
      </c>
      <c r="B447" s="37" t="s">
        <v>167</v>
      </c>
      <c r="C447" s="38" t="n">
        <v>2</v>
      </c>
      <c r="D447" s="37" t="s">
        <v>299</v>
      </c>
      <c r="E447" s="37" t="s">
        <v>394</v>
      </c>
      <c r="F447" s="37" t="s">
        <v>244</v>
      </c>
      <c r="G447" s="39" t="n">
        <v>0.5</v>
      </c>
      <c r="H447" s="37" t="s">
        <v>301</v>
      </c>
      <c r="I447" s="37" t="s">
        <v>302</v>
      </c>
      <c r="J447" s="37" t="s">
        <v>395</v>
      </c>
      <c r="K447" s="37" t="s">
        <v>304</v>
      </c>
      <c r="L447" s="37" t="n">
        <v>3</v>
      </c>
      <c r="M447" s="37" t="s">
        <v>207</v>
      </c>
    </row>
    <row r="448" customFormat="false" ht="42" hidden="false" customHeight="true" outlineLevel="0" collapsed="false">
      <c r="A448" s="37" t="s">
        <v>120</v>
      </c>
      <c r="B448" s="37" t="s">
        <v>167</v>
      </c>
      <c r="C448" s="38" t="n">
        <v>3</v>
      </c>
      <c r="D448" s="37" t="s">
        <v>386</v>
      </c>
      <c r="E448" s="37" t="s">
        <v>396</v>
      </c>
      <c r="F448" s="37" t="s">
        <v>178</v>
      </c>
      <c r="G448" s="39" t="n">
        <v>0.5</v>
      </c>
      <c r="H448" s="37" t="s">
        <v>388</v>
      </c>
      <c r="I448" s="37" t="s">
        <v>281</v>
      </c>
      <c r="J448" s="37" t="s">
        <v>397</v>
      </c>
      <c r="K448" s="37" t="s">
        <v>182</v>
      </c>
      <c r="L448" s="37" t="n">
        <v>0</v>
      </c>
      <c r="M448" s="37" t="s">
        <v>175</v>
      </c>
    </row>
    <row r="449" customFormat="false" ht="42" hidden="false" customHeight="true" outlineLevel="0" collapsed="false">
      <c r="A449" s="37" t="s">
        <v>120</v>
      </c>
      <c r="B449" s="37" t="s">
        <v>167</v>
      </c>
      <c r="C449" s="38" t="n">
        <v>4</v>
      </c>
      <c r="D449" s="37" t="s">
        <v>176</v>
      </c>
      <c r="E449" s="37" t="s">
        <v>335</v>
      </c>
      <c r="F449" s="37" t="s">
        <v>170</v>
      </c>
      <c r="G449" s="39" t="n">
        <v>0.375</v>
      </c>
      <c r="H449" s="37" t="s">
        <v>179</v>
      </c>
      <c r="I449" s="37" t="s">
        <v>180</v>
      </c>
      <c r="J449" s="37" t="s">
        <v>336</v>
      </c>
      <c r="K449" s="37" t="s">
        <v>182</v>
      </c>
      <c r="L449" s="37" t="n">
        <v>3</v>
      </c>
      <c r="M449" s="37" t="s">
        <v>207</v>
      </c>
    </row>
    <row r="450" customFormat="false" ht="42" hidden="false" customHeight="true" outlineLevel="0" collapsed="false">
      <c r="A450" s="37" t="s">
        <v>120</v>
      </c>
      <c r="B450" s="37" t="s">
        <v>167</v>
      </c>
      <c r="C450" s="38" t="n">
        <v>5</v>
      </c>
      <c r="D450" s="37" t="s">
        <v>256</v>
      </c>
      <c r="E450" s="37" t="s">
        <v>284</v>
      </c>
      <c r="F450" s="37" t="s">
        <v>244</v>
      </c>
      <c r="G450" s="39" t="n">
        <v>0.375</v>
      </c>
      <c r="H450" s="37" t="s">
        <v>258</v>
      </c>
      <c r="I450" s="37" t="s">
        <v>259</v>
      </c>
      <c r="J450" s="37" t="s">
        <v>285</v>
      </c>
      <c r="K450" s="37" t="s">
        <v>261</v>
      </c>
      <c r="L450" s="37" t="n">
        <v>0</v>
      </c>
      <c r="M450" s="37" t="s">
        <v>175</v>
      </c>
    </row>
    <row r="451" customFormat="false" ht="42" hidden="false" customHeight="true" outlineLevel="0" collapsed="false">
      <c r="A451" s="37" t="s">
        <v>120</v>
      </c>
      <c r="B451" s="37" t="s">
        <v>201</v>
      </c>
      <c r="C451" s="38" t="n">
        <v>1</v>
      </c>
      <c r="D451" s="37" t="s">
        <v>294</v>
      </c>
      <c r="E451" s="37" t="s">
        <v>339</v>
      </c>
      <c r="F451" s="37" t="s">
        <v>170</v>
      </c>
      <c r="G451" s="39" t="n">
        <v>0.49731003</v>
      </c>
      <c r="H451" s="37" t="s">
        <v>296</v>
      </c>
      <c r="I451" s="37" t="s">
        <v>281</v>
      </c>
      <c r="J451" s="37" t="s">
        <v>340</v>
      </c>
      <c r="K451" s="37" t="s">
        <v>298</v>
      </c>
      <c r="L451" s="37" t="n">
        <v>3</v>
      </c>
      <c r="M451" s="37" t="s">
        <v>207</v>
      </c>
    </row>
    <row r="452" customFormat="false" ht="42" hidden="false" customHeight="true" outlineLevel="0" collapsed="false">
      <c r="A452" s="37" t="s">
        <v>120</v>
      </c>
      <c r="B452" s="37" t="s">
        <v>201</v>
      </c>
      <c r="C452" s="38" t="n">
        <v>2</v>
      </c>
      <c r="D452" s="37" t="s">
        <v>386</v>
      </c>
      <c r="E452" s="37" t="s">
        <v>396</v>
      </c>
      <c r="F452" s="37" t="s">
        <v>178</v>
      </c>
      <c r="G452" s="39" t="n">
        <v>0.42219449</v>
      </c>
      <c r="H452" s="37" t="s">
        <v>388</v>
      </c>
      <c r="I452" s="37" t="s">
        <v>281</v>
      </c>
      <c r="J452" s="37" t="s">
        <v>397</v>
      </c>
      <c r="K452" s="37" t="s">
        <v>182</v>
      </c>
      <c r="L452" s="37" t="n">
        <v>0</v>
      </c>
      <c r="M452" s="37" t="s">
        <v>175</v>
      </c>
    </row>
    <row r="453" customFormat="false" ht="42" hidden="false" customHeight="true" outlineLevel="0" collapsed="false">
      <c r="A453" s="37" t="s">
        <v>120</v>
      </c>
      <c r="B453" s="37" t="s">
        <v>201</v>
      </c>
      <c r="C453" s="38" t="n">
        <v>3</v>
      </c>
      <c r="D453" s="37" t="s">
        <v>176</v>
      </c>
      <c r="E453" s="37" t="s">
        <v>335</v>
      </c>
      <c r="F453" s="37" t="s">
        <v>170</v>
      </c>
      <c r="G453" s="39" t="n">
        <v>0.34651888</v>
      </c>
      <c r="H453" s="37" t="s">
        <v>179</v>
      </c>
      <c r="I453" s="37" t="s">
        <v>180</v>
      </c>
      <c r="J453" s="37" t="s">
        <v>336</v>
      </c>
      <c r="K453" s="37" t="s">
        <v>182</v>
      </c>
      <c r="L453" s="37" t="n">
        <v>3</v>
      </c>
      <c r="M453" s="37" t="s">
        <v>207</v>
      </c>
    </row>
    <row r="454" customFormat="false" ht="42" hidden="false" customHeight="true" outlineLevel="0" collapsed="false">
      <c r="A454" s="37" t="s">
        <v>120</v>
      </c>
      <c r="B454" s="37" t="s">
        <v>201</v>
      </c>
      <c r="C454" s="38" t="n">
        <v>4</v>
      </c>
      <c r="D454" s="37" t="s">
        <v>256</v>
      </c>
      <c r="E454" s="37" t="s">
        <v>284</v>
      </c>
      <c r="F454" s="37" t="s">
        <v>244</v>
      </c>
      <c r="G454" s="39" t="n">
        <v>0.33896894</v>
      </c>
      <c r="H454" s="37" t="s">
        <v>258</v>
      </c>
      <c r="I454" s="37" t="s">
        <v>259</v>
      </c>
      <c r="J454" s="37" t="s">
        <v>285</v>
      </c>
      <c r="K454" s="37" t="s">
        <v>261</v>
      </c>
      <c r="L454" s="37" t="n">
        <v>0</v>
      </c>
      <c r="M454" s="37" t="s">
        <v>175</v>
      </c>
    </row>
    <row r="455" customFormat="false" ht="42" hidden="false" customHeight="true" outlineLevel="0" collapsed="false">
      <c r="A455" s="37" t="s">
        <v>120</v>
      </c>
      <c r="B455" s="37" t="s">
        <v>201</v>
      </c>
      <c r="C455" s="38" t="n">
        <v>5</v>
      </c>
      <c r="D455" s="37" t="s">
        <v>316</v>
      </c>
      <c r="E455" s="37" t="s">
        <v>337</v>
      </c>
      <c r="F455" s="37" t="s">
        <v>170</v>
      </c>
      <c r="G455" s="39" t="n">
        <v>0.3196547</v>
      </c>
      <c r="H455" s="37" t="s">
        <v>318</v>
      </c>
      <c r="I455" s="37" t="s">
        <v>302</v>
      </c>
      <c r="J455" s="37" t="s">
        <v>338</v>
      </c>
      <c r="K455" s="37" t="s">
        <v>304</v>
      </c>
      <c r="L455" s="37" t="n">
        <v>0</v>
      </c>
      <c r="M455" s="37" t="s">
        <v>175</v>
      </c>
    </row>
    <row r="456" customFormat="false" ht="42" hidden="false" customHeight="true" outlineLevel="0" collapsed="false">
      <c r="A456" s="37" t="s">
        <v>120</v>
      </c>
      <c r="B456" s="37" t="s">
        <v>212</v>
      </c>
      <c r="C456" s="38" t="n">
        <v>1</v>
      </c>
      <c r="D456" s="37" t="s">
        <v>294</v>
      </c>
      <c r="E456" s="37" t="s">
        <v>339</v>
      </c>
      <c r="F456" s="37" t="s">
        <v>170</v>
      </c>
      <c r="G456" s="39" t="n">
        <v>0.03311475</v>
      </c>
      <c r="H456" s="37" t="s">
        <v>296</v>
      </c>
      <c r="I456" s="37" t="s">
        <v>281</v>
      </c>
      <c r="J456" s="37" t="s">
        <v>340</v>
      </c>
      <c r="K456" s="37" t="s">
        <v>298</v>
      </c>
      <c r="L456" s="37" t="n">
        <v>3</v>
      </c>
      <c r="M456" s="37" t="s">
        <v>207</v>
      </c>
    </row>
    <row r="457" customFormat="false" ht="42" hidden="false" customHeight="true" outlineLevel="0" collapsed="false">
      <c r="A457" s="37" t="s">
        <v>120</v>
      </c>
      <c r="B457" s="37" t="s">
        <v>212</v>
      </c>
      <c r="C457" s="38" t="n">
        <v>2</v>
      </c>
      <c r="D457" s="37" t="s">
        <v>386</v>
      </c>
      <c r="E457" s="37" t="s">
        <v>396</v>
      </c>
      <c r="F457" s="37" t="s">
        <v>178</v>
      </c>
      <c r="G457" s="39" t="n">
        <v>0.03232463</v>
      </c>
      <c r="H457" s="37" t="s">
        <v>388</v>
      </c>
      <c r="I457" s="37" t="s">
        <v>281</v>
      </c>
      <c r="J457" s="37" t="s">
        <v>397</v>
      </c>
      <c r="K457" s="37" t="s">
        <v>182</v>
      </c>
      <c r="L457" s="37" t="n">
        <v>0</v>
      </c>
      <c r="M457" s="37" t="s">
        <v>175</v>
      </c>
    </row>
    <row r="458" customFormat="false" ht="42" hidden="false" customHeight="true" outlineLevel="0" collapsed="false">
      <c r="A458" s="37" t="s">
        <v>120</v>
      </c>
      <c r="B458" s="37" t="s">
        <v>212</v>
      </c>
      <c r="C458" s="38" t="n">
        <v>3</v>
      </c>
      <c r="D458" s="37" t="s">
        <v>176</v>
      </c>
      <c r="E458" s="37" t="s">
        <v>335</v>
      </c>
      <c r="F458" s="37" t="s">
        <v>170</v>
      </c>
      <c r="G458" s="39" t="n">
        <v>0.03181548</v>
      </c>
      <c r="H458" s="37" t="s">
        <v>179</v>
      </c>
      <c r="I458" s="37" t="s">
        <v>180</v>
      </c>
      <c r="J458" s="37" t="s">
        <v>336</v>
      </c>
      <c r="K458" s="37" t="s">
        <v>182</v>
      </c>
      <c r="L458" s="37" t="n">
        <v>3</v>
      </c>
      <c r="M458" s="37" t="s">
        <v>207</v>
      </c>
    </row>
    <row r="459" customFormat="false" ht="42" hidden="false" customHeight="true" outlineLevel="0" collapsed="false">
      <c r="A459" s="37" t="s">
        <v>120</v>
      </c>
      <c r="B459" s="37" t="s">
        <v>212</v>
      </c>
      <c r="C459" s="38" t="n">
        <v>4</v>
      </c>
      <c r="D459" s="37" t="s">
        <v>256</v>
      </c>
      <c r="E459" s="37" t="s">
        <v>284</v>
      </c>
      <c r="F459" s="37" t="s">
        <v>244</v>
      </c>
      <c r="G459" s="39" t="n">
        <v>0.03132212</v>
      </c>
      <c r="H459" s="37" t="s">
        <v>258</v>
      </c>
      <c r="I459" s="37" t="s">
        <v>259</v>
      </c>
      <c r="J459" s="37" t="s">
        <v>285</v>
      </c>
      <c r="K459" s="37" t="s">
        <v>261</v>
      </c>
      <c r="L459" s="37" t="n">
        <v>0</v>
      </c>
      <c r="M459" s="37" t="s">
        <v>175</v>
      </c>
    </row>
    <row r="460" customFormat="false" ht="42" hidden="false" customHeight="true" outlineLevel="0" collapsed="false">
      <c r="A460" s="37" t="s">
        <v>120</v>
      </c>
      <c r="B460" s="37" t="s">
        <v>212</v>
      </c>
      <c r="C460" s="38" t="n">
        <v>5</v>
      </c>
      <c r="D460" s="37" t="s">
        <v>299</v>
      </c>
      <c r="E460" s="37" t="s">
        <v>394</v>
      </c>
      <c r="F460" s="37" t="s">
        <v>244</v>
      </c>
      <c r="G460" s="39" t="n">
        <v>0.03091164</v>
      </c>
      <c r="H460" s="37" t="s">
        <v>301</v>
      </c>
      <c r="I460" s="37" t="s">
        <v>302</v>
      </c>
      <c r="J460" s="37" t="s">
        <v>395</v>
      </c>
      <c r="K460" s="37" t="s">
        <v>304</v>
      </c>
      <c r="L460" s="37" t="n">
        <v>3</v>
      </c>
      <c r="M460" s="37" t="s">
        <v>207</v>
      </c>
    </row>
    <row r="461" customFormat="false" ht="42" hidden="false" customHeight="true" outlineLevel="0" collapsed="false">
      <c r="A461" s="37" t="s">
        <v>120</v>
      </c>
      <c r="B461" s="37" t="s">
        <v>219</v>
      </c>
      <c r="C461" s="38" t="n">
        <v>1</v>
      </c>
      <c r="D461" s="37" t="s">
        <v>294</v>
      </c>
      <c r="E461" s="37" t="s">
        <v>339</v>
      </c>
      <c r="F461" s="37" t="s">
        <v>170</v>
      </c>
      <c r="G461" s="39" t="n">
        <v>0.53493443</v>
      </c>
      <c r="H461" s="37" t="s">
        <v>296</v>
      </c>
      <c r="I461" s="37" t="s">
        <v>281</v>
      </c>
      <c r="J461" s="37" t="s">
        <v>340</v>
      </c>
      <c r="K461" s="37" t="s">
        <v>298</v>
      </c>
      <c r="L461" s="37" t="n">
        <v>3</v>
      </c>
      <c r="M461" s="37" t="s">
        <v>207</v>
      </c>
    </row>
    <row r="462" customFormat="false" ht="42" hidden="false" customHeight="true" outlineLevel="0" collapsed="false">
      <c r="A462" s="37" t="s">
        <v>120</v>
      </c>
      <c r="B462" s="37" t="s">
        <v>219</v>
      </c>
      <c r="C462" s="38" t="n">
        <v>2</v>
      </c>
      <c r="D462" s="37" t="s">
        <v>386</v>
      </c>
      <c r="E462" s="37" t="s">
        <v>396</v>
      </c>
      <c r="F462" s="37" t="s">
        <v>178</v>
      </c>
      <c r="G462" s="39" t="n">
        <v>0.35969739</v>
      </c>
      <c r="H462" s="37" t="s">
        <v>388</v>
      </c>
      <c r="I462" s="37" t="s">
        <v>281</v>
      </c>
      <c r="J462" s="37" t="s">
        <v>397</v>
      </c>
      <c r="K462" s="37" t="s">
        <v>182</v>
      </c>
      <c r="L462" s="37" t="n">
        <v>0</v>
      </c>
      <c r="M462" s="37" t="s">
        <v>175</v>
      </c>
    </row>
    <row r="463" customFormat="false" ht="42" hidden="false" customHeight="true" outlineLevel="0" collapsed="false">
      <c r="A463" s="37" t="s">
        <v>120</v>
      </c>
      <c r="B463" s="37" t="s">
        <v>219</v>
      </c>
      <c r="C463" s="38" t="n">
        <v>3</v>
      </c>
      <c r="D463" s="37" t="s">
        <v>299</v>
      </c>
      <c r="E463" s="37" t="s">
        <v>394</v>
      </c>
      <c r="F463" s="37" t="s">
        <v>244</v>
      </c>
      <c r="G463" s="39" t="n">
        <v>0.35927349</v>
      </c>
      <c r="H463" s="37" t="s">
        <v>301</v>
      </c>
      <c r="I463" s="37" t="s">
        <v>302</v>
      </c>
      <c r="J463" s="37" t="s">
        <v>395</v>
      </c>
      <c r="K463" s="37" t="s">
        <v>304</v>
      </c>
      <c r="L463" s="37" t="n">
        <v>3</v>
      </c>
      <c r="M463" s="37" t="s">
        <v>207</v>
      </c>
    </row>
    <row r="464" customFormat="false" ht="42" hidden="false" customHeight="true" outlineLevel="0" collapsed="false">
      <c r="A464" s="37" t="s">
        <v>120</v>
      </c>
      <c r="B464" s="37" t="s">
        <v>219</v>
      </c>
      <c r="C464" s="38" t="n">
        <v>4</v>
      </c>
      <c r="D464" s="37" t="s">
        <v>176</v>
      </c>
      <c r="E464" s="37" t="s">
        <v>335</v>
      </c>
      <c r="F464" s="37" t="s">
        <v>170</v>
      </c>
      <c r="G464" s="39" t="n">
        <v>0.27204464</v>
      </c>
      <c r="H464" s="37" t="s">
        <v>179</v>
      </c>
      <c r="I464" s="37" t="s">
        <v>180</v>
      </c>
      <c r="J464" s="37" t="s">
        <v>336</v>
      </c>
      <c r="K464" s="37" t="s">
        <v>182</v>
      </c>
      <c r="L464" s="37" t="n">
        <v>3</v>
      </c>
      <c r="M464" s="37" t="s">
        <v>207</v>
      </c>
    </row>
    <row r="465" customFormat="false" ht="42" hidden="false" customHeight="true" outlineLevel="0" collapsed="false">
      <c r="A465" s="37" t="s">
        <v>120</v>
      </c>
      <c r="B465" s="37" t="s">
        <v>219</v>
      </c>
      <c r="C465" s="38" t="n">
        <v>5</v>
      </c>
      <c r="D465" s="37" t="s">
        <v>256</v>
      </c>
      <c r="E465" s="37" t="s">
        <v>284</v>
      </c>
      <c r="F465" s="37" t="s">
        <v>244</v>
      </c>
      <c r="G465" s="39" t="n">
        <v>0.27189663</v>
      </c>
      <c r="H465" s="37" t="s">
        <v>258</v>
      </c>
      <c r="I465" s="37" t="s">
        <v>259</v>
      </c>
      <c r="J465" s="37" t="s">
        <v>285</v>
      </c>
      <c r="K465" s="37" t="s">
        <v>261</v>
      </c>
      <c r="L465" s="37" t="n">
        <v>0</v>
      </c>
      <c r="M465" s="37" t="s">
        <v>175</v>
      </c>
    </row>
    <row r="466" customFormat="false" ht="42" hidden="false" customHeight="true" outlineLevel="0" collapsed="false">
      <c r="A466" s="37" t="s">
        <v>125</v>
      </c>
      <c r="B466" s="37" t="s">
        <v>167</v>
      </c>
      <c r="C466" s="38" t="n">
        <v>1</v>
      </c>
      <c r="D466" s="37" t="s">
        <v>213</v>
      </c>
      <c r="E466" s="37" t="s">
        <v>214</v>
      </c>
      <c r="F466" s="37" t="s">
        <v>170</v>
      </c>
      <c r="G466" s="39" t="n">
        <v>0.42857143</v>
      </c>
      <c r="H466" s="37" t="s">
        <v>215</v>
      </c>
      <c r="I466" s="37" t="s">
        <v>216</v>
      </c>
      <c r="J466" s="37" t="s">
        <v>217</v>
      </c>
      <c r="K466" s="37" t="s">
        <v>218</v>
      </c>
      <c r="L466" s="37" t="n">
        <v>0</v>
      </c>
      <c r="M466" s="37" t="s">
        <v>175</v>
      </c>
    </row>
    <row r="467" customFormat="false" ht="42" hidden="false" customHeight="true" outlineLevel="0" collapsed="false">
      <c r="A467" s="37" t="s">
        <v>125</v>
      </c>
      <c r="B467" s="37" t="s">
        <v>167</v>
      </c>
      <c r="C467" s="38" t="n">
        <v>2</v>
      </c>
      <c r="D467" s="37" t="s">
        <v>189</v>
      </c>
      <c r="E467" s="37" t="s">
        <v>190</v>
      </c>
      <c r="F467" s="37" t="s">
        <v>170</v>
      </c>
      <c r="G467" s="39" t="n">
        <v>0.42857143</v>
      </c>
      <c r="H467" s="37" t="s">
        <v>191</v>
      </c>
      <c r="I467" s="37" t="s">
        <v>192</v>
      </c>
      <c r="J467" s="37" t="s">
        <v>193</v>
      </c>
      <c r="K467" s="37" t="s">
        <v>194</v>
      </c>
      <c r="L467" s="37" t="n">
        <v>0</v>
      </c>
      <c r="M467" s="37" t="s">
        <v>175</v>
      </c>
    </row>
    <row r="468" customFormat="false" ht="42" hidden="false" customHeight="true" outlineLevel="0" collapsed="false">
      <c r="A468" s="37" t="s">
        <v>125</v>
      </c>
      <c r="B468" s="37" t="s">
        <v>167</v>
      </c>
      <c r="C468" s="38" t="n">
        <v>3</v>
      </c>
      <c r="D468" s="37" t="s">
        <v>360</v>
      </c>
      <c r="E468" s="37" t="s">
        <v>361</v>
      </c>
      <c r="F468" s="37" t="s">
        <v>170</v>
      </c>
      <c r="G468" s="39" t="n">
        <v>0.28571429</v>
      </c>
      <c r="H468" s="37" t="s">
        <v>362</v>
      </c>
      <c r="I468" s="37" t="s">
        <v>192</v>
      </c>
      <c r="J468" s="37" t="s">
        <v>363</v>
      </c>
      <c r="K468" s="37" t="s">
        <v>364</v>
      </c>
      <c r="L468" s="37" t="n">
        <v>0</v>
      </c>
      <c r="M468" s="37" t="s">
        <v>175</v>
      </c>
    </row>
    <row r="469" customFormat="false" ht="42" hidden="false" customHeight="true" outlineLevel="0" collapsed="false">
      <c r="A469" s="37" t="s">
        <v>125</v>
      </c>
      <c r="B469" s="37" t="s">
        <v>167</v>
      </c>
      <c r="C469" s="38" t="n">
        <v>4</v>
      </c>
      <c r="D469" s="37" t="s">
        <v>225</v>
      </c>
      <c r="E469" s="37" t="s">
        <v>226</v>
      </c>
      <c r="F469" s="37" t="s">
        <v>170</v>
      </c>
      <c r="G469" s="39" t="n">
        <v>0.28571429</v>
      </c>
      <c r="H469" s="37" t="s">
        <v>227</v>
      </c>
      <c r="I469" s="37" t="s">
        <v>228</v>
      </c>
      <c r="J469" s="37" t="s">
        <v>229</v>
      </c>
      <c r="K469" s="37" t="s">
        <v>230</v>
      </c>
      <c r="L469" s="37" t="n">
        <v>0</v>
      </c>
      <c r="M469" s="37" t="s">
        <v>175</v>
      </c>
    </row>
    <row r="470" customFormat="false" ht="42" hidden="false" customHeight="true" outlineLevel="0" collapsed="false">
      <c r="A470" s="37" t="s">
        <v>125</v>
      </c>
      <c r="B470" s="37" t="s">
        <v>167</v>
      </c>
      <c r="C470" s="38" t="n">
        <v>5</v>
      </c>
      <c r="D470" s="37" t="s">
        <v>269</v>
      </c>
      <c r="E470" s="37" t="s">
        <v>270</v>
      </c>
      <c r="F470" s="37" t="s">
        <v>170</v>
      </c>
      <c r="G470" s="39" t="n">
        <v>0.28571429</v>
      </c>
      <c r="H470" s="37" t="s">
        <v>271</v>
      </c>
      <c r="I470" s="37" t="s">
        <v>272</v>
      </c>
      <c r="J470" s="37" t="s">
        <v>273</v>
      </c>
      <c r="K470" s="37" t="s">
        <v>274</v>
      </c>
      <c r="L470" s="37" t="n">
        <v>0</v>
      </c>
      <c r="M470" s="37" t="s">
        <v>175</v>
      </c>
    </row>
    <row r="471" customFormat="false" ht="42" hidden="false" customHeight="true" outlineLevel="0" collapsed="false">
      <c r="A471" s="37" t="s">
        <v>125</v>
      </c>
      <c r="B471" s="37" t="s">
        <v>201</v>
      </c>
      <c r="C471" s="38" t="n">
        <v>1</v>
      </c>
      <c r="D471" s="37" t="s">
        <v>202</v>
      </c>
      <c r="E471" s="37" t="s">
        <v>20</v>
      </c>
      <c r="F471" s="37" t="s">
        <v>170</v>
      </c>
      <c r="G471" s="39" t="n">
        <v>0.21367029</v>
      </c>
      <c r="H471" s="37" t="s">
        <v>203</v>
      </c>
      <c r="I471" s="37" t="s">
        <v>204</v>
      </c>
      <c r="J471" s="37" t="s">
        <v>205</v>
      </c>
      <c r="K471" s="37" t="s">
        <v>206</v>
      </c>
      <c r="L471" s="37" t="n">
        <v>0</v>
      </c>
      <c r="M471" s="37" t="s">
        <v>175</v>
      </c>
    </row>
    <row r="472" customFormat="false" ht="42" hidden="false" customHeight="true" outlineLevel="0" collapsed="false">
      <c r="A472" s="37" t="s">
        <v>125</v>
      </c>
      <c r="B472" s="37" t="s">
        <v>201</v>
      </c>
      <c r="C472" s="38" t="n">
        <v>2</v>
      </c>
      <c r="D472" s="37" t="s">
        <v>213</v>
      </c>
      <c r="E472" s="37" t="s">
        <v>214</v>
      </c>
      <c r="F472" s="37" t="s">
        <v>170</v>
      </c>
      <c r="G472" s="39" t="n">
        <v>0.19090091</v>
      </c>
      <c r="H472" s="37" t="s">
        <v>215</v>
      </c>
      <c r="I472" s="37" t="s">
        <v>216</v>
      </c>
      <c r="J472" s="37" t="s">
        <v>217</v>
      </c>
      <c r="K472" s="37" t="s">
        <v>218</v>
      </c>
      <c r="L472" s="37" t="n">
        <v>0</v>
      </c>
      <c r="M472" s="37" t="s">
        <v>175</v>
      </c>
    </row>
    <row r="473" customFormat="false" ht="42" hidden="false" customHeight="true" outlineLevel="0" collapsed="false">
      <c r="A473" s="37" t="s">
        <v>125</v>
      </c>
      <c r="B473" s="37" t="s">
        <v>201</v>
      </c>
      <c r="C473" s="38" t="n">
        <v>3</v>
      </c>
      <c r="D473" s="37" t="s">
        <v>189</v>
      </c>
      <c r="E473" s="37" t="s">
        <v>190</v>
      </c>
      <c r="F473" s="37" t="s">
        <v>170</v>
      </c>
      <c r="G473" s="39" t="n">
        <v>0.17901226</v>
      </c>
      <c r="H473" s="37" t="s">
        <v>191</v>
      </c>
      <c r="I473" s="37" t="s">
        <v>192</v>
      </c>
      <c r="J473" s="37" t="s">
        <v>193</v>
      </c>
      <c r="K473" s="37" t="s">
        <v>194</v>
      </c>
      <c r="L473" s="37" t="n">
        <v>0</v>
      </c>
      <c r="M473" s="37" t="s">
        <v>175</v>
      </c>
    </row>
    <row r="474" customFormat="false" ht="42" hidden="false" customHeight="true" outlineLevel="0" collapsed="false">
      <c r="A474" s="37" t="s">
        <v>125</v>
      </c>
      <c r="B474" s="37" t="s">
        <v>201</v>
      </c>
      <c r="C474" s="38" t="n">
        <v>4</v>
      </c>
      <c r="D474" s="37" t="s">
        <v>269</v>
      </c>
      <c r="E474" s="37" t="s">
        <v>270</v>
      </c>
      <c r="F474" s="37" t="s">
        <v>170</v>
      </c>
      <c r="G474" s="39" t="n">
        <v>0.17662234</v>
      </c>
      <c r="H474" s="37" t="s">
        <v>271</v>
      </c>
      <c r="I474" s="37" t="s">
        <v>272</v>
      </c>
      <c r="J474" s="37" t="s">
        <v>273</v>
      </c>
      <c r="K474" s="37" t="s">
        <v>274</v>
      </c>
      <c r="L474" s="37" t="n">
        <v>0</v>
      </c>
      <c r="M474" s="37" t="s">
        <v>175</v>
      </c>
    </row>
    <row r="475" customFormat="false" ht="42" hidden="false" customHeight="true" outlineLevel="0" collapsed="false">
      <c r="A475" s="37" t="s">
        <v>125</v>
      </c>
      <c r="B475" s="37" t="s">
        <v>201</v>
      </c>
      <c r="C475" s="38" t="n">
        <v>5</v>
      </c>
      <c r="D475" s="37" t="s">
        <v>183</v>
      </c>
      <c r="E475" s="37" t="s">
        <v>184</v>
      </c>
      <c r="F475" s="37" t="s">
        <v>178</v>
      </c>
      <c r="G475" s="39" t="n">
        <v>0.15991132</v>
      </c>
      <c r="H475" s="37" t="s">
        <v>185</v>
      </c>
      <c r="I475" s="37" t="s">
        <v>186</v>
      </c>
      <c r="J475" s="37" t="s">
        <v>187</v>
      </c>
      <c r="K475" s="37" t="s">
        <v>188</v>
      </c>
      <c r="L475" s="37" t="n">
        <v>0</v>
      </c>
      <c r="M475" s="37" t="s">
        <v>175</v>
      </c>
    </row>
    <row r="476" customFormat="false" ht="42" hidden="false" customHeight="true" outlineLevel="0" collapsed="false">
      <c r="A476" s="37" t="s">
        <v>125</v>
      </c>
      <c r="B476" s="37" t="s">
        <v>212</v>
      </c>
      <c r="C476" s="38" t="n">
        <v>1</v>
      </c>
      <c r="D476" s="37" t="s">
        <v>213</v>
      </c>
      <c r="E476" s="37" t="s">
        <v>214</v>
      </c>
      <c r="F476" s="37" t="s">
        <v>170</v>
      </c>
      <c r="G476" s="39" t="n">
        <v>0.03284506</v>
      </c>
      <c r="H476" s="37" t="s">
        <v>215</v>
      </c>
      <c r="I476" s="37" t="s">
        <v>216</v>
      </c>
      <c r="J476" s="37" t="s">
        <v>217</v>
      </c>
      <c r="K476" s="37" t="s">
        <v>218</v>
      </c>
      <c r="L476" s="37" t="n">
        <v>0</v>
      </c>
      <c r="M476" s="37" t="s">
        <v>175</v>
      </c>
    </row>
    <row r="477" customFormat="false" ht="42" hidden="false" customHeight="true" outlineLevel="0" collapsed="false">
      <c r="A477" s="37" t="s">
        <v>125</v>
      </c>
      <c r="B477" s="37" t="s">
        <v>212</v>
      </c>
      <c r="C477" s="38" t="n">
        <v>2</v>
      </c>
      <c r="D477" s="37" t="s">
        <v>189</v>
      </c>
      <c r="E477" s="37" t="s">
        <v>190</v>
      </c>
      <c r="F477" s="37" t="s">
        <v>170</v>
      </c>
      <c r="G477" s="39" t="n">
        <v>0.03231951</v>
      </c>
      <c r="H477" s="37" t="s">
        <v>191</v>
      </c>
      <c r="I477" s="37" t="s">
        <v>192</v>
      </c>
      <c r="J477" s="37" t="s">
        <v>193</v>
      </c>
      <c r="K477" s="37" t="s">
        <v>194</v>
      </c>
      <c r="L477" s="37" t="n">
        <v>0</v>
      </c>
      <c r="M477" s="37" t="s">
        <v>175</v>
      </c>
    </row>
    <row r="478" customFormat="false" ht="42" hidden="false" customHeight="true" outlineLevel="0" collapsed="false">
      <c r="A478" s="37" t="s">
        <v>125</v>
      </c>
      <c r="B478" s="37" t="s">
        <v>212</v>
      </c>
      <c r="C478" s="38" t="n">
        <v>3</v>
      </c>
      <c r="D478" s="37" t="s">
        <v>269</v>
      </c>
      <c r="E478" s="37" t="s">
        <v>270</v>
      </c>
      <c r="F478" s="37" t="s">
        <v>170</v>
      </c>
      <c r="G478" s="39" t="n">
        <v>0.03132212</v>
      </c>
      <c r="H478" s="37" t="s">
        <v>271</v>
      </c>
      <c r="I478" s="37" t="s">
        <v>272</v>
      </c>
      <c r="J478" s="37" t="s">
        <v>273</v>
      </c>
      <c r="K478" s="37" t="s">
        <v>274</v>
      </c>
      <c r="L478" s="37" t="n">
        <v>0</v>
      </c>
      <c r="M478" s="37" t="s">
        <v>175</v>
      </c>
    </row>
    <row r="479" customFormat="false" ht="42" hidden="false" customHeight="true" outlineLevel="0" collapsed="false">
      <c r="A479" s="37" t="s">
        <v>125</v>
      </c>
      <c r="B479" s="37" t="s">
        <v>212</v>
      </c>
      <c r="C479" s="38" t="n">
        <v>4</v>
      </c>
      <c r="D479" s="37" t="s">
        <v>360</v>
      </c>
      <c r="E479" s="37" t="s">
        <v>361</v>
      </c>
      <c r="F479" s="37" t="s">
        <v>170</v>
      </c>
      <c r="G479" s="39" t="n">
        <v>0.0310969</v>
      </c>
      <c r="H479" s="37" t="s">
        <v>362</v>
      </c>
      <c r="I479" s="37" t="s">
        <v>192</v>
      </c>
      <c r="J479" s="37" t="s">
        <v>363</v>
      </c>
      <c r="K479" s="37" t="s">
        <v>364</v>
      </c>
      <c r="L479" s="37" t="n">
        <v>0</v>
      </c>
      <c r="M479" s="37" t="s">
        <v>175</v>
      </c>
    </row>
    <row r="480" customFormat="false" ht="42" hidden="false" customHeight="true" outlineLevel="0" collapsed="false">
      <c r="A480" s="37" t="s">
        <v>125</v>
      </c>
      <c r="B480" s="37" t="s">
        <v>212</v>
      </c>
      <c r="C480" s="38" t="n">
        <v>5</v>
      </c>
      <c r="D480" s="37" t="s">
        <v>242</v>
      </c>
      <c r="E480" s="37" t="s">
        <v>380</v>
      </c>
      <c r="F480" s="37" t="s">
        <v>265</v>
      </c>
      <c r="G480" s="39" t="n">
        <v>0.02970798</v>
      </c>
      <c r="H480" s="37" t="s">
        <v>245</v>
      </c>
      <c r="I480" s="37" t="s">
        <v>246</v>
      </c>
      <c r="J480" s="37" t="s">
        <v>381</v>
      </c>
      <c r="K480" s="37" t="s">
        <v>248</v>
      </c>
      <c r="L480" s="37" t="n">
        <v>0</v>
      </c>
      <c r="M480" s="37" t="s">
        <v>175</v>
      </c>
    </row>
    <row r="481" customFormat="false" ht="42" hidden="false" customHeight="true" outlineLevel="0" collapsed="false">
      <c r="A481" s="37" t="s">
        <v>125</v>
      </c>
      <c r="B481" s="37" t="s">
        <v>219</v>
      </c>
      <c r="C481" s="38" t="n">
        <v>1</v>
      </c>
      <c r="D481" s="37" t="s">
        <v>213</v>
      </c>
      <c r="E481" s="37" t="s">
        <v>214</v>
      </c>
      <c r="F481" s="37" t="s">
        <v>170</v>
      </c>
      <c r="G481" s="39" t="n">
        <v>0.30985352</v>
      </c>
      <c r="H481" s="37" t="s">
        <v>215</v>
      </c>
      <c r="I481" s="37" t="s">
        <v>216</v>
      </c>
      <c r="J481" s="37" t="s">
        <v>217</v>
      </c>
      <c r="K481" s="37" t="s">
        <v>218</v>
      </c>
      <c r="L481" s="37" t="n">
        <v>0</v>
      </c>
      <c r="M481" s="37" t="s">
        <v>175</v>
      </c>
    </row>
    <row r="482" customFormat="false" ht="42" hidden="false" customHeight="true" outlineLevel="0" collapsed="false">
      <c r="A482" s="37" t="s">
        <v>125</v>
      </c>
      <c r="B482" s="37" t="s">
        <v>219</v>
      </c>
      <c r="C482" s="38" t="n">
        <v>2</v>
      </c>
      <c r="D482" s="37" t="s">
        <v>189</v>
      </c>
      <c r="E482" s="37" t="s">
        <v>190</v>
      </c>
      <c r="F482" s="37" t="s">
        <v>170</v>
      </c>
      <c r="G482" s="39" t="n">
        <v>0.30969585</v>
      </c>
      <c r="H482" s="37" t="s">
        <v>191</v>
      </c>
      <c r="I482" s="37" t="s">
        <v>192</v>
      </c>
      <c r="J482" s="37" t="s">
        <v>193</v>
      </c>
      <c r="K482" s="37" t="s">
        <v>194</v>
      </c>
      <c r="L482" s="37" t="n">
        <v>0</v>
      </c>
      <c r="M482" s="37" t="s">
        <v>175</v>
      </c>
    </row>
    <row r="483" customFormat="false" ht="42" hidden="false" customHeight="true" outlineLevel="0" collapsed="false">
      <c r="A483" s="37" t="s">
        <v>125</v>
      </c>
      <c r="B483" s="37" t="s">
        <v>219</v>
      </c>
      <c r="C483" s="38" t="n">
        <v>3</v>
      </c>
      <c r="D483" s="37" t="s">
        <v>269</v>
      </c>
      <c r="E483" s="37" t="s">
        <v>270</v>
      </c>
      <c r="F483" s="37" t="s">
        <v>170</v>
      </c>
      <c r="G483" s="39" t="n">
        <v>0.20939663</v>
      </c>
      <c r="H483" s="37" t="s">
        <v>271</v>
      </c>
      <c r="I483" s="37" t="s">
        <v>272</v>
      </c>
      <c r="J483" s="37" t="s">
        <v>273</v>
      </c>
      <c r="K483" s="37" t="s">
        <v>274</v>
      </c>
      <c r="L483" s="37" t="n">
        <v>0</v>
      </c>
      <c r="M483" s="37" t="s">
        <v>175</v>
      </c>
    </row>
    <row r="484" customFormat="false" ht="42" hidden="false" customHeight="true" outlineLevel="0" collapsed="false">
      <c r="A484" s="37" t="s">
        <v>125</v>
      </c>
      <c r="B484" s="37" t="s">
        <v>219</v>
      </c>
      <c r="C484" s="38" t="n">
        <v>4</v>
      </c>
      <c r="D484" s="37" t="s">
        <v>360</v>
      </c>
      <c r="E484" s="37" t="s">
        <v>361</v>
      </c>
      <c r="F484" s="37" t="s">
        <v>170</v>
      </c>
      <c r="G484" s="39" t="n">
        <v>0.20932907</v>
      </c>
      <c r="H484" s="37" t="s">
        <v>362</v>
      </c>
      <c r="I484" s="37" t="s">
        <v>192</v>
      </c>
      <c r="J484" s="37" t="s">
        <v>363</v>
      </c>
      <c r="K484" s="37" t="s">
        <v>364</v>
      </c>
      <c r="L484" s="37" t="n">
        <v>0</v>
      </c>
      <c r="M484" s="37" t="s">
        <v>175</v>
      </c>
    </row>
    <row r="485" customFormat="false" ht="42" hidden="false" customHeight="true" outlineLevel="0" collapsed="false">
      <c r="A485" s="37" t="s">
        <v>125</v>
      </c>
      <c r="B485" s="37" t="s">
        <v>219</v>
      </c>
      <c r="C485" s="38" t="n">
        <v>5</v>
      </c>
      <c r="D485" s="37" t="s">
        <v>242</v>
      </c>
      <c r="E485" s="37" t="s">
        <v>380</v>
      </c>
      <c r="F485" s="37" t="s">
        <v>265</v>
      </c>
      <c r="G485" s="39" t="n">
        <v>0.20891239</v>
      </c>
      <c r="H485" s="37" t="s">
        <v>245</v>
      </c>
      <c r="I485" s="37" t="s">
        <v>246</v>
      </c>
      <c r="J485" s="37" t="s">
        <v>381</v>
      </c>
      <c r="K485" s="37" t="s">
        <v>248</v>
      </c>
      <c r="L485" s="37" t="n">
        <v>0</v>
      </c>
      <c r="M485" s="37" t="s">
        <v>175</v>
      </c>
    </row>
    <row r="486" customFormat="false" ht="42" hidden="false" customHeight="true" outlineLevel="0" collapsed="false">
      <c r="A486" s="37" t="s">
        <v>129</v>
      </c>
      <c r="B486" s="37" t="s">
        <v>167</v>
      </c>
      <c r="C486" s="38" t="n">
        <v>1</v>
      </c>
      <c r="D486" s="37" t="s">
        <v>299</v>
      </c>
      <c r="E486" s="37" t="s">
        <v>356</v>
      </c>
      <c r="F486" s="37" t="s">
        <v>178</v>
      </c>
      <c r="G486" s="39" t="n">
        <v>0.38461538</v>
      </c>
      <c r="H486" s="37" t="s">
        <v>301</v>
      </c>
      <c r="I486" s="37" t="s">
        <v>302</v>
      </c>
      <c r="J486" s="37" t="s">
        <v>357</v>
      </c>
      <c r="K486" s="37" t="s">
        <v>304</v>
      </c>
      <c r="L486" s="37" t="n">
        <v>0</v>
      </c>
      <c r="M486" s="37" t="s">
        <v>175</v>
      </c>
    </row>
    <row r="487" customFormat="false" ht="42" hidden="false" customHeight="true" outlineLevel="0" collapsed="false">
      <c r="A487" s="37" t="s">
        <v>129</v>
      </c>
      <c r="B487" s="37" t="s">
        <v>167</v>
      </c>
      <c r="C487" s="38" t="n">
        <v>2</v>
      </c>
      <c r="D487" s="37" t="s">
        <v>225</v>
      </c>
      <c r="E487" s="37" t="s">
        <v>331</v>
      </c>
      <c r="F487" s="37" t="s">
        <v>197</v>
      </c>
      <c r="G487" s="39" t="n">
        <v>0.38461538</v>
      </c>
      <c r="H487" s="37" t="s">
        <v>227</v>
      </c>
      <c r="I487" s="37" t="s">
        <v>228</v>
      </c>
      <c r="J487" s="37" t="s">
        <v>332</v>
      </c>
      <c r="K487" s="37" t="s">
        <v>230</v>
      </c>
      <c r="L487" s="37" t="n">
        <v>0</v>
      </c>
      <c r="M487" s="37" t="s">
        <v>175</v>
      </c>
    </row>
    <row r="488" customFormat="false" ht="42" hidden="false" customHeight="true" outlineLevel="0" collapsed="false">
      <c r="A488" s="37" t="s">
        <v>129</v>
      </c>
      <c r="B488" s="37" t="s">
        <v>167</v>
      </c>
      <c r="C488" s="38" t="n">
        <v>3</v>
      </c>
      <c r="D488" s="37" t="s">
        <v>220</v>
      </c>
      <c r="E488" s="37" t="s">
        <v>48</v>
      </c>
      <c r="F488" s="37" t="s">
        <v>178</v>
      </c>
      <c r="G488" s="39" t="n">
        <v>0.30769231</v>
      </c>
      <c r="H488" s="37" t="s">
        <v>221</v>
      </c>
      <c r="I488" s="37" t="s">
        <v>222</v>
      </c>
      <c r="J488" s="37" t="s">
        <v>223</v>
      </c>
      <c r="K488" s="37" t="s">
        <v>224</v>
      </c>
      <c r="L488" s="37" t="n">
        <v>0</v>
      </c>
      <c r="M488" s="37" t="s">
        <v>175</v>
      </c>
    </row>
    <row r="489" customFormat="false" ht="42" hidden="false" customHeight="true" outlineLevel="0" collapsed="false">
      <c r="A489" s="37" t="s">
        <v>129</v>
      </c>
      <c r="B489" s="37" t="s">
        <v>167</v>
      </c>
      <c r="C489" s="38" t="n">
        <v>4</v>
      </c>
      <c r="D489" s="37" t="s">
        <v>176</v>
      </c>
      <c r="E489" s="37" t="s">
        <v>384</v>
      </c>
      <c r="F489" s="37" t="s">
        <v>244</v>
      </c>
      <c r="G489" s="39" t="n">
        <v>0.23076923</v>
      </c>
      <c r="H489" s="37" t="s">
        <v>179</v>
      </c>
      <c r="I489" s="37" t="s">
        <v>180</v>
      </c>
      <c r="J489" s="37" t="s">
        <v>385</v>
      </c>
      <c r="K489" s="37" t="s">
        <v>182</v>
      </c>
      <c r="L489" s="37" t="n">
        <v>0</v>
      </c>
      <c r="M489" s="37" t="s">
        <v>175</v>
      </c>
    </row>
    <row r="490" customFormat="false" ht="42" hidden="false" customHeight="true" outlineLevel="0" collapsed="false">
      <c r="A490" s="37" t="s">
        <v>129</v>
      </c>
      <c r="B490" s="37" t="s">
        <v>167</v>
      </c>
      <c r="C490" s="38" t="n">
        <v>5</v>
      </c>
      <c r="D490" s="37" t="s">
        <v>256</v>
      </c>
      <c r="E490" s="37" t="s">
        <v>333</v>
      </c>
      <c r="F490" s="37" t="s">
        <v>170</v>
      </c>
      <c r="G490" s="39" t="n">
        <v>0.23076923</v>
      </c>
      <c r="H490" s="37" t="s">
        <v>258</v>
      </c>
      <c r="I490" s="37" t="s">
        <v>259</v>
      </c>
      <c r="J490" s="37" t="s">
        <v>334</v>
      </c>
      <c r="K490" s="37" t="s">
        <v>261</v>
      </c>
      <c r="L490" s="37" t="n">
        <v>0</v>
      </c>
      <c r="M490" s="37" t="s">
        <v>175</v>
      </c>
    </row>
    <row r="491" customFormat="false" ht="42" hidden="false" customHeight="true" outlineLevel="0" collapsed="false">
      <c r="A491" s="37" t="s">
        <v>129</v>
      </c>
      <c r="B491" s="37" t="s">
        <v>201</v>
      </c>
      <c r="C491" s="38" t="n">
        <v>1</v>
      </c>
      <c r="D491" s="37" t="s">
        <v>208</v>
      </c>
      <c r="E491" s="37" t="s">
        <v>209</v>
      </c>
      <c r="F491" s="37" t="s">
        <v>170</v>
      </c>
      <c r="G491" s="39" t="n">
        <v>0.2623521</v>
      </c>
      <c r="H491" s="37" t="s">
        <v>210</v>
      </c>
      <c r="I491" s="37" t="s">
        <v>186</v>
      </c>
      <c r="J491" s="37" t="s">
        <v>211</v>
      </c>
      <c r="K491" s="37" t="s">
        <v>188</v>
      </c>
      <c r="L491" s="37" t="n">
        <v>0</v>
      </c>
      <c r="M491" s="37" t="s">
        <v>175</v>
      </c>
    </row>
    <row r="492" customFormat="false" ht="42" hidden="false" customHeight="true" outlineLevel="0" collapsed="false">
      <c r="A492" s="37" t="s">
        <v>129</v>
      </c>
      <c r="B492" s="37" t="s">
        <v>201</v>
      </c>
      <c r="C492" s="38" t="n">
        <v>2</v>
      </c>
      <c r="D492" s="37" t="s">
        <v>189</v>
      </c>
      <c r="E492" s="37" t="s">
        <v>190</v>
      </c>
      <c r="F492" s="37" t="s">
        <v>170</v>
      </c>
      <c r="G492" s="39" t="n">
        <v>0.25395954</v>
      </c>
      <c r="H492" s="37" t="s">
        <v>191</v>
      </c>
      <c r="I492" s="37" t="s">
        <v>192</v>
      </c>
      <c r="J492" s="37" t="s">
        <v>193</v>
      </c>
      <c r="K492" s="37" t="s">
        <v>194</v>
      </c>
      <c r="L492" s="37" t="n">
        <v>0</v>
      </c>
      <c r="M492" s="37" t="s">
        <v>175</v>
      </c>
    </row>
    <row r="493" customFormat="false" ht="42" hidden="false" customHeight="true" outlineLevel="0" collapsed="false">
      <c r="A493" s="37" t="s">
        <v>129</v>
      </c>
      <c r="B493" s="37" t="s">
        <v>201</v>
      </c>
      <c r="C493" s="38" t="n">
        <v>3</v>
      </c>
      <c r="D493" s="37" t="s">
        <v>220</v>
      </c>
      <c r="E493" s="37" t="s">
        <v>48</v>
      </c>
      <c r="F493" s="37" t="s">
        <v>178</v>
      </c>
      <c r="G493" s="39" t="n">
        <v>0.24894138</v>
      </c>
      <c r="H493" s="37" t="s">
        <v>221</v>
      </c>
      <c r="I493" s="37" t="s">
        <v>222</v>
      </c>
      <c r="J493" s="37" t="s">
        <v>223</v>
      </c>
      <c r="K493" s="37" t="s">
        <v>224</v>
      </c>
      <c r="L493" s="37" t="n">
        <v>0</v>
      </c>
      <c r="M493" s="37" t="s">
        <v>175</v>
      </c>
    </row>
    <row r="494" customFormat="false" ht="42" hidden="false" customHeight="true" outlineLevel="0" collapsed="false">
      <c r="A494" s="37" t="s">
        <v>129</v>
      </c>
      <c r="B494" s="37" t="s">
        <v>201</v>
      </c>
      <c r="C494" s="38" t="n">
        <v>4</v>
      </c>
      <c r="D494" s="37" t="s">
        <v>183</v>
      </c>
      <c r="E494" s="37" t="s">
        <v>184</v>
      </c>
      <c r="F494" s="37" t="s">
        <v>178</v>
      </c>
      <c r="G494" s="39" t="n">
        <v>0.24550774</v>
      </c>
      <c r="H494" s="37" t="s">
        <v>185</v>
      </c>
      <c r="I494" s="37" t="s">
        <v>186</v>
      </c>
      <c r="J494" s="37" t="s">
        <v>187</v>
      </c>
      <c r="K494" s="37" t="s">
        <v>188</v>
      </c>
      <c r="L494" s="37" t="n">
        <v>0</v>
      </c>
      <c r="M494" s="37" t="s">
        <v>175</v>
      </c>
    </row>
    <row r="495" customFormat="false" ht="42" hidden="false" customHeight="true" outlineLevel="0" collapsed="false">
      <c r="A495" s="37" t="s">
        <v>129</v>
      </c>
      <c r="B495" s="37" t="s">
        <v>201</v>
      </c>
      <c r="C495" s="38" t="n">
        <v>5</v>
      </c>
      <c r="D495" s="37" t="s">
        <v>299</v>
      </c>
      <c r="E495" s="37" t="s">
        <v>356</v>
      </c>
      <c r="F495" s="37" t="s">
        <v>178</v>
      </c>
      <c r="G495" s="39" t="n">
        <v>0.24306423</v>
      </c>
      <c r="H495" s="37" t="s">
        <v>301</v>
      </c>
      <c r="I495" s="37" t="s">
        <v>302</v>
      </c>
      <c r="J495" s="37" t="s">
        <v>357</v>
      </c>
      <c r="K495" s="37" t="s">
        <v>304</v>
      </c>
      <c r="L495" s="37" t="n">
        <v>0</v>
      </c>
      <c r="M495" s="37" t="s">
        <v>175</v>
      </c>
    </row>
    <row r="496" customFormat="false" ht="42" hidden="false" customHeight="true" outlineLevel="0" collapsed="false">
      <c r="A496" s="37" t="s">
        <v>129</v>
      </c>
      <c r="B496" s="37" t="s">
        <v>212</v>
      </c>
      <c r="C496" s="38" t="n">
        <v>1</v>
      </c>
      <c r="D496" s="37" t="s">
        <v>299</v>
      </c>
      <c r="E496" s="37" t="s">
        <v>356</v>
      </c>
      <c r="F496" s="37" t="s">
        <v>178</v>
      </c>
      <c r="G496" s="39" t="n">
        <v>0.03208575</v>
      </c>
      <c r="H496" s="37" t="s">
        <v>301</v>
      </c>
      <c r="I496" s="37" t="s">
        <v>302</v>
      </c>
      <c r="J496" s="37" t="s">
        <v>357</v>
      </c>
      <c r="K496" s="37" t="s">
        <v>304</v>
      </c>
      <c r="L496" s="37" t="n">
        <v>0</v>
      </c>
      <c r="M496" s="37" t="s">
        <v>175</v>
      </c>
    </row>
    <row r="497" customFormat="false" ht="42" hidden="false" customHeight="true" outlineLevel="0" collapsed="false">
      <c r="A497" s="37" t="s">
        <v>129</v>
      </c>
      <c r="B497" s="37" t="s">
        <v>212</v>
      </c>
      <c r="C497" s="38" t="n">
        <v>2</v>
      </c>
      <c r="D497" s="37" t="s">
        <v>220</v>
      </c>
      <c r="E497" s="37" t="s">
        <v>48</v>
      </c>
      <c r="F497" s="37" t="s">
        <v>178</v>
      </c>
      <c r="G497" s="39" t="n">
        <v>0.03206349</v>
      </c>
      <c r="H497" s="37" t="s">
        <v>221</v>
      </c>
      <c r="I497" s="37" t="s">
        <v>222</v>
      </c>
      <c r="J497" s="37" t="s">
        <v>223</v>
      </c>
      <c r="K497" s="37" t="s">
        <v>224</v>
      </c>
      <c r="L497" s="37" t="n">
        <v>0</v>
      </c>
      <c r="M497" s="37" t="s">
        <v>175</v>
      </c>
    </row>
    <row r="498" customFormat="false" ht="42" hidden="false" customHeight="true" outlineLevel="0" collapsed="false">
      <c r="A498" s="37" t="s">
        <v>129</v>
      </c>
      <c r="B498" s="37" t="s">
        <v>212</v>
      </c>
      <c r="C498" s="38" t="n">
        <v>3</v>
      </c>
      <c r="D498" s="37" t="s">
        <v>225</v>
      </c>
      <c r="E498" s="37" t="s">
        <v>331</v>
      </c>
      <c r="F498" s="37" t="s">
        <v>197</v>
      </c>
      <c r="G498" s="39" t="n">
        <v>0.03158358</v>
      </c>
      <c r="H498" s="37" t="s">
        <v>227</v>
      </c>
      <c r="I498" s="37" t="s">
        <v>228</v>
      </c>
      <c r="J498" s="37" t="s">
        <v>332</v>
      </c>
      <c r="K498" s="37" t="s">
        <v>230</v>
      </c>
      <c r="L498" s="37" t="n">
        <v>0</v>
      </c>
      <c r="M498" s="37" t="s">
        <v>175</v>
      </c>
    </row>
    <row r="499" customFormat="false" ht="42" hidden="false" customHeight="true" outlineLevel="0" collapsed="false">
      <c r="A499" s="37" t="s">
        <v>129</v>
      </c>
      <c r="B499" s="37" t="s">
        <v>212</v>
      </c>
      <c r="C499" s="38" t="n">
        <v>4</v>
      </c>
      <c r="D499" s="37" t="s">
        <v>208</v>
      </c>
      <c r="E499" s="37" t="s">
        <v>209</v>
      </c>
      <c r="F499" s="37" t="s">
        <v>170</v>
      </c>
      <c r="G499" s="39" t="n">
        <v>0.03121407</v>
      </c>
      <c r="H499" s="37" t="s">
        <v>210</v>
      </c>
      <c r="I499" s="37" t="s">
        <v>186</v>
      </c>
      <c r="J499" s="37" t="s">
        <v>211</v>
      </c>
      <c r="K499" s="37" t="s">
        <v>188</v>
      </c>
      <c r="L499" s="37" t="n">
        <v>0</v>
      </c>
      <c r="M499" s="37" t="s">
        <v>175</v>
      </c>
    </row>
    <row r="500" customFormat="false" ht="42" hidden="false" customHeight="true" outlineLevel="0" collapsed="false">
      <c r="A500" s="37" t="s">
        <v>129</v>
      </c>
      <c r="B500" s="37" t="s">
        <v>212</v>
      </c>
      <c r="C500" s="38" t="n">
        <v>5</v>
      </c>
      <c r="D500" s="37" t="s">
        <v>183</v>
      </c>
      <c r="E500" s="37" t="s">
        <v>184</v>
      </c>
      <c r="F500" s="37" t="s">
        <v>178</v>
      </c>
      <c r="G500" s="39" t="n">
        <v>0.03086287</v>
      </c>
      <c r="H500" s="37" t="s">
        <v>185</v>
      </c>
      <c r="I500" s="37" t="s">
        <v>186</v>
      </c>
      <c r="J500" s="37" t="s">
        <v>187</v>
      </c>
      <c r="K500" s="37" t="s">
        <v>188</v>
      </c>
      <c r="L500" s="37" t="n">
        <v>0</v>
      </c>
      <c r="M500" s="37" t="s">
        <v>175</v>
      </c>
    </row>
    <row r="501" customFormat="false" ht="42" hidden="false" customHeight="true" outlineLevel="0" collapsed="false">
      <c r="A501" s="37" t="s">
        <v>129</v>
      </c>
      <c r="B501" s="37" t="s">
        <v>219</v>
      </c>
      <c r="C501" s="38" t="n">
        <v>1</v>
      </c>
      <c r="D501" s="37" t="s">
        <v>299</v>
      </c>
      <c r="E501" s="37" t="s">
        <v>356</v>
      </c>
      <c r="F501" s="37" t="s">
        <v>178</v>
      </c>
      <c r="G501" s="39" t="n">
        <v>0.27885649</v>
      </c>
      <c r="H501" s="37" t="s">
        <v>301</v>
      </c>
      <c r="I501" s="37" t="s">
        <v>302</v>
      </c>
      <c r="J501" s="37" t="s">
        <v>357</v>
      </c>
      <c r="K501" s="37" t="s">
        <v>304</v>
      </c>
      <c r="L501" s="37" t="n">
        <v>0</v>
      </c>
      <c r="M501" s="37" t="s">
        <v>175</v>
      </c>
    </row>
    <row r="502" customFormat="false" ht="42" hidden="false" customHeight="true" outlineLevel="0" collapsed="false">
      <c r="A502" s="37" t="s">
        <v>129</v>
      </c>
      <c r="B502" s="37" t="s">
        <v>219</v>
      </c>
      <c r="C502" s="38" t="n">
        <v>2</v>
      </c>
      <c r="D502" s="37" t="s">
        <v>225</v>
      </c>
      <c r="E502" s="37" t="s">
        <v>331</v>
      </c>
      <c r="F502" s="37" t="s">
        <v>197</v>
      </c>
      <c r="G502" s="39" t="n">
        <v>0.27870584</v>
      </c>
      <c r="H502" s="37" t="s">
        <v>227</v>
      </c>
      <c r="I502" s="37" t="s">
        <v>228</v>
      </c>
      <c r="J502" s="37" t="s">
        <v>332</v>
      </c>
      <c r="K502" s="37" t="s">
        <v>230</v>
      </c>
      <c r="L502" s="37" t="n">
        <v>0</v>
      </c>
      <c r="M502" s="37" t="s">
        <v>175</v>
      </c>
    </row>
    <row r="503" customFormat="false" ht="42" hidden="false" customHeight="true" outlineLevel="0" collapsed="false">
      <c r="A503" s="37" t="s">
        <v>129</v>
      </c>
      <c r="B503" s="37" t="s">
        <v>219</v>
      </c>
      <c r="C503" s="38" t="n">
        <v>3</v>
      </c>
      <c r="D503" s="37" t="s">
        <v>220</v>
      </c>
      <c r="E503" s="37" t="s">
        <v>48</v>
      </c>
      <c r="F503" s="37" t="s">
        <v>178</v>
      </c>
      <c r="G503" s="39" t="n">
        <v>0.22500366</v>
      </c>
      <c r="H503" s="37" t="s">
        <v>221</v>
      </c>
      <c r="I503" s="37" t="s">
        <v>222</v>
      </c>
      <c r="J503" s="37" t="s">
        <v>223</v>
      </c>
      <c r="K503" s="37" t="s">
        <v>224</v>
      </c>
      <c r="L503" s="37" t="n">
        <v>0</v>
      </c>
      <c r="M503" s="37" t="s">
        <v>175</v>
      </c>
    </row>
    <row r="504" customFormat="false" ht="42" hidden="false" customHeight="true" outlineLevel="0" collapsed="false">
      <c r="A504" s="37" t="s">
        <v>129</v>
      </c>
      <c r="B504" s="37" t="s">
        <v>219</v>
      </c>
      <c r="C504" s="38" t="n">
        <v>4</v>
      </c>
      <c r="D504" s="37" t="s">
        <v>208</v>
      </c>
      <c r="E504" s="37" t="s">
        <v>209</v>
      </c>
      <c r="F504" s="37" t="s">
        <v>170</v>
      </c>
      <c r="G504" s="39" t="n">
        <v>0.17090268</v>
      </c>
      <c r="H504" s="37" t="s">
        <v>210</v>
      </c>
      <c r="I504" s="37" t="s">
        <v>186</v>
      </c>
      <c r="J504" s="37" t="s">
        <v>211</v>
      </c>
      <c r="K504" s="37" t="s">
        <v>188</v>
      </c>
      <c r="L504" s="37" t="n">
        <v>0</v>
      </c>
      <c r="M504" s="37" t="s">
        <v>175</v>
      </c>
    </row>
    <row r="505" customFormat="false" ht="42" hidden="false" customHeight="true" outlineLevel="0" collapsed="false">
      <c r="A505" s="37" t="s">
        <v>129</v>
      </c>
      <c r="B505" s="37" t="s">
        <v>219</v>
      </c>
      <c r="C505" s="38" t="n">
        <v>5</v>
      </c>
      <c r="D505" s="37" t="s">
        <v>183</v>
      </c>
      <c r="E505" s="37" t="s">
        <v>184</v>
      </c>
      <c r="F505" s="37" t="s">
        <v>178</v>
      </c>
      <c r="G505" s="39" t="n">
        <v>0.17079732</v>
      </c>
      <c r="H505" s="37" t="s">
        <v>185</v>
      </c>
      <c r="I505" s="37" t="s">
        <v>186</v>
      </c>
      <c r="J505" s="37" t="s">
        <v>187</v>
      </c>
      <c r="K505" s="37" t="s">
        <v>188</v>
      </c>
      <c r="L505" s="37" t="n">
        <v>0</v>
      </c>
      <c r="M505" s="37" t="s">
        <v>175</v>
      </c>
    </row>
    <row r="506" customFormat="false" ht="42" hidden="false" customHeight="true" outlineLevel="0" collapsed="false">
      <c r="A506" s="37" t="s">
        <v>133</v>
      </c>
      <c r="B506" s="37" t="s">
        <v>167</v>
      </c>
      <c r="C506" s="38" t="n">
        <v>1</v>
      </c>
      <c r="D506" s="37" t="s">
        <v>278</v>
      </c>
      <c r="E506" s="37" t="s">
        <v>292</v>
      </c>
      <c r="F506" s="37" t="s">
        <v>197</v>
      </c>
      <c r="G506" s="39" t="n">
        <v>0.21428571</v>
      </c>
      <c r="H506" s="37" t="s">
        <v>280</v>
      </c>
      <c r="I506" s="37" t="s">
        <v>281</v>
      </c>
      <c r="J506" s="37" t="s">
        <v>293</v>
      </c>
      <c r="K506" s="37" t="s">
        <v>283</v>
      </c>
      <c r="L506" s="37" t="n">
        <v>3</v>
      </c>
      <c r="M506" s="37" t="s">
        <v>207</v>
      </c>
    </row>
    <row r="507" customFormat="false" ht="42" hidden="false" customHeight="true" outlineLevel="0" collapsed="false">
      <c r="A507" s="37" t="s">
        <v>133</v>
      </c>
      <c r="B507" s="37" t="s">
        <v>167</v>
      </c>
      <c r="C507" s="38" t="n">
        <v>2</v>
      </c>
      <c r="D507" s="37" t="s">
        <v>176</v>
      </c>
      <c r="E507" s="37" t="s">
        <v>177</v>
      </c>
      <c r="F507" s="37" t="s">
        <v>178</v>
      </c>
      <c r="G507" s="39" t="n">
        <v>0.14285714</v>
      </c>
      <c r="H507" s="37" t="s">
        <v>179</v>
      </c>
      <c r="I507" s="37" t="s">
        <v>180</v>
      </c>
      <c r="J507" s="37" t="s">
        <v>181</v>
      </c>
      <c r="K507" s="37" t="s">
        <v>182</v>
      </c>
      <c r="L507" s="37" t="n">
        <v>0</v>
      </c>
      <c r="M507" s="37" t="s">
        <v>175</v>
      </c>
    </row>
    <row r="508" customFormat="false" ht="42" hidden="false" customHeight="true" outlineLevel="0" collapsed="false">
      <c r="A508" s="37" t="s">
        <v>133</v>
      </c>
      <c r="B508" s="37" t="s">
        <v>167</v>
      </c>
      <c r="C508" s="38" t="n">
        <v>3</v>
      </c>
      <c r="D508" s="37" t="s">
        <v>168</v>
      </c>
      <c r="E508" s="37" t="s">
        <v>169</v>
      </c>
      <c r="F508" s="37" t="s">
        <v>170</v>
      </c>
      <c r="G508" s="39" t="n">
        <v>0.14285714</v>
      </c>
      <c r="H508" s="37" t="s">
        <v>171</v>
      </c>
      <c r="I508" s="37" t="s">
        <v>172</v>
      </c>
      <c r="J508" s="37" t="s">
        <v>173</v>
      </c>
      <c r="K508" s="37" t="s">
        <v>174</v>
      </c>
      <c r="L508" s="37" t="n">
        <v>0</v>
      </c>
      <c r="M508" s="37" t="s">
        <v>175</v>
      </c>
    </row>
    <row r="509" customFormat="false" ht="42" hidden="false" customHeight="true" outlineLevel="0" collapsed="false">
      <c r="A509" s="37" t="s">
        <v>133</v>
      </c>
      <c r="B509" s="37" t="s">
        <v>167</v>
      </c>
      <c r="C509" s="38" t="n">
        <v>4</v>
      </c>
      <c r="D509" s="37" t="s">
        <v>183</v>
      </c>
      <c r="E509" s="37" t="s">
        <v>184</v>
      </c>
      <c r="F509" s="37" t="s">
        <v>178</v>
      </c>
      <c r="G509" s="39" t="n">
        <v>0.14285714</v>
      </c>
      <c r="H509" s="37" t="s">
        <v>185</v>
      </c>
      <c r="I509" s="37" t="s">
        <v>186</v>
      </c>
      <c r="J509" s="37" t="s">
        <v>187</v>
      </c>
      <c r="K509" s="37" t="s">
        <v>188</v>
      </c>
      <c r="L509" s="37" t="n">
        <v>0</v>
      </c>
      <c r="M509" s="37" t="s">
        <v>175</v>
      </c>
    </row>
    <row r="510" customFormat="false" ht="42" hidden="false" customHeight="true" outlineLevel="0" collapsed="false">
      <c r="A510" s="37" t="s">
        <v>133</v>
      </c>
      <c r="B510" s="37" t="s">
        <v>167</v>
      </c>
      <c r="C510" s="38" t="n">
        <v>5</v>
      </c>
      <c r="D510" s="37" t="s">
        <v>220</v>
      </c>
      <c r="E510" s="37" t="s">
        <v>262</v>
      </c>
      <c r="F510" s="37" t="s">
        <v>197</v>
      </c>
      <c r="G510" s="39" t="n">
        <v>0.14285714</v>
      </c>
      <c r="H510" s="37" t="s">
        <v>221</v>
      </c>
      <c r="I510" s="37" t="s">
        <v>222</v>
      </c>
      <c r="J510" s="37" t="s">
        <v>263</v>
      </c>
      <c r="K510" s="37" t="s">
        <v>224</v>
      </c>
      <c r="L510" s="37" t="n">
        <v>0</v>
      </c>
      <c r="M510" s="37" t="s">
        <v>175</v>
      </c>
    </row>
    <row r="511" customFormat="false" ht="42" hidden="false" customHeight="true" outlineLevel="0" collapsed="false">
      <c r="A511" s="37" t="s">
        <v>133</v>
      </c>
      <c r="B511" s="37" t="s">
        <v>201</v>
      </c>
      <c r="C511" s="38" t="n">
        <v>1</v>
      </c>
      <c r="D511" s="37" t="s">
        <v>189</v>
      </c>
      <c r="E511" s="37" t="s">
        <v>190</v>
      </c>
      <c r="F511" s="37" t="s">
        <v>170</v>
      </c>
      <c r="G511" s="39" t="n">
        <v>0.21588209</v>
      </c>
      <c r="H511" s="37" t="s">
        <v>191</v>
      </c>
      <c r="I511" s="37" t="s">
        <v>192</v>
      </c>
      <c r="J511" s="37" t="s">
        <v>193</v>
      </c>
      <c r="K511" s="37" t="s">
        <v>194</v>
      </c>
      <c r="L511" s="37" t="n">
        <v>0</v>
      </c>
      <c r="M511" s="37" t="s">
        <v>175</v>
      </c>
    </row>
    <row r="512" customFormat="false" ht="42" hidden="false" customHeight="true" outlineLevel="0" collapsed="false">
      <c r="A512" s="37" t="s">
        <v>133</v>
      </c>
      <c r="B512" s="37" t="s">
        <v>201</v>
      </c>
      <c r="C512" s="38" t="n">
        <v>2</v>
      </c>
      <c r="D512" s="37" t="s">
        <v>183</v>
      </c>
      <c r="E512" s="37" t="s">
        <v>184</v>
      </c>
      <c r="F512" s="37" t="s">
        <v>178</v>
      </c>
      <c r="G512" s="39" t="n">
        <v>0.20457848</v>
      </c>
      <c r="H512" s="37" t="s">
        <v>185</v>
      </c>
      <c r="I512" s="37" t="s">
        <v>186</v>
      </c>
      <c r="J512" s="37" t="s">
        <v>187</v>
      </c>
      <c r="K512" s="37" t="s">
        <v>188</v>
      </c>
      <c r="L512" s="37" t="n">
        <v>0</v>
      </c>
      <c r="M512" s="37" t="s">
        <v>175</v>
      </c>
    </row>
    <row r="513" customFormat="false" ht="42" hidden="false" customHeight="true" outlineLevel="0" collapsed="false">
      <c r="A513" s="37" t="s">
        <v>133</v>
      </c>
      <c r="B513" s="37" t="s">
        <v>201</v>
      </c>
      <c r="C513" s="38" t="n">
        <v>3</v>
      </c>
      <c r="D513" s="37" t="s">
        <v>202</v>
      </c>
      <c r="E513" s="37" t="s">
        <v>20</v>
      </c>
      <c r="F513" s="37" t="s">
        <v>170</v>
      </c>
      <c r="G513" s="39" t="n">
        <v>0.20393116</v>
      </c>
      <c r="H513" s="37" t="s">
        <v>203</v>
      </c>
      <c r="I513" s="37" t="s">
        <v>204</v>
      </c>
      <c r="J513" s="37" t="s">
        <v>205</v>
      </c>
      <c r="K513" s="37" t="s">
        <v>206</v>
      </c>
      <c r="L513" s="37" t="n">
        <v>3</v>
      </c>
      <c r="M513" s="37" t="s">
        <v>207</v>
      </c>
    </row>
    <row r="514" customFormat="false" ht="42" hidden="false" customHeight="true" outlineLevel="0" collapsed="false">
      <c r="A514" s="37" t="s">
        <v>133</v>
      </c>
      <c r="B514" s="37" t="s">
        <v>201</v>
      </c>
      <c r="C514" s="38" t="n">
        <v>4</v>
      </c>
      <c r="D514" s="37" t="s">
        <v>208</v>
      </c>
      <c r="E514" s="37" t="s">
        <v>209</v>
      </c>
      <c r="F514" s="37" t="s">
        <v>170</v>
      </c>
      <c r="G514" s="39" t="n">
        <v>0.16595252</v>
      </c>
      <c r="H514" s="37" t="s">
        <v>210</v>
      </c>
      <c r="I514" s="37" t="s">
        <v>186</v>
      </c>
      <c r="J514" s="37" t="s">
        <v>211</v>
      </c>
      <c r="K514" s="37" t="s">
        <v>188</v>
      </c>
      <c r="L514" s="37" t="n">
        <v>0</v>
      </c>
      <c r="M514" s="37" t="s">
        <v>175</v>
      </c>
    </row>
    <row r="515" customFormat="false" ht="42" hidden="false" customHeight="true" outlineLevel="0" collapsed="false">
      <c r="A515" s="37" t="s">
        <v>133</v>
      </c>
      <c r="B515" s="37" t="s">
        <v>201</v>
      </c>
      <c r="C515" s="38" t="n">
        <v>5</v>
      </c>
      <c r="D515" s="37" t="s">
        <v>220</v>
      </c>
      <c r="E515" s="37" t="s">
        <v>262</v>
      </c>
      <c r="F515" s="37" t="s">
        <v>197</v>
      </c>
      <c r="G515" s="39" t="n">
        <v>0.16249256</v>
      </c>
      <c r="H515" s="37" t="s">
        <v>221</v>
      </c>
      <c r="I515" s="37" t="s">
        <v>222</v>
      </c>
      <c r="J515" s="37" t="s">
        <v>263</v>
      </c>
      <c r="K515" s="37" t="s">
        <v>224</v>
      </c>
      <c r="L515" s="37" t="n">
        <v>0</v>
      </c>
      <c r="M515" s="37" t="s">
        <v>175</v>
      </c>
    </row>
    <row r="516" customFormat="false" ht="42" hidden="false" customHeight="true" outlineLevel="0" collapsed="false">
      <c r="A516" s="37" t="s">
        <v>133</v>
      </c>
      <c r="B516" s="37" t="s">
        <v>212</v>
      </c>
      <c r="C516" s="38" t="n">
        <v>1</v>
      </c>
      <c r="D516" s="37" t="s">
        <v>183</v>
      </c>
      <c r="E516" s="37" t="s">
        <v>184</v>
      </c>
      <c r="F516" s="37" t="s">
        <v>178</v>
      </c>
      <c r="G516" s="39" t="n">
        <v>0.03207661</v>
      </c>
      <c r="H516" s="37" t="s">
        <v>185</v>
      </c>
      <c r="I516" s="37" t="s">
        <v>186</v>
      </c>
      <c r="J516" s="37" t="s">
        <v>187</v>
      </c>
      <c r="K516" s="37" t="s">
        <v>188</v>
      </c>
      <c r="L516" s="37" t="n">
        <v>0</v>
      </c>
      <c r="M516" s="37" t="s">
        <v>175</v>
      </c>
    </row>
    <row r="517" customFormat="false" ht="42" hidden="false" customHeight="true" outlineLevel="0" collapsed="false">
      <c r="A517" s="37" t="s">
        <v>133</v>
      </c>
      <c r="B517" s="37" t="s">
        <v>212</v>
      </c>
      <c r="C517" s="38" t="n">
        <v>2</v>
      </c>
      <c r="D517" s="37" t="s">
        <v>189</v>
      </c>
      <c r="E517" s="37" t="s">
        <v>190</v>
      </c>
      <c r="F517" s="37" t="s">
        <v>170</v>
      </c>
      <c r="G517" s="39" t="n">
        <v>0.03187283</v>
      </c>
      <c r="H517" s="37" t="s">
        <v>191</v>
      </c>
      <c r="I517" s="37" t="s">
        <v>192</v>
      </c>
      <c r="J517" s="37" t="s">
        <v>193</v>
      </c>
      <c r="K517" s="37" t="s">
        <v>194</v>
      </c>
      <c r="L517" s="37" t="n">
        <v>0</v>
      </c>
      <c r="M517" s="37" t="s">
        <v>175</v>
      </c>
    </row>
    <row r="518" customFormat="false" ht="42" hidden="false" customHeight="true" outlineLevel="0" collapsed="false">
      <c r="A518" s="37" t="s">
        <v>133</v>
      </c>
      <c r="B518" s="37" t="s">
        <v>212</v>
      </c>
      <c r="C518" s="38" t="n">
        <v>3</v>
      </c>
      <c r="D518" s="37" t="s">
        <v>220</v>
      </c>
      <c r="E518" s="37" t="s">
        <v>262</v>
      </c>
      <c r="F518" s="37" t="s">
        <v>197</v>
      </c>
      <c r="G518" s="39" t="n">
        <v>0.03107692</v>
      </c>
      <c r="H518" s="37" t="s">
        <v>221</v>
      </c>
      <c r="I518" s="37" t="s">
        <v>222</v>
      </c>
      <c r="J518" s="37" t="s">
        <v>263</v>
      </c>
      <c r="K518" s="37" t="s">
        <v>224</v>
      </c>
      <c r="L518" s="37" t="n">
        <v>0</v>
      </c>
      <c r="M518" s="37" t="s">
        <v>175</v>
      </c>
    </row>
    <row r="519" customFormat="false" ht="42" hidden="false" customHeight="true" outlineLevel="0" collapsed="false">
      <c r="A519" s="37" t="s">
        <v>133</v>
      </c>
      <c r="B519" s="37" t="s">
        <v>212</v>
      </c>
      <c r="C519" s="38" t="n">
        <v>4</v>
      </c>
      <c r="D519" s="37" t="s">
        <v>168</v>
      </c>
      <c r="E519" s="37" t="s">
        <v>169</v>
      </c>
      <c r="F519" s="37" t="s">
        <v>170</v>
      </c>
      <c r="G519" s="39" t="n">
        <v>0.03044444</v>
      </c>
      <c r="H519" s="37" t="s">
        <v>171</v>
      </c>
      <c r="I519" s="37" t="s">
        <v>172</v>
      </c>
      <c r="J519" s="37" t="s">
        <v>173</v>
      </c>
      <c r="K519" s="37" t="s">
        <v>174</v>
      </c>
      <c r="L519" s="37" t="n">
        <v>0</v>
      </c>
      <c r="M519" s="37" t="s">
        <v>175</v>
      </c>
    </row>
    <row r="520" customFormat="false" ht="42" hidden="false" customHeight="true" outlineLevel="0" collapsed="false">
      <c r="A520" s="37" t="s">
        <v>133</v>
      </c>
      <c r="B520" s="37" t="s">
        <v>212</v>
      </c>
      <c r="C520" s="38" t="n">
        <v>5</v>
      </c>
      <c r="D520" s="37" t="s">
        <v>269</v>
      </c>
      <c r="E520" s="37" t="s">
        <v>270</v>
      </c>
      <c r="F520" s="37" t="s">
        <v>170</v>
      </c>
      <c r="G520" s="39" t="n">
        <v>0.02970798</v>
      </c>
      <c r="H520" s="37" t="s">
        <v>271</v>
      </c>
      <c r="I520" s="37" t="s">
        <v>272</v>
      </c>
      <c r="J520" s="37" t="s">
        <v>273</v>
      </c>
      <c r="K520" s="37" t="s">
        <v>274</v>
      </c>
      <c r="L520" s="37" t="n">
        <v>0</v>
      </c>
      <c r="M520" s="37" t="s">
        <v>175</v>
      </c>
    </row>
    <row r="521" customFormat="false" ht="42" hidden="false" customHeight="true" outlineLevel="0" collapsed="false">
      <c r="A521" s="37" t="s">
        <v>133</v>
      </c>
      <c r="B521" s="37" t="s">
        <v>219</v>
      </c>
      <c r="C521" s="38" t="n">
        <v>1</v>
      </c>
      <c r="D521" s="37" t="s">
        <v>278</v>
      </c>
      <c r="E521" s="37" t="s">
        <v>292</v>
      </c>
      <c r="F521" s="37" t="s">
        <v>197</v>
      </c>
      <c r="G521" s="39" t="n">
        <v>0.15491803</v>
      </c>
      <c r="H521" s="37" t="s">
        <v>280</v>
      </c>
      <c r="I521" s="37" t="s">
        <v>281</v>
      </c>
      <c r="J521" s="37" t="s">
        <v>293</v>
      </c>
      <c r="K521" s="37" t="s">
        <v>283</v>
      </c>
      <c r="L521" s="37" t="n">
        <v>3</v>
      </c>
      <c r="M521" s="37" t="s">
        <v>207</v>
      </c>
    </row>
    <row r="522" customFormat="false" ht="42" hidden="false" customHeight="true" outlineLevel="0" collapsed="false">
      <c r="A522" s="37" t="s">
        <v>133</v>
      </c>
      <c r="B522" s="37" t="s">
        <v>219</v>
      </c>
      <c r="C522" s="38" t="n">
        <v>2</v>
      </c>
      <c r="D522" s="37" t="s">
        <v>183</v>
      </c>
      <c r="E522" s="37" t="s">
        <v>184</v>
      </c>
      <c r="F522" s="37" t="s">
        <v>178</v>
      </c>
      <c r="G522" s="39" t="n">
        <v>0.10962298</v>
      </c>
      <c r="H522" s="37" t="s">
        <v>185</v>
      </c>
      <c r="I522" s="37" t="s">
        <v>186</v>
      </c>
      <c r="J522" s="37" t="s">
        <v>187</v>
      </c>
      <c r="K522" s="37" t="s">
        <v>188</v>
      </c>
      <c r="L522" s="37" t="n">
        <v>0</v>
      </c>
      <c r="M522" s="37" t="s">
        <v>175</v>
      </c>
    </row>
    <row r="523" customFormat="false" ht="42" hidden="false" customHeight="true" outlineLevel="0" collapsed="false">
      <c r="A523" s="37" t="s">
        <v>133</v>
      </c>
      <c r="B523" s="37" t="s">
        <v>219</v>
      </c>
      <c r="C523" s="38" t="n">
        <v>3</v>
      </c>
      <c r="D523" s="37" t="s">
        <v>189</v>
      </c>
      <c r="E523" s="37" t="s">
        <v>190</v>
      </c>
      <c r="F523" s="37" t="s">
        <v>170</v>
      </c>
      <c r="G523" s="39" t="n">
        <v>0.10956185</v>
      </c>
      <c r="H523" s="37" t="s">
        <v>191</v>
      </c>
      <c r="I523" s="37" t="s">
        <v>192</v>
      </c>
      <c r="J523" s="37" t="s">
        <v>193</v>
      </c>
      <c r="K523" s="37" t="s">
        <v>194</v>
      </c>
      <c r="L523" s="37" t="n">
        <v>0</v>
      </c>
      <c r="M523" s="37" t="s">
        <v>175</v>
      </c>
    </row>
    <row r="524" customFormat="false" ht="42" hidden="false" customHeight="true" outlineLevel="0" collapsed="false">
      <c r="A524" s="37" t="s">
        <v>133</v>
      </c>
      <c r="B524" s="37" t="s">
        <v>219</v>
      </c>
      <c r="C524" s="38" t="n">
        <v>4</v>
      </c>
      <c r="D524" s="37" t="s">
        <v>220</v>
      </c>
      <c r="E524" s="37" t="s">
        <v>262</v>
      </c>
      <c r="F524" s="37" t="s">
        <v>197</v>
      </c>
      <c r="G524" s="39" t="n">
        <v>0.10932308</v>
      </c>
      <c r="H524" s="37" t="s">
        <v>221</v>
      </c>
      <c r="I524" s="37" t="s">
        <v>222</v>
      </c>
      <c r="J524" s="37" t="s">
        <v>263</v>
      </c>
      <c r="K524" s="37" t="s">
        <v>224</v>
      </c>
      <c r="L524" s="37" t="n">
        <v>0</v>
      </c>
      <c r="M524" s="37" t="s">
        <v>175</v>
      </c>
    </row>
    <row r="525" customFormat="false" ht="42" hidden="false" customHeight="true" outlineLevel="0" collapsed="false">
      <c r="A525" s="37" t="s">
        <v>133</v>
      </c>
      <c r="B525" s="37" t="s">
        <v>219</v>
      </c>
      <c r="C525" s="38" t="n">
        <v>5</v>
      </c>
      <c r="D525" s="37" t="s">
        <v>168</v>
      </c>
      <c r="E525" s="37" t="s">
        <v>169</v>
      </c>
      <c r="F525" s="37" t="s">
        <v>170</v>
      </c>
      <c r="G525" s="39" t="n">
        <v>0.10913333</v>
      </c>
      <c r="H525" s="37" t="s">
        <v>171</v>
      </c>
      <c r="I525" s="37" t="s">
        <v>172</v>
      </c>
      <c r="J525" s="37" t="s">
        <v>173</v>
      </c>
      <c r="K525" s="37" t="s">
        <v>174</v>
      </c>
      <c r="L525" s="37" t="n">
        <v>0</v>
      </c>
      <c r="M525" s="37" t="s">
        <v>175</v>
      </c>
    </row>
    <row r="526" customFormat="false" ht="42" hidden="false" customHeight="true" outlineLevel="0" collapsed="false">
      <c r="A526" s="37" t="s">
        <v>137</v>
      </c>
      <c r="B526" s="37" t="s">
        <v>167</v>
      </c>
      <c r="C526" s="38" t="n">
        <v>1</v>
      </c>
      <c r="D526" s="37" t="s">
        <v>225</v>
      </c>
      <c r="E526" s="37" t="s">
        <v>378</v>
      </c>
      <c r="F526" s="37" t="s">
        <v>276</v>
      </c>
      <c r="G526" s="39" t="n">
        <v>0.5</v>
      </c>
      <c r="H526" s="37" t="s">
        <v>227</v>
      </c>
      <c r="I526" s="37" t="s">
        <v>228</v>
      </c>
      <c r="J526" s="37" t="s">
        <v>379</v>
      </c>
      <c r="K526" s="37" t="s">
        <v>230</v>
      </c>
      <c r="L526" s="37" t="n">
        <v>0</v>
      </c>
      <c r="M526" s="37" t="s">
        <v>175</v>
      </c>
    </row>
    <row r="527" customFormat="false" ht="42" hidden="false" customHeight="true" outlineLevel="0" collapsed="false">
      <c r="A527" s="37" t="s">
        <v>137</v>
      </c>
      <c r="B527" s="37" t="s">
        <v>167</v>
      </c>
      <c r="C527" s="38" t="n">
        <v>2</v>
      </c>
      <c r="D527" s="37" t="s">
        <v>237</v>
      </c>
      <c r="E527" s="37" t="s">
        <v>238</v>
      </c>
      <c r="F527" s="37" t="s">
        <v>197</v>
      </c>
      <c r="G527" s="39" t="n">
        <v>0.5</v>
      </c>
      <c r="H527" s="37" t="s">
        <v>239</v>
      </c>
      <c r="I527" s="37" t="s">
        <v>240</v>
      </c>
      <c r="J527" s="37" t="s">
        <v>241</v>
      </c>
      <c r="K527" s="37" t="s">
        <v>230</v>
      </c>
      <c r="L527" s="37" t="n">
        <v>0</v>
      </c>
      <c r="M527" s="37" t="s">
        <v>175</v>
      </c>
    </row>
    <row r="528" customFormat="false" ht="42" hidden="false" customHeight="true" outlineLevel="0" collapsed="false">
      <c r="A528" s="37" t="s">
        <v>137</v>
      </c>
      <c r="B528" s="37" t="s">
        <v>167</v>
      </c>
      <c r="C528" s="38" t="n">
        <v>3</v>
      </c>
      <c r="D528" s="37" t="s">
        <v>256</v>
      </c>
      <c r="E528" s="37" t="s">
        <v>354</v>
      </c>
      <c r="F528" s="37" t="s">
        <v>178</v>
      </c>
      <c r="G528" s="39" t="n">
        <v>0.4</v>
      </c>
      <c r="H528" s="37" t="s">
        <v>258</v>
      </c>
      <c r="I528" s="37" t="s">
        <v>259</v>
      </c>
      <c r="J528" s="37" t="s">
        <v>355</v>
      </c>
      <c r="K528" s="37" t="s">
        <v>261</v>
      </c>
      <c r="L528" s="37" t="n">
        <v>0</v>
      </c>
      <c r="M528" s="37" t="s">
        <v>175</v>
      </c>
    </row>
    <row r="529" customFormat="false" ht="42" hidden="false" customHeight="true" outlineLevel="0" collapsed="false">
      <c r="A529" s="37" t="s">
        <v>137</v>
      </c>
      <c r="B529" s="37" t="s">
        <v>167</v>
      </c>
      <c r="C529" s="38" t="n">
        <v>4</v>
      </c>
      <c r="D529" s="37" t="s">
        <v>168</v>
      </c>
      <c r="E529" s="37" t="s">
        <v>398</v>
      </c>
      <c r="F529" s="37" t="s">
        <v>197</v>
      </c>
      <c r="G529" s="39" t="n">
        <v>0.4</v>
      </c>
      <c r="H529" s="37" t="s">
        <v>171</v>
      </c>
      <c r="I529" s="37" t="s">
        <v>172</v>
      </c>
      <c r="J529" s="37" t="s">
        <v>399</v>
      </c>
      <c r="K529" s="37" t="s">
        <v>174</v>
      </c>
      <c r="L529" s="37" t="n">
        <v>3</v>
      </c>
      <c r="M529" s="37" t="s">
        <v>207</v>
      </c>
    </row>
    <row r="530" customFormat="false" ht="42" hidden="false" customHeight="true" outlineLevel="0" collapsed="false">
      <c r="A530" s="37" t="s">
        <v>137</v>
      </c>
      <c r="B530" s="37" t="s">
        <v>167</v>
      </c>
      <c r="C530" s="38" t="n">
        <v>5</v>
      </c>
      <c r="D530" s="37" t="s">
        <v>220</v>
      </c>
      <c r="E530" s="37" t="s">
        <v>262</v>
      </c>
      <c r="F530" s="37" t="s">
        <v>197</v>
      </c>
      <c r="G530" s="39" t="n">
        <v>0.4</v>
      </c>
      <c r="H530" s="37" t="s">
        <v>221</v>
      </c>
      <c r="I530" s="37" t="s">
        <v>222</v>
      </c>
      <c r="J530" s="37" t="s">
        <v>263</v>
      </c>
      <c r="K530" s="37" t="s">
        <v>224</v>
      </c>
      <c r="L530" s="37" t="n">
        <v>0</v>
      </c>
      <c r="M530" s="37" t="s">
        <v>175</v>
      </c>
    </row>
    <row r="531" customFormat="false" ht="42" hidden="false" customHeight="true" outlineLevel="0" collapsed="false">
      <c r="A531" s="37" t="s">
        <v>137</v>
      </c>
      <c r="B531" s="37" t="s">
        <v>201</v>
      </c>
      <c r="C531" s="38" t="n">
        <v>1</v>
      </c>
      <c r="D531" s="37" t="s">
        <v>346</v>
      </c>
      <c r="E531" s="37" t="s">
        <v>400</v>
      </c>
      <c r="F531" s="37" t="s">
        <v>265</v>
      </c>
      <c r="G531" s="39" t="n">
        <v>0.35775247</v>
      </c>
      <c r="H531" s="37" t="s">
        <v>348</v>
      </c>
      <c r="I531" s="37" t="s">
        <v>349</v>
      </c>
      <c r="J531" s="37" t="s">
        <v>401</v>
      </c>
      <c r="K531" s="37" t="s">
        <v>351</v>
      </c>
      <c r="L531" s="37" t="n">
        <v>0</v>
      </c>
      <c r="M531" s="37" t="s">
        <v>175</v>
      </c>
    </row>
    <row r="532" customFormat="false" ht="42" hidden="false" customHeight="true" outlineLevel="0" collapsed="false">
      <c r="A532" s="37" t="s">
        <v>137</v>
      </c>
      <c r="B532" s="37" t="s">
        <v>201</v>
      </c>
      <c r="C532" s="38" t="n">
        <v>2</v>
      </c>
      <c r="D532" s="37" t="s">
        <v>225</v>
      </c>
      <c r="E532" s="37" t="s">
        <v>378</v>
      </c>
      <c r="F532" s="37" t="s">
        <v>276</v>
      </c>
      <c r="G532" s="39" t="n">
        <v>0.32615271</v>
      </c>
      <c r="H532" s="37" t="s">
        <v>227</v>
      </c>
      <c r="I532" s="37" t="s">
        <v>228</v>
      </c>
      <c r="J532" s="37" t="s">
        <v>379</v>
      </c>
      <c r="K532" s="37" t="s">
        <v>230</v>
      </c>
      <c r="L532" s="37" t="n">
        <v>0</v>
      </c>
      <c r="M532" s="37" t="s">
        <v>175</v>
      </c>
    </row>
    <row r="533" customFormat="false" ht="42" hidden="false" customHeight="true" outlineLevel="0" collapsed="false">
      <c r="A533" s="37" t="s">
        <v>137</v>
      </c>
      <c r="B533" s="37" t="s">
        <v>201</v>
      </c>
      <c r="C533" s="38" t="n">
        <v>3</v>
      </c>
      <c r="D533" s="37" t="s">
        <v>299</v>
      </c>
      <c r="E533" s="37" t="s">
        <v>356</v>
      </c>
      <c r="F533" s="37" t="s">
        <v>178</v>
      </c>
      <c r="G533" s="39" t="n">
        <v>0.31614534</v>
      </c>
      <c r="H533" s="37" t="s">
        <v>301</v>
      </c>
      <c r="I533" s="37" t="s">
        <v>302</v>
      </c>
      <c r="J533" s="37" t="s">
        <v>357</v>
      </c>
      <c r="K533" s="37" t="s">
        <v>304</v>
      </c>
      <c r="L533" s="37" t="n">
        <v>0</v>
      </c>
      <c r="M533" s="37" t="s">
        <v>175</v>
      </c>
    </row>
    <row r="534" customFormat="false" ht="42" hidden="false" customHeight="true" outlineLevel="0" collapsed="false">
      <c r="A534" s="37" t="s">
        <v>137</v>
      </c>
      <c r="B534" s="37" t="s">
        <v>201</v>
      </c>
      <c r="C534" s="38" t="n">
        <v>4</v>
      </c>
      <c r="D534" s="37" t="s">
        <v>360</v>
      </c>
      <c r="E534" s="37" t="s">
        <v>402</v>
      </c>
      <c r="F534" s="37" t="s">
        <v>178</v>
      </c>
      <c r="G534" s="39" t="n">
        <v>0.31443816</v>
      </c>
      <c r="H534" s="37" t="s">
        <v>362</v>
      </c>
      <c r="I534" s="37" t="s">
        <v>192</v>
      </c>
      <c r="J534" s="37" t="s">
        <v>403</v>
      </c>
      <c r="K534" s="37" t="s">
        <v>364</v>
      </c>
      <c r="L534" s="37" t="n">
        <v>0</v>
      </c>
      <c r="M534" s="37" t="s">
        <v>175</v>
      </c>
    </row>
    <row r="535" customFormat="false" ht="42" hidden="false" customHeight="true" outlineLevel="0" collapsed="false">
      <c r="A535" s="37" t="s">
        <v>137</v>
      </c>
      <c r="B535" s="37" t="s">
        <v>201</v>
      </c>
      <c r="C535" s="38" t="n">
        <v>5</v>
      </c>
      <c r="D535" s="37" t="s">
        <v>316</v>
      </c>
      <c r="E535" s="37" t="s">
        <v>358</v>
      </c>
      <c r="F535" s="37" t="s">
        <v>178</v>
      </c>
      <c r="G535" s="39" t="n">
        <v>0.30662194</v>
      </c>
      <c r="H535" s="37" t="s">
        <v>318</v>
      </c>
      <c r="I535" s="37" t="s">
        <v>302</v>
      </c>
      <c r="J535" s="37" t="s">
        <v>359</v>
      </c>
      <c r="K535" s="37" t="s">
        <v>304</v>
      </c>
      <c r="L535" s="37" t="n">
        <v>0</v>
      </c>
      <c r="M535" s="37" t="s">
        <v>175</v>
      </c>
    </row>
    <row r="536" customFormat="false" ht="42" hidden="false" customHeight="true" outlineLevel="0" collapsed="false">
      <c r="A536" s="37" t="s">
        <v>137</v>
      </c>
      <c r="B536" s="37" t="s">
        <v>212</v>
      </c>
      <c r="C536" s="38" t="n">
        <v>1</v>
      </c>
      <c r="D536" s="37" t="s">
        <v>225</v>
      </c>
      <c r="E536" s="37" t="s">
        <v>378</v>
      </c>
      <c r="F536" s="37" t="s">
        <v>276</v>
      </c>
      <c r="G536" s="39" t="n">
        <v>0.03284506</v>
      </c>
      <c r="H536" s="37" t="s">
        <v>227</v>
      </c>
      <c r="I536" s="37" t="s">
        <v>228</v>
      </c>
      <c r="J536" s="37" t="s">
        <v>379</v>
      </c>
      <c r="K536" s="37" t="s">
        <v>230</v>
      </c>
      <c r="L536" s="37" t="n">
        <v>0</v>
      </c>
      <c r="M536" s="37" t="s">
        <v>175</v>
      </c>
    </row>
    <row r="537" customFormat="false" ht="42" hidden="false" customHeight="true" outlineLevel="0" collapsed="false">
      <c r="A537" s="37" t="s">
        <v>137</v>
      </c>
      <c r="B537" s="37" t="s">
        <v>212</v>
      </c>
      <c r="C537" s="38" t="n">
        <v>2</v>
      </c>
      <c r="D537" s="37" t="s">
        <v>360</v>
      </c>
      <c r="E537" s="37" t="s">
        <v>402</v>
      </c>
      <c r="F537" s="37" t="s">
        <v>178</v>
      </c>
      <c r="G537" s="39" t="n">
        <v>0.03064338</v>
      </c>
      <c r="H537" s="37" t="s">
        <v>362</v>
      </c>
      <c r="I537" s="37" t="s">
        <v>192</v>
      </c>
      <c r="J537" s="37" t="s">
        <v>403</v>
      </c>
      <c r="K537" s="37" t="s">
        <v>364</v>
      </c>
      <c r="L537" s="37" t="n">
        <v>0</v>
      </c>
      <c r="M537" s="37" t="s">
        <v>175</v>
      </c>
    </row>
    <row r="538" customFormat="false" ht="42" hidden="false" customHeight="true" outlineLevel="0" collapsed="false">
      <c r="A538" s="37" t="s">
        <v>137</v>
      </c>
      <c r="B538" s="37" t="s">
        <v>212</v>
      </c>
      <c r="C538" s="38" t="n">
        <v>3</v>
      </c>
      <c r="D538" s="37" t="s">
        <v>168</v>
      </c>
      <c r="E538" s="37" t="s">
        <v>398</v>
      </c>
      <c r="F538" s="37" t="s">
        <v>197</v>
      </c>
      <c r="G538" s="39" t="n">
        <v>0.030625</v>
      </c>
      <c r="H538" s="37" t="s">
        <v>171</v>
      </c>
      <c r="I538" s="37" t="s">
        <v>172</v>
      </c>
      <c r="J538" s="37" t="s">
        <v>399</v>
      </c>
      <c r="K538" s="37" t="s">
        <v>174</v>
      </c>
      <c r="L538" s="37" t="n">
        <v>3</v>
      </c>
      <c r="M538" s="37" t="s">
        <v>207</v>
      </c>
    </row>
    <row r="539" customFormat="false" ht="42" hidden="false" customHeight="true" outlineLevel="0" collapsed="false">
      <c r="A539" s="37" t="s">
        <v>137</v>
      </c>
      <c r="B539" s="37" t="s">
        <v>212</v>
      </c>
      <c r="C539" s="38" t="n">
        <v>4</v>
      </c>
      <c r="D539" s="37" t="s">
        <v>256</v>
      </c>
      <c r="E539" s="37" t="s">
        <v>354</v>
      </c>
      <c r="F539" s="37" t="s">
        <v>178</v>
      </c>
      <c r="G539" s="39" t="n">
        <v>0.03044444</v>
      </c>
      <c r="H539" s="37" t="s">
        <v>258</v>
      </c>
      <c r="I539" s="37" t="s">
        <v>259</v>
      </c>
      <c r="J539" s="37" t="s">
        <v>355</v>
      </c>
      <c r="K539" s="37" t="s">
        <v>261</v>
      </c>
      <c r="L539" s="37" t="n">
        <v>0</v>
      </c>
      <c r="M539" s="37" t="s">
        <v>175</v>
      </c>
    </row>
    <row r="540" customFormat="false" ht="42" hidden="false" customHeight="true" outlineLevel="0" collapsed="false">
      <c r="A540" s="37" t="s">
        <v>137</v>
      </c>
      <c r="B540" s="37" t="s">
        <v>212</v>
      </c>
      <c r="C540" s="38" t="n">
        <v>5</v>
      </c>
      <c r="D540" s="37" t="s">
        <v>202</v>
      </c>
      <c r="E540" s="37" t="s">
        <v>20</v>
      </c>
      <c r="F540" s="37" t="s">
        <v>170</v>
      </c>
      <c r="G540" s="39" t="n">
        <v>0.02971663</v>
      </c>
      <c r="H540" s="37" t="s">
        <v>203</v>
      </c>
      <c r="I540" s="37" t="s">
        <v>204</v>
      </c>
      <c r="J540" s="37" t="s">
        <v>205</v>
      </c>
      <c r="K540" s="37" t="s">
        <v>206</v>
      </c>
      <c r="L540" s="37" t="n">
        <v>3</v>
      </c>
      <c r="M540" s="37" t="s">
        <v>207</v>
      </c>
    </row>
    <row r="541" customFormat="false" ht="42" hidden="false" customHeight="true" outlineLevel="0" collapsed="false">
      <c r="A541" s="37" t="s">
        <v>137</v>
      </c>
      <c r="B541" s="37" t="s">
        <v>219</v>
      </c>
      <c r="C541" s="38" t="n">
        <v>1</v>
      </c>
      <c r="D541" s="37" t="s">
        <v>225</v>
      </c>
      <c r="E541" s="37" t="s">
        <v>378</v>
      </c>
      <c r="F541" s="37" t="s">
        <v>276</v>
      </c>
      <c r="G541" s="39" t="n">
        <v>0.35985352</v>
      </c>
      <c r="H541" s="37" t="s">
        <v>227</v>
      </c>
      <c r="I541" s="37" t="s">
        <v>228</v>
      </c>
      <c r="J541" s="37" t="s">
        <v>379</v>
      </c>
      <c r="K541" s="37" t="s">
        <v>230</v>
      </c>
      <c r="L541" s="37" t="n">
        <v>0</v>
      </c>
      <c r="M541" s="37" t="s">
        <v>175</v>
      </c>
    </row>
    <row r="542" customFormat="false" ht="42" hidden="false" customHeight="true" outlineLevel="0" collapsed="false">
      <c r="A542" s="37" t="s">
        <v>137</v>
      </c>
      <c r="B542" s="37" t="s">
        <v>219</v>
      </c>
      <c r="C542" s="38" t="n">
        <v>2</v>
      </c>
      <c r="D542" s="37" t="s">
        <v>237</v>
      </c>
      <c r="E542" s="37" t="s">
        <v>238</v>
      </c>
      <c r="F542" s="37" t="s">
        <v>197</v>
      </c>
      <c r="G542" s="39" t="n">
        <v>0.35483871</v>
      </c>
      <c r="H542" s="37" t="s">
        <v>239</v>
      </c>
      <c r="I542" s="37" t="s">
        <v>240</v>
      </c>
      <c r="J542" s="37" t="s">
        <v>241</v>
      </c>
      <c r="K542" s="37" t="s">
        <v>230</v>
      </c>
      <c r="L542" s="37" t="n">
        <v>0</v>
      </c>
      <c r="M542" s="37" t="s">
        <v>175</v>
      </c>
    </row>
    <row r="543" customFormat="false" ht="42" hidden="false" customHeight="true" outlineLevel="0" collapsed="false">
      <c r="A543" s="37" t="s">
        <v>137</v>
      </c>
      <c r="B543" s="37" t="s">
        <v>219</v>
      </c>
      <c r="C543" s="38" t="n">
        <v>3</v>
      </c>
      <c r="D543" s="37" t="s">
        <v>168</v>
      </c>
      <c r="E543" s="37" t="s">
        <v>398</v>
      </c>
      <c r="F543" s="37" t="s">
        <v>197</v>
      </c>
      <c r="G543" s="39" t="n">
        <v>0.2891875</v>
      </c>
      <c r="H543" s="37" t="s">
        <v>171</v>
      </c>
      <c r="I543" s="37" t="s">
        <v>172</v>
      </c>
      <c r="J543" s="37" t="s">
        <v>399</v>
      </c>
      <c r="K543" s="37" t="s">
        <v>174</v>
      </c>
      <c r="L543" s="37" t="n">
        <v>3</v>
      </c>
      <c r="M543" s="37" t="s">
        <v>207</v>
      </c>
    </row>
    <row r="544" customFormat="false" ht="42" hidden="false" customHeight="true" outlineLevel="0" collapsed="false">
      <c r="A544" s="37" t="s">
        <v>137</v>
      </c>
      <c r="B544" s="37" t="s">
        <v>219</v>
      </c>
      <c r="C544" s="38" t="n">
        <v>4</v>
      </c>
      <c r="D544" s="37" t="s">
        <v>256</v>
      </c>
      <c r="E544" s="37" t="s">
        <v>354</v>
      </c>
      <c r="F544" s="37" t="s">
        <v>178</v>
      </c>
      <c r="G544" s="39" t="n">
        <v>0.28913333</v>
      </c>
      <c r="H544" s="37" t="s">
        <v>258</v>
      </c>
      <c r="I544" s="37" t="s">
        <v>259</v>
      </c>
      <c r="J544" s="37" t="s">
        <v>355</v>
      </c>
      <c r="K544" s="37" t="s">
        <v>261</v>
      </c>
      <c r="L544" s="37" t="n">
        <v>0</v>
      </c>
      <c r="M544" s="37" t="s">
        <v>175</v>
      </c>
    </row>
    <row r="545" customFormat="false" ht="42" hidden="false" customHeight="true" outlineLevel="0" collapsed="false">
      <c r="A545" s="37" t="s">
        <v>137</v>
      </c>
      <c r="B545" s="37" t="s">
        <v>219</v>
      </c>
      <c r="C545" s="38" t="n">
        <v>5</v>
      </c>
      <c r="D545" s="37" t="s">
        <v>360</v>
      </c>
      <c r="E545" s="37" t="s">
        <v>402</v>
      </c>
      <c r="F545" s="37" t="s">
        <v>178</v>
      </c>
      <c r="G545" s="39" t="n">
        <v>0.21919301</v>
      </c>
      <c r="H545" s="37" t="s">
        <v>362</v>
      </c>
      <c r="I545" s="37" t="s">
        <v>192</v>
      </c>
      <c r="J545" s="37" t="s">
        <v>403</v>
      </c>
      <c r="K545" s="37" t="s">
        <v>364</v>
      </c>
      <c r="L545" s="37" t="n">
        <v>0</v>
      </c>
      <c r="M545" s="37" t="s">
        <v>175</v>
      </c>
    </row>
    <row r="546" customFormat="false" ht="42" hidden="false" customHeight="true" outlineLevel="0" collapsed="false">
      <c r="A546" s="37" t="s">
        <v>141</v>
      </c>
      <c r="B546" s="37" t="s">
        <v>167</v>
      </c>
      <c r="C546" s="38" t="n">
        <v>1</v>
      </c>
      <c r="D546" s="37" t="s">
        <v>213</v>
      </c>
      <c r="E546" s="37" t="s">
        <v>214</v>
      </c>
      <c r="F546" s="37" t="s">
        <v>170</v>
      </c>
      <c r="G546" s="39" t="n">
        <v>0.125</v>
      </c>
      <c r="H546" s="37" t="s">
        <v>215</v>
      </c>
      <c r="I546" s="37" t="s">
        <v>216</v>
      </c>
      <c r="J546" s="37" t="s">
        <v>217</v>
      </c>
      <c r="K546" s="37" t="s">
        <v>218</v>
      </c>
      <c r="L546" s="37" t="n">
        <v>0</v>
      </c>
      <c r="M546" s="37" t="s">
        <v>175</v>
      </c>
    </row>
    <row r="547" customFormat="false" ht="42" hidden="false" customHeight="true" outlineLevel="0" collapsed="false">
      <c r="A547" s="37" t="s">
        <v>141</v>
      </c>
      <c r="B547" s="37" t="s">
        <v>167</v>
      </c>
      <c r="C547" s="38" t="n">
        <v>2</v>
      </c>
      <c r="D547" s="37" t="s">
        <v>189</v>
      </c>
      <c r="E547" s="37" t="s">
        <v>190</v>
      </c>
      <c r="F547" s="37" t="s">
        <v>170</v>
      </c>
      <c r="G547" s="39" t="n">
        <v>0.125</v>
      </c>
      <c r="H547" s="37" t="s">
        <v>191</v>
      </c>
      <c r="I547" s="37" t="s">
        <v>192</v>
      </c>
      <c r="J547" s="37" t="s">
        <v>193</v>
      </c>
      <c r="K547" s="37" t="s">
        <v>194</v>
      </c>
      <c r="L547" s="37" t="n">
        <v>0</v>
      </c>
      <c r="M547" s="37" t="s">
        <v>175</v>
      </c>
    </row>
    <row r="548" customFormat="false" ht="42" hidden="false" customHeight="true" outlineLevel="0" collapsed="false">
      <c r="A548" s="37" t="s">
        <v>141</v>
      </c>
      <c r="B548" s="37" t="s">
        <v>167</v>
      </c>
      <c r="C548" s="38" t="n">
        <v>3</v>
      </c>
      <c r="D548" s="37" t="s">
        <v>176</v>
      </c>
      <c r="E548" s="37" t="s">
        <v>335</v>
      </c>
      <c r="F548" s="37" t="s">
        <v>170</v>
      </c>
      <c r="G548" s="39" t="n">
        <v>0</v>
      </c>
      <c r="H548" s="37" t="s">
        <v>179</v>
      </c>
      <c r="I548" s="37" t="s">
        <v>180</v>
      </c>
      <c r="J548" s="37" t="s">
        <v>336</v>
      </c>
      <c r="K548" s="37" t="s">
        <v>182</v>
      </c>
      <c r="L548" s="37" t="n">
        <v>0</v>
      </c>
      <c r="M548" s="37" t="s">
        <v>175</v>
      </c>
    </row>
    <row r="549" customFormat="false" ht="42" hidden="false" customHeight="true" outlineLevel="0" collapsed="false">
      <c r="A549" s="37" t="s">
        <v>141</v>
      </c>
      <c r="B549" s="37" t="s">
        <v>167</v>
      </c>
      <c r="C549" s="38" t="n">
        <v>4</v>
      </c>
      <c r="D549" s="37" t="s">
        <v>299</v>
      </c>
      <c r="E549" s="37" t="s">
        <v>300</v>
      </c>
      <c r="F549" s="37" t="s">
        <v>170</v>
      </c>
      <c r="G549" s="39" t="n">
        <v>0</v>
      </c>
      <c r="H549" s="37" t="s">
        <v>301</v>
      </c>
      <c r="I549" s="37" t="s">
        <v>302</v>
      </c>
      <c r="J549" s="37" t="s">
        <v>303</v>
      </c>
      <c r="K549" s="37" t="s">
        <v>304</v>
      </c>
      <c r="L549" s="37" t="n">
        <v>0</v>
      </c>
      <c r="M549" s="37" t="s">
        <v>175</v>
      </c>
    </row>
    <row r="550" customFormat="false" ht="42" hidden="false" customHeight="true" outlineLevel="0" collapsed="false">
      <c r="A550" s="37" t="s">
        <v>141</v>
      </c>
      <c r="B550" s="37" t="s">
        <v>167</v>
      </c>
      <c r="C550" s="38" t="n">
        <v>5</v>
      </c>
      <c r="D550" s="37" t="s">
        <v>316</v>
      </c>
      <c r="E550" s="37" t="s">
        <v>337</v>
      </c>
      <c r="F550" s="37" t="s">
        <v>170</v>
      </c>
      <c r="G550" s="39" t="n">
        <v>0</v>
      </c>
      <c r="H550" s="37" t="s">
        <v>318</v>
      </c>
      <c r="I550" s="37" t="s">
        <v>302</v>
      </c>
      <c r="J550" s="37" t="s">
        <v>338</v>
      </c>
      <c r="K550" s="37" t="s">
        <v>304</v>
      </c>
      <c r="L550" s="37" t="n">
        <v>0</v>
      </c>
      <c r="M550" s="37" t="s">
        <v>175</v>
      </c>
    </row>
    <row r="551" customFormat="false" ht="42" hidden="false" customHeight="true" outlineLevel="0" collapsed="false">
      <c r="A551" s="37" t="s">
        <v>141</v>
      </c>
      <c r="B551" s="37" t="s">
        <v>201</v>
      </c>
      <c r="C551" s="38" t="n">
        <v>1</v>
      </c>
      <c r="D551" s="37" t="s">
        <v>220</v>
      </c>
      <c r="E551" s="37" t="s">
        <v>344</v>
      </c>
      <c r="F551" s="37" t="s">
        <v>170</v>
      </c>
      <c r="G551" s="39" t="n">
        <v>0.13845001</v>
      </c>
      <c r="H551" s="37" t="s">
        <v>221</v>
      </c>
      <c r="I551" s="37" t="s">
        <v>222</v>
      </c>
      <c r="J551" s="37" t="s">
        <v>345</v>
      </c>
      <c r="K551" s="37" t="s">
        <v>224</v>
      </c>
      <c r="L551" s="37" t="n">
        <v>0</v>
      </c>
      <c r="M551" s="37" t="s">
        <v>175</v>
      </c>
    </row>
    <row r="552" customFormat="false" ht="42" hidden="false" customHeight="true" outlineLevel="0" collapsed="false">
      <c r="A552" s="37" t="s">
        <v>141</v>
      </c>
      <c r="B552" s="37" t="s">
        <v>201</v>
      </c>
      <c r="C552" s="38" t="n">
        <v>2</v>
      </c>
      <c r="D552" s="37" t="s">
        <v>341</v>
      </c>
      <c r="E552" s="37" t="s">
        <v>144</v>
      </c>
      <c r="F552" s="37" t="s">
        <v>170</v>
      </c>
      <c r="G552" s="39" t="n">
        <v>0.11897615</v>
      </c>
      <c r="H552" s="37" t="s">
        <v>342</v>
      </c>
      <c r="I552" s="37" t="s">
        <v>281</v>
      </c>
      <c r="J552" s="37" t="s">
        <v>343</v>
      </c>
      <c r="K552" s="37" t="s">
        <v>298</v>
      </c>
      <c r="L552" s="37" t="n">
        <v>3</v>
      </c>
      <c r="M552" s="37" t="s">
        <v>207</v>
      </c>
    </row>
    <row r="553" customFormat="false" ht="42" hidden="false" customHeight="true" outlineLevel="0" collapsed="false">
      <c r="A553" s="37" t="s">
        <v>141</v>
      </c>
      <c r="B553" s="37" t="s">
        <v>201</v>
      </c>
      <c r="C553" s="38" t="n">
        <v>3</v>
      </c>
      <c r="D553" s="37" t="s">
        <v>231</v>
      </c>
      <c r="E553" s="37" t="s">
        <v>232</v>
      </c>
      <c r="F553" s="37" t="s">
        <v>170</v>
      </c>
      <c r="G553" s="39" t="n">
        <v>0.11444949</v>
      </c>
      <c r="H553" s="37" t="s">
        <v>233</v>
      </c>
      <c r="I553" s="37" t="s">
        <v>234</v>
      </c>
      <c r="J553" s="37" t="s">
        <v>235</v>
      </c>
      <c r="K553" s="37" t="s">
        <v>236</v>
      </c>
      <c r="L553" s="37" t="n">
        <v>0</v>
      </c>
      <c r="M553" s="37" t="s">
        <v>175</v>
      </c>
    </row>
    <row r="554" customFormat="false" ht="42" hidden="false" customHeight="true" outlineLevel="0" collapsed="false">
      <c r="A554" s="37" t="s">
        <v>141</v>
      </c>
      <c r="B554" s="37" t="s">
        <v>201</v>
      </c>
      <c r="C554" s="38" t="n">
        <v>4</v>
      </c>
      <c r="D554" s="37" t="s">
        <v>294</v>
      </c>
      <c r="E554" s="37" t="s">
        <v>339</v>
      </c>
      <c r="F554" s="37" t="s">
        <v>170</v>
      </c>
      <c r="G554" s="39" t="n">
        <v>0.10590946</v>
      </c>
      <c r="H554" s="37" t="s">
        <v>296</v>
      </c>
      <c r="I554" s="37" t="s">
        <v>281</v>
      </c>
      <c r="J554" s="37" t="s">
        <v>340</v>
      </c>
      <c r="K554" s="37" t="s">
        <v>298</v>
      </c>
      <c r="L554" s="37" t="n">
        <v>0</v>
      </c>
      <c r="M554" s="37" t="s">
        <v>175</v>
      </c>
    </row>
    <row r="555" customFormat="false" ht="42" hidden="false" customHeight="true" outlineLevel="0" collapsed="false">
      <c r="A555" s="37" t="s">
        <v>141</v>
      </c>
      <c r="B555" s="37" t="s">
        <v>201</v>
      </c>
      <c r="C555" s="38" t="n">
        <v>5</v>
      </c>
      <c r="D555" s="37" t="s">
        <v>237</v>
      </c>
      <c r="E555" s="37" t="s">
        <v>404</v>
      </c>
      <c r="F555" s="37" t="s">
        <v>170</v>
      </c>
      <c r="G555" s="39" t="n">
        <v>0.10506495</v>
      </c>
      <c r="H555" s="37" t="s">
        <v>239</v>
      </c>
      <c r="I555" s="37" t="s">
        <v>240</v>
      </c>
      <c r="J555" s="37" t="s">
        <v>405</v>
      </c>
      <c r="K555" s="37" t="s">
        <v>230</v>
      </c>
      <c r="L555" s="37" t="n">
        <v>0</v>
      </c>
      <c r="M555" s="37" t="s">
        <v>175</v>
      </c>
    </row>
    <row r="556" customFormat="false" ht="42" hidden="false" customHeight="true" outlineLevel="0" collapsed="false">
      <c r="A556" s="37" t="s">
        <v>141</v>
      </c>
      <c r="B556" s="37" t="s">
        <v>212</v>
      </c>
      <c r="C556" s="38" t="n">
        <v>1</v>
      </c>
      <c r="D556" s="37" t="s">
        <v>189</v>
      </c>
      <c r="E556" s="37" t="s">
        <v>190</v>
      </c>
      <c r="F556" s="37" t="s">
        <v>170</v>
      </c>
      <c r="G556" s="39" t="n">
        <v>0.03158358</v>
      </c>
      <c r="H556" s="37" t="s">
        <v>191</v>
      </c>
      <c r="I556" s="37" t="s">
        <v>192</v>
      </c>
      <c r="J556" s="37" t="s">
        <v>193</v>
      </c>
      <c r="K556" s="37" t="s">
        <v>194</v>
      </c>
      <c r="L556" s="37" t="n">
        <v>0</v>
      </c>
      <c r="M556" s="37" t="s">
        <v>175</v>
      </c>
    </row>
    <row r="557" customFormat="false" ht="42" hidden="false" customHeight="true" outlineLevel="0" collapsed="false">
      <c r="A557" s="37" t="s">
        <v>141</v>
      </c>
      <c r="B557" s="37" t="s">
        <v>212</v>
      </c>
      <c r="C557" s="38" t="n">
        <v>2</v>
      </c>
      <c r="D557" s="37" t="s">
        <v>341</v>
      </c>
      <c r="E557" s="37" t="s">
        <v>144</v>
      </c>
      <c r="F557" s="37" t="s">
        <v>170</v>
      </c>
      <c r="G557" s="39" t="n">
        <v>0.03137699</v>
      </c>
      <c r="H557" s="37" t="s">
        <v>342</v>
      </c>
      <c r="I557" s="37" t="s">
        <v>281</v>
      </c>
      <c r="J557" s="37" t="s">
        <v>343</v>
      </c>
      <c r="K557" s="37" t="s">
        <v>298</v>
      </c>
      <c r="L557" s="37" t="n">
        <v>3</v>
      </c>
      <c r="M557" s="37" t="s">
        <v>207</v>
      </c>
    </row>
    <row r="558" customFormat="false" ht="42" hidden="false" customHeight="true" outlineLevel="0" collapsed="false">
      <c r="A558" s="37" t="s">
        <v>141</v>
      </c>
      <c r="B558" s="37" t="s">
        <v>212</v>
      </c>
      <c r="C558" s="38" t="n">
        <v>3</v>
      </c>
      <c r="D558" s="37" t="s">
        <v>294</v>
      </c>
      <c r="E558" s="37" t="s">
        <v>339</v>
      </c>
      <c r="F558" s="37" t="s">
        <v>170</v>
      </c>
      <c r="G558" s="39" t="n">
        <v>0.03108902</v>
      </c>
      <c r="H558" s="37" t="s">
        <v>296</v>
      </c>
      <c r="I558" s="37" t="s">
        <v>281</v>
      </c>
      <c r="J558" s="37" t="s">
        <v>340</v>
      </c>
      <c r="K558" s="37" t="s">
        <v>298</v>
      </c>
      <c r="L558" s="37" t="n">
        <v>0</v>
      </c>
      <c r="M558" s="37" t="s">
        <v>175</v>
      </c>
    </row>
    <row r="559" customFormat="false" ht="42" hidden="false" customHeight="true" outlineLevel="0" collapsed="false">
      <c r="A559" s="37" t="s">
        <v>141</v>
      </c>
      <c r="B559" s="37" t="s">
        <v>212</v>
      </c>
      <c r="C559" s="38" t="n">
        <v>4</v>
      </c>
      <c r="D559" s="37" t="s">
        <v>213</v>
      </c>
      <c r="E559" s="37" t="s">
        <v>214</v>
      </c>
      <c r="F559" s="37" t="s">
        <v>170</v>
      </c>
      <c r="G559" s="39" t="n">
        <v>0.03096487</v>
      </c>
      <c r="H559" s="37" t="s">
        <v>215</v>
      </c>
      <c r="I559" s="37" t="s">
        <v>216</v>
      </c>
      <c r="J559" s="37" t="s">
        <v>217</v>
      </c>
      <c r="K559" s="37" t="s">
        <v>218</v>
      </c>
      <c r="L559" s="37" t="n">
        <v>0</v>
      </c>
      <c r="M559" s="37" t="s">
        <v>175</v>
      </c>
    </row>
    <row r="560" customFormat="false" ht="42" hidden="false" customHeight="true" outlineLevel="0" collapsed="false">
      <c r="A560" s="37" t="s">
        <v>141</v>
      </c>
      <c r="B560" s="37" t="s">
        <v>212</v>
      </c>
      <c r="C560" s="38" t="n">
        <v>5</v>
      </c>
      <c r="D560" s="37" t="s">
        <v>176</v>
      </c>
      <c r="E560" s="37" t="s">
        <v>335</v>
      </c>
      <c r="F560" s="37" t="s">
        <v>170</v>
      </c>
      <c r="G560" s="39" t="n">
        <v>0.03065562</v>
      </c>
      <c r="H560" s="37" t="s">
        <v>179</v>
      </c>
      <c r="I560" s="37" t="s">
        <v>180</v>
      </c>
      <c r="J560" s="37" t="s">
        <v>336</v>
      </c>
      <c r="K560" s="37" t="s">
        <v>182</v>
      </c>
      <c r="L560" s="37" t="n">
        <v>0</v>
      </c>
      <c r="M560" s="37" t="s">
        <v>175</v>
      </c>
    </row>
    <row r="561" customFormat="false" ht="42" hidden="false" customHeight="true" outlineLevel="0" collapsed="false">
      <c r="A561" s="37" t="s">
        <v>141</v>
      </c>
      <c r="B561" s="37" t="s">
        <v>219</v>
      </c>
      <c r="C561" s="38" t="n">
        <v>1</v>
      </c>
      <c r="D561" s="37" t="s">
        <v>189</v>
      </c>
      <c r="E561" s="37" t="s">
        <v>190</v>
      </c>
      <c r="F561" s="37" t="s">
        <v>170</v>
      </c>
      <c r="G561" s="39" t="n">
        <v>0.09697507</v>
      </c>
      <c r="H561" s="37" t="s">
        <v>191</v>
      </c>
      <c r="I561" s="37" t="s">
        <v>192</v>
      </c>
      <c r="J561" s="37" t="s">
        <v>193</v>
      </c>
      <c r="K561" s="37" t="s">
        <v>194</v>
      </c>
      <c r="L561" s="37" t="n">
        <v>0</v>
      </c>
      <c r="M561" s="37" t="s">
        <v>175</v>
      </c>
    </row>
    <row r="562" customFormat="false" ht="42" hidden="false" customHeight="true" outlineLevel="0" collapsed="false">
      <c r="A562" s="37" t="s">
        <v>141</v>
      </c>
      <c r="B562" s="37" t="s">
        <v>219</v>
      </c>
      <c r="C562" s="38" t="n">
        <v>2</v>
      </c>
      <c r="D562" s="37" t="s">
        <v>213</v>
      </c>
      <c r="E562" s="37" t="s">
        <v>214</v>
      </c>
      <c r="F562" s="37" t="s">
        <v>170</v>
      </c>
      <c r="G562" s="39" t="n">
        <v>0.09678946</v>
      </c>
      <c r="H562" s="37" t="s">
        <v>215</v>
      </c>
      <c r="I562" s="37" t="s">
        <v>216</v>
      </c>
      <c r="J562" s="37" t="s">
        <v>217</v>
      </c>
      <c r="K562" s="37" t="s">
        <v>218</v>
      </c>
      <c r="L562" s="37" t="n">
        <v>0</v>
      </c>
      <c r="M562" s="37" t="s">
        <v>175</v>
      </c>
    </row>
    <row r="563" customFormat="false" ht="42" hidden="false" customHeight="true" outlineLevel="0" collapsed="false">
      <c r="A563" s="37" t="s">
        <v>141</v>
      </c>
      <c r="B563" s="37" t="s">
        <v>219</v>
      </c>
      <c r="C563" s="38" t="n">
        <v>3</v>
      </c>
      <c r="D563" s="37" t="s">
        <v>341</v>
      </c>
      <c r="E563" s="37" t="s">
        <v>144</v>
      </c>
      <c r="F563" s="37" t="s">
        <v>170</v>
      </c>
      <c r="G563" s="39" t="n">
        <v>0.0094131</v>
      </c>
      <c r="H563" s="37" t="s">
        <v>342</v>
      </c>
      <c r="I563" s="37" t="s">
        <v>281</v>
      </c>
      <c r="J563" s="37" t="s">
        <v>343</v>
      </c>
      <c r="K563" s="37" t="s">
        <v>298</v>
      </c>
      <c r="L563" s="37" t="n">
        <v>3</v>
      </c>
      <c r="M563" s="37" t="s">
        <v>207</v>
      </c>
    </row>
    <row r="564" customFormat="false" ht="42" hidden="false" customHeight="true" outlineLevel="0" collapsed="false">
      <c r="A564" s="37" t="s">
        <v>141</v>
      </c>
      <c r="B564" s="37" t="s">
        <v>219</v>
      </c>
      <c r="C564" s="38" t="n">
        <v>4</v>
      </c>
      <c r="D564" s="37" t="s">
        <v>294</v>
      </c>
      <c r="E564" s="37" t="s">
        <v>339</v>
      </c>
      <c r="F564" s="37" t="s">
        <v>170</v>
      </c>
      <c r="G564" s="39" t="n">
        <v>0.0093267</v>
      </c>
      <c r="H564" s="37" t="s">
        <v>296</v>
      </c>
      <c r="I564" s="37" t="s">
        <v>281</v>
      </c>
      <c r="J564" s="37" t="s">
        <v>340</v>
      </c>
      <c r="K564" s="37" t="s">
        <v>298</v>
      </c>
      <c r="L564" s="37" t="n">
        <v>0</v>
      </c>
      <c r="M564" s="37" t="s">
        <v>175</v>
      </c>
    </row>
    <row r="565" customFormat="false" ht="42" hidden="false" customHeight="true" outlineLevel="0" collapsed="false">
      <c r="A565" s="37" t="s">
        <v>141</v>
      </c>
      <c r="B565" s="37" t="s">
        <v>219</v>
      </c>
      <c r="C565" s="38" t="n">
        <v>5</v>
      </c>
      <c r="D565" s="37" t="s">
        <v>176</v>
      </c>
      <c r="E565" s="37" t="s">
        <v>335</v>
      </c>
      <c r="F565" s="37" t="s">
        <v>170</v>
      </c>
      <c r="G565" s="39" t="n">
        <v>0.00919669</v>
      </c>
      <c r="H565" s="37" t="s">
        <v>179</v>
      </c>
      <c r="I565" s="37" t="s">
        <v>180</v>
      </c>
      <c r="J565" s="37" t="s">
        <v>336</v>
      </c>
      <c r="K565" s="37" t="s">
        <v>182</v>
      </c>
      <c r="L565" s="37" t="n">
        <v>0</v>
      </c>
      <c r="M565" s="37" t="s">
        <v>175</v>
      </c>
    </row>
    <row r="566" customFormat="false" ht="42" hidden="false" customHeight="true" outlineLevel="0" collapsed="false">
      <c r="A566" s="37" t="s">
        <v>145</v>
      </c>
      <c r="B566" s="37" t="s">
        <v>167</v>
      </c>
      <c r="C566" s="38" t="n">
        <v>1</v>
      </c>
      <c r="D566" s="37" t="s">
        <v>168</v>
      </c>
      <c r="E566" s="37" t="s">
        <v>169</v>
      </c>
      <c r="F566" s="37" t="s">
        <v>170</v>
      </c>
      <c r="G566" s="39" t="n">
        <v>0.5</v>
      </c>
      <c r="H566" s="37" t="s">
        <v>171</v>
      </c>
      <c r="I566" s="37" t="s">
        <v>172</v>
      </c>
      <c r="J566" s="37" t="s">
        <v>173</v>
      </c>
      <c r="K566" s="37" t="s">
        <v>174</v>
      </c>
      <c r="L566" s="37" t="n">
        <v>0</v>
      </c>
      <c r="M566" s="37" t="s">
        <v>175</v>
      </c>
    </row>
    <row r="567" customFormat="false" ht="42" hidden="false" customHeight="true" outlineLevel="0" collapsed="false">
      <c r="A567" s="37" t="s">
        <v>145</v>
      </c>
      <c r="B567" s="37" t="s">
        <v>167</v>
      </c>
      <c r="C567" s="38" t="n">
        <v>2</v>
      </c>
      <c r="D567" s="37" t="s">
        <v>220</v>
      </c>
      <c r="E567" s="37" t="s">
        <v>262</v>
      </c>
      <c r="F567" s="37" t="s">
        <v>197</v>
      </c>
      <c r="G567" s="39" t="n">
        <v>0.5</v>
      </c>
      <c r="H567" s="37" t="s">
        <v>221</v>
      </c>
      <c r="I567" s="37" t="s">
        <v>222</v>
      </c>
      <c r="J567" s="37" t="s">
        <v>263</v>
      </c>
      <c r="K567" s="37" t="s">
        <v>224</v>
      </c>
      <c r="L567" s="37" t="n">
        <v>0</v>
      </c>
      <c r="M567" s="37" t="s">
        <v>175</v>
      </c>
    </row>
    <row r="568" customFormat="false" ht="42" hidden="false" customHeight="true" outlineLevel="0" collapsed="false">
      <c r="A568" s="37" t="s">
        <v>145</v>
      </c>
      <c r="B568" s="37" t="s">
        <v>167</v>
      </c>
      <c r="C568" s="38" t="n">
        <v>3</v>
      </c>
      <c r="D568" s="37" t="s">
        <v>176</v>
      </c>
      <c r="E568" s="37" t="s">
        <v>177</v>
      </c>
      <c r="F568" s="37" t="s">
        <v>178</v>
      </c>
      <c r="G568" s="39" t="n">
        <v>0.4</v>
      </c>
      <c r="H568" s="37" t="s">
        <v>179</v>
      </c>
      <c r="I568" s="37" t="s">
        <v>180</v>
      </c>
      <c r="J568" s="37" t="s">
        <v>181</v>
      </c>
      <c r="K568" s="37" t="s">
        <v>182</v>
      </c>
      <c r="L568" s="37" t="n">
        <v>0</v>
      </c>
      <c r="M568" s="37" t="s">
        <v>175</v>
      </c>
    </row>
    <row r="569" customFormat="false" ht="42" hidden="false" customHeight="true" outlineLevel="0" collapsed="false">
      <c r="A569" s="37" t="s">
        <v>145</v>
      </c>
      <c r="B569" s="37" t="s">
        <v>167</v>
      </c>
      <c r="C569" s="38" t="n">
        <v>4</v>
      </c>
      <c r="D569" s="37" t="s">
        <v>256</v>
      </c>
      <c r="E569" s="37" t="s">
        <v>354</v>
      </c>
      <c r="F569" s="37" t="s">
        <v>178</v>
      </c>
      <c r="G569" s="39" t="n">
        <v>0.4</v>
      </c>
      <c r="H569" s="37" t="s">
        <v>258</v>
      </c>
      <c r="I569" s="37" t="s">
        <v>259</v>
      </c>
      <c r="J569" s="37" t="s">
        <v>355</v>
      </c>
      <c r="K569" s="37" t="s">
        <v>261</v>
      </c>
      <c r="L569" s="37" t="n">
        <v>0</v>
      </c>
      <c r="M569" s="37" t="s">
        <v>175</v>
      </c>
    </row>
    <row r="570" customFormat="false" ht="42" hidden="false" customHeight="true" outlineLevel="0" collapsed="false">
      <c r="A570" s="37" t="s">
        <v>145</v>
      </c>
      <c r="B570" s="37" t="s">
        <v>167</v>
      </c>
      <c r="C570" s="38" t="n">
        <v>5</v>
      </c>
      <c r="D570" s="37" t="s">
        <v>237</v>
      </c>
      <c r="E570" s="37" t="s">
        <v>238</v>
      </c>
      <c r="F570" s="37" t="s">
        <v>197</v>
      </c>
      <c r="G570" s="39" t="n">
        <v>0.4</v>
      </c>
      <c r="H570" s="37" t="s">
        <v>239</v>
      </c>
      <c r="I570" s="37" t="s">
        <v>240</v>
      </c>
      <c r="J570" s="37" t="s">
        <v>241</v>
      </c>
      <c r="K570" s="37" t="s">
        <v>230</v>
      </c>
      <c r="L570" s="37" t="n">
        <v>0</v>
      </c>
      <c r="M570" s="37" t="s">
        <v>175</v>
      </c>
    </row>
    <row r="571" customFormat="false" ht="42" hidden="false" customHeight="true" outlineLevel="0" collapsed="false">
      <c r="A571" s="37" t="s">
        <v>145</v>
      </c>
      <c r="B571" s="37" t="s">
        <v>201</v>
      </c>
      <c r="C571" s="38" t="n">
        <v>1</v>
      </c>
      <c r="D571" s="37" t="s">
        <v>202</v>
      </c>
      <c r="E571" s="37" t="s">
        <v>20</v>
      </c>
      <c r="F571" s="37" t="s">
        <v>170</v>
      </c>
      <c r="G571" s="39" t="n">
        <v>0.37736938</v>
      </c>
      <c r="H571" s="37" t="s">
        <v>203</v>
      </c>
      <c r="I571" s="37" t="s">
        <v>204</v>
      </c>
      <c r="J571" s="37" t="s">
        <v>205</v>
      </c>
      <c r="K571" s="37" t="s">
        <v>206</v>
      </c>
      <c r="L571" s="37" t="n">
        <v>3</v>
      </c>
      <c r="M571" s="37" t="s">
        <v>207</v>
      </c>
    </row>
    <row r="572" customFormat="false" ht="42" hidden="false" customHeight="true" outlineLevel="0" collapsed="false">
      <c r="A572" s="37" t="s">
        <v>145</v>
      </c>
      <c r="B572" s="37" t="s">
        <v>201</v>
      </c>
      <c r="C572" s="38" t="n">
        <v>2</v>
      </c>
      <c r="D572" s="37" t="s">
        <v>183</v>
      </c>
      <c r="E572" s="37" t="s">
        <v>184</v>
      </c>
      <c r="F572" s="37" t="s">
        <v>178</v>
      </c>
      <c r="G572" s="39" t="n">
        <v>0.26529072</v>
      </c>
      <c r="H572" s="37" t="s">
        <v>185</v>
      </c>
      <c r="I572" s="37" t="s">
        <v>186</v>
      </c>
      <c r="J572" s="37" t="s">
        <v>187</v>
      </c>
      <c r="K572" s="37" t="s">
        <v>188</v>
      </c>
      <c r="L572" s="37" t="n">
        <v>0</v>
      </c>
      <c r="M572" s="37" t="s">
        <v>175</v>
      </c>
    </row>
    <row r="573" customFormat="false" ht="42" hidden="false" customHeight="true" outlineLevel="0" collapsed="false">
      <c r="A573" s="37" t="s">
        <v>145</v>
      </c>
      <c r="B573" s="37" t="s">
        <v>201</v>
      </c>
      <c r="C573" s="38" t="n">
        <v>3</v>
      </c>
      <c r="D573" s="37" t="s">
        <v>305</v>
      </c>
      <c r="E573" s="37" t="s">
        <v>306</v>
      </c>
      <c r="F573" s="37" t="s">
        <v>178</v>
      </c>
      <c r="G573" s="39" t="n">
        <v>0.25682584</v>
      </c>
      <c r="H573" s="37" t="s">
        <v>307</v>
      </c>
      <c r="I573" s="37" t="s">
        <v>308</v>
      </c>
      <c r="J573" s="37" t="s">
        <v>309</v>
      </c>
      <c r="K573" s="37" t="s">
        <v>230</v>
      </c>
      <c r="L573" s="37" t="n">
        <v>0</v>
      </c>
      <c r="M573" s="37" t="s">
        <v>175</v>
      </c>
    </row>
    <row r="574" customFormat="false" ht="42" hidden="false" customHeight="true" outlineLevel="0" collapsed="false">
      <c r="A574" s="37" t="s">
        <v>145</v>
      </c>
      <c r="B574" s="37" t="s">
        <v>201</v>
      </c>
      <c r="C574" s="38" t="n">
        <v>4</v>
      </c>
      <c r="D574" s="37" t="s">
        <v>168</v>
      </c>
      <c r="E574" s="37" t="s">
        <v>169</v>
      </c>
      <c r="F574" s="37" t="s">
        <v>170</v>
      </c>
      <c r="G574" s="39" t="n">
        <v>0.25668748</v>
      </c>
      <c r="H574" s="37" t="s">
        <v>171</v>
      </c>
      <c r="I574" s="37" t="s">
        <v>172</v>
      </c>
      <c r="J574" s="37" t="s">
        <v>173</v>
      </c>
      <c r="K574" s="37" t="s">
        <v>174</v>
      </c>
      <c r="L574" s="37" t="n">
        <v>0</v>
      </c>
      <c r="M574" s="37" t="s">
        <v>175</v>
      </c>
    </row>
    <row r="575" customFormat="false" ht="42" hidden="false" customHeight="true" outlineLevel="0" collapsed="false">
      <c r="A575" s="37" t="s">
        <v>145</v>
      </c>
      <c r="B575" s="37" t="s">
        <v>201</v>
      </c>
      <c r="C575" s="38" t="n">
        <v>5</v>
      </c>
      <c r="D575" s="37" t="s">
        <v>225</v>
      </c>
      <c r="E575" s="37" t="s">
        <v>331</v>
      </c>
      <c r="F575" s="37" t="s">
        <v>197</v>
      </c>
      <c r="G575" s="39" t="n">
        <v>0.25504152</v>
      </c>
      <c r="H575" s="37" t="s">
        <v>227</v>
      </c>
      <c r="I575" s="37" t="s">
        <v>228</v>
      </c>
      <c r="J575" s="37" t="s">
        <v>332</v>
      </c>
      <c r="K575" s="37" t="s">
        <v>230</v>
      </c>
      <c r="L575" s="37" t="n">
        <v>0</v>
      </c>
      <c r="M575" s="37" t="s">
        <v>175</v>
      </c>
    </row>
    <row r="576" customFormat="false" ht="42" hidden="false" customHeight="true" outlineLevel="0" collapsed="false">
      <c r="A576" s="37" t="s">
        <v>145</v>
      </c>
      <c r="B576" s="37" t="s">
        <v>212</v>
      </c>
      <c r="C576" s="38" t="n">
        <v>1</v>
      </c>
      <c r="D576" s="37" t="s">
        <v>168</v>
      </c>
      <c r="E576" s="37" t="s">
        <v>169</v>
      </c>
      <c r="F576" s="37" t="s">
        <v>170</v>
      </c>
      <c r="G576" s="39" t="n">
        <v>0.03233094</v>
      </c>
      <c r="H576" s="37" t="s">
        <v>171</v>
      </c>
      <c r="I576" s="37" t="s">
        <v>172</v>
      </c>
      <c r="J576" s="37" t="s">
        <v>173</v>
      </c>
      <c r="K576" s="37" t="s">
        <v>174</v>
      </c>
      <c r="L576" s="37" t="n">
        <v>0</v>
      </c>
      <c r="M576" s="37" t="s">
        <v>175</v>
      </c>
    </row>
    <row r="577" customFormat="false" ht="42" hidden="false" customHeight="true" outlineLevel="0" collapsed="false">
      <c r="A577" s="37" t="s">
        <v>145</v>
      </c>
      <c r="B577" s="37" t="s">
        <v>212</v>
      </c>
      <c r="C577" s="38" t="n">
        <v>2</v>
      </c>
      <c r="D577" s="37" t="s">
        <v>202</v>
      </c>
      <c r="E577" s="37" t="s">
        <v>20</v>
      </c>
      <c r="F577" s="37" t="s">
        <v>170</v>
      </c>
      <c r="G577" s="39" t="n">
        <v>0.03187283</v>
      </c>
      <c r="H577" s="37" t="s">
        <v>203</v>
      </c>
      <c r="I577" s="37" t="s">
        <v>204</v>
      </c>
      <c r="J577" s="37" t="s">
        <v>205</v>
      </c>
      <c r="K577" s="37" t="s">
        <v>206</v>
      </c>
      <c r="L577" s="37" t="n">
        <v>3</v>
      </c>
      <c r="M577" s="37" t="s">
        <v>207</v>
      </c>
    </row>
    <row r="578" customFormat="false" ht="42" hidden="false" customHeight="true" outlineLevel="0" collapsed="false">
      <c r="A578" s="37" t="s">
        <v>145</v>
      </c>
      <c r="B578" s="37" t="s">
        <v>212</v>
      </c>
      <c r="C578" s="38" t="n">
        <v>3</v>
      </c>
      <c r="D578" s="37" t="s">
        <v>220</v>
      </c>
      <c r="E578" s="37" t="s">
        <v>262</v>
      </c>
      <c r="F578" s="37" t="s">
        <v>197</v>
      </c>
      <c r="G578" s="39" t="n">
        <v>0.03112903</v>
      </c>
      <c r="H578" s="37" t="s">
        <v>221</v>
      </c>
      <c r="I578" s="37" t="s">
        <v>222</v>
      </c>
      <c r="J578" s="37" t="s">
        <v>263</v>
      </c>
      <c r="K578" s="37" t="s">
        <v>224</v>
      </c>
      <c r="L578" s="37" t="n">
        <v>0</v>
      </c>
      <c r="M578" s="37" t="s">
        <v>175</v>
      </c>
    </row>
    <row r="579" customFormat="false" ht="42" hidden="false" customHeight="true" outlineLevel="0" collapsed="false">
      <c r="A579" s="37" t="s">
        <v>145</v>
      </c>
      <c r="B579" s="37" t="s">
        <v>212</v>
      </c>
      <c r="C579" s="38" t="n">
        <v>4</v>
      </c>
      <c r="D579" s="37" t="s">
        <v>225</v>
      </c>
      <c r="E579" s="37" t="s">
        <v>331</v>
      </c>
      <c r="F579" s="37" t="s">
        <v>197</v>
      </c>
      <c r="G579" s="39" t="n">
        <v>0.03061768</v>
      </c>
      <c r="H579" s="37" t="s">
        <v>227</v>
      </c>
      <c r="I579" s="37" t="s">
        <v>228</v>
      </c>
      <c r="J579" s="37" t="s">
        <v>332</v>
      </c>
      <c r="K579" s="37" t="s">
        <v>230</v>
      </c>
      <c r="L579" s="37" t="n">
        <v>0</v>
      </c>
      <c r="M579" s="37" t="s">
        <v>175</v>
      </c>
    </row>
    <row r="580" customFormat="false" ht="42" hidden="false" customHeight="true" outlineLevel="0" collapsed="false">
      <c r="A580" s="37" t="s">
        <v>145</v>
      </c>
      <c r="B580" s="37" t="s">
        <v>212</v>
      </c>
      <c r="C580" s="38" t="n">
        <v>5</v>
      </c>
      <c r="D580" s="37" t="s">
        <v>237</v>
      </c>
      <c r="E580" s="37" t="s">
        <v>238</v>
      </c>
      <c r="F580" s="37" t="s">
        <v>197</v>
      </c>
      <c r="G580" s="39" t="n">
        <v>0.02995604</v>
      </c>
      <c r="H580" s="37" t="s">
        <v>239</v>
      </c>
      <c r="I580" s="37" t="s">
        <v>240</v>
      </c>
      <c r="J580" s="37" t="s">
        <v>241</v>
      </c>
      <c r="K580" s="37" t="s">
        <v>230</v>
      </c>
      <c r="L580" s="37" t="n">
        <v>0</v>
      </c>
      <c r="M580" s="37" t="s">
        <v>175</v>
      </c>
    </row>
    <row r="581" customFormat="false" ht="42" hidden="false" customHeight="true" outlineLevel="0" collapsed="false">
      <c r="A581" s="37" t="s">
        <v>145</v>
      </c>
      <c r="B581" s="37" t="s">
        <v>219</v>
      </c>
      <c r="C581" s="38" t="n">
        <v>1</v>
      </c>
      <c r="D581" s="37" t="s">
        <v>168</v>
      </c>
      <c r="E581" s="37" t="s">
        <v>169</v>
      </c>
      <c r="F581" s="37" t="s">
        <v>170</v>
      </c>
      <c r="G581" s="39" t="n">
        <v>0.35969928</v>
      </c>
      <c r="H581" s="37" t="s">
        <v>171</v>
      </c>
      <c r="I581" s="37" t="s">
        <v>172</v>
      </c>
      <c r="J581" s="37" t="s">
        <v>173</v>
      </c>
      <c r="K581" s="37" t="s">
        <v>174</v>
      </c>
      <c r="L581" s="37" t="n">
        <v>0</v>
      </c>
      <c r="M581" s="37" t="s">
        <v>175</v>
      </c>
    </row>
    <row r="582" customFormat="false" ht="42" hidden="false" customHeight="true" outlineLevel="0" collapsed="false">
      <c r="A582" s="37" t="s">
        <v>145</v>
      </c>
      <c r="B582" s="37" t="s">
        <v>219</v>
      </c>
      <c r="C582" s="38" t="n">
        <v>2</v>
      </c>
      <c r="D582" s="37" t="s">
        <v>220</v>
      </c>
      <c r="E582" s="37" t="s">
        <v>262</v>
      </c>
      <c r="F582" s="37" t="s">
        <v>197</v>
      </c>
      <c r="G582" s="39" t="n">
        <v>0.35933871</v>
      </c>
      <c r="H582" s="37" t="s">
        <v>221</v>
      </c>
      <c r="I582" s="37" t="s">
        <v>222</v>
      </c>
      <c r="J582" s="37" t="s">
        <v>263</v>
      </c>
      <c r="K582" s="37" t="s">
        <v>224</v>
      </c>
      <c r="L582" s="37" t="n">
        <v>0</v>
      </c>
      <c r="M582" s="37" t="s">
        <v>175</v>
      </c>
    </row>
    <row r="583" customFormat="false" ht="42" hidden="false" customHeight="true" outlineLevel="0" collapsed="false">
      <c r="A583" s="37" t="s">
        <v>145</v>
      </c>
      <c r="B583" s="37" t="s">
        <v>219</v>
      </c>
      <c r="C583" s="38" t="n">
        <v>3</v>
      </c>
      <c r="D583" s="37" t="s">
        <v>237</v>
      </c>
      <c r="E583" s="37" t="s">
        <v>238</v>
      </c>
      <c r="F583" s="37" t="s">
        <v>197</v>
      </c>
      <c r="G583" s="39" t="n">
        <v>0.28898681</v>
      </c>
      <c r="H583" s="37" t="s">
        <v>239</v>
      </c>
      <c r="I583" s="37" t="s">
        <v>240</v>
      </c>
      <c r="J583" s="37" t="s">
        <v>241</v>
      </c>
      <c r="K583" s="37" t="s">
        <v>230</v>
      </c>
      <c r="L583" s="37" t="n">
        <v>0</v>
      </c>
      <c r="M583" s="37" t="s">
        <v>175</v>
      </c>
    </row>
    <row r="584" customFormat="false" ht="42" hidden="false" customHeight="true" outlineLevel="0" collapsed="false">
      <c r="A584" s="37" t="s">
        <v>145</v>
      </c>
      <c r="B584" s="37" t="s">
        <v>219</v>
      </c>
      <c r="C584" s="38" t="n">
        <v>4</v>
      </c>
      <c r="D584" s="37" t="s">
        <v>176</v>
      </c>
      <c r="E584" s="37" t="s">
        <v>177</v>
      </c>
      <c r="F584" s="37" t="s">
        <v>178</v>
      </c>
      <c r="G584" s="39" t="n">
        <v>0.2847619</v>
      </c>
      <c r="H584" s="37" t="s">
        <v>179</v>
      </c>
      <c r="I584" s="37" t="s">
        <v>180</v>
      </c>
      <c r="J584" s="37" t="s">
        <v>181</v>
      </c>
      <c r="K584" s="37" t="s">
        <v>182</v>
      </c>
      <c r="L584" s="37" t="n">
        <v>0</v>
      </c>
      <c r="M584" s="37" t="s">
        <v>175</v>
      </c>
    </row>
    <row r="585" customFormat="false" ht="42" hidden="false" customHeight="true" outlineLevel="0" collapsed="false">
      <c r="A585" s="37" t="s">
        <v>145</v>
      </c>
      <c r="B585" s="37" t="s">
        <v>219</v>
      </c>
      <c r="C585" s="38" t="n">
        <v>5</v>
      </c>
      <c r="D585" s="37" t="s">
        <v>202</v>
      </c>
      <c r="E585" s="37" t="s">
        <v>20</v>
      </c>
      <c r="F585" s="37" t="s">
        <v>170</v>
      </c>
      <c r="G585" s="39" t="n">
        <v>0.21956185</v>
      </c>
      <c r="H585" s="37" t="s">
        <v>203</v>
      </c>
      <c r="I585" s="37" t="s">
        <v>204</v>
      </c>
      <c r="J585" s="37" t="s">
        <v>205</v>
      </c>
      <c r="K585" s="37" t="s">
        <v>206</v>
      </c>
      <c r="L585" s="37" t="n">
        <v>3</v>
      </c>
      <c r="M585" s="37" t="s">
        <v>207</v>
      </c>
    </row>
    <row r="586" customFormat="false" ht="42" hidden="false" customHeight="true" outlineLevel="0" collapsed="false">
      <c r="A586" s="37" t="s">
        <v>148</v>
      </c>
      <c r="B586" s="37" t="s">
        <v>167</v>
      </c>
      <c r="C586" s="38" t="n">
        <v>1</v>
      </c>
      <c r="D586" s="37" t="s">
        <v>176</v>
      </c>
      <c r="E586" s="37" t="s">
        <v>335</v>
      </c>
      <c r="F586" s="37" t="s">
        <v>170</v>
      </c>
      <c r="G586" s="39" t="n">
        <v>0</v>
      </c>
      <c r="H586" s="37" t="s">
        <v>179</v>
      </c>
      <c r="I586" s="37" t="s">
        <v>180</v>
      </c>
      <c r="J586" s="37" t="s">
        <v>336</v>
      </c>
      <c r="K586" s="37" t="s">
        <v>182</v>
      </c>
      <c r="L586" s="37" t="n">
        <v>0</v>
      </c>
      <c r="M586" s="37" t="s">
        <v>175</v>
      </c>
    </row>
    <row r="587" customFormat="false" ht="42" hidden="false" customHeight="true" outlineLevel="0" collapsed="false">
      <c r="A587" s="37" t="s">
        <v>148</v>
      </c>
      <c r="B587" s="37" t="s">
        <v>167</v>
      </c>
      <c r="C587" s="38" t="n">
        <v>2</v>
      </c>
      <c r="D587" s="37" t="s">
        <v>299</v>
      </c>
      <c r="E587" s="37" t="s">
        <v>300</v>
      </c>
      <c r="F587" s="37" t="s">
        <v>170</v>
      </c>
      <c r="G587" s="39" t="n">
        <v>0</v>
      </c>
      <c r="H587" s="37" t="s">
        <v>301</v>
      </c>
      <c r="I587" s="37" t="s">
        <v>302</v>
      </c>
      <c r="J587" s="37" t="s">
        <v>303</v>
      </c>
      <c r="K587" s="37" t="s">
        <v>304</v>
      </c>
      <c r="L587" s="37" t="n">
        <v>0</v>
      </c>
      <c r="M587" s="37" t="s">
        <v>175</v>
      </c>
    </row>
    <row r="588" customFormat="false" ht="42" hidden="false" customHeight="true" outlineLevel="0" collapsed="false">
      <c r="A588" s="37" t="s">
        <v>148</v>
      </c>
      <c r="B588" s="37" t="s">
        <v>167</v>
      </c>
      <c r="C588" s="38" t="n">
        <v>3</v>
      </c>
      <c r="D588" s="37" t="s">
        <v>316</v>
      </c>
      <c r="E588" s="37" t="s">
        <v>337</v>
      </c>
      <c r="F588" s="37" t="s">
        <v>170</v>
      </c>
      <c r="G588" s="39" t="n">
        <v>0</v>
      </c>
      <c r="H588" s="37" t="s">
        <v>318</v>
      </c>
      <c r="I588" s="37" t="s">
        <v>302</v>
      </c>
      <c r="J588" s="37" t="s">
        <v>338</v>
      </c>
      <c r="K588" s="37" t="s">
        <v>304</v>
      </c>
      <c r="L588" s="37" t="n">
        <v>0</v>
      </c>
      <c r="M588" s="37" t="s">
        <v>175</v>
      </c>
    </row>
    <row r="589" customFormat="false" ht="42" hidden="false" customHeight="true" outlineLevel="0" collapsed="false">
      <c r="A589" s="37" t="s">
        <v>148</v>
      </c>
      <c r="B589" s="37" t="s">
        <v>167</v>
      </c>
      <c r="C589" s="38" t="n">
        <v>4</v>
      </c>
      <c r="D589" s="37" t="s">
        <v>294</v>
      </c>
      <c r="E589" s="37" t="s">
        <v>339</v>
      </c>
      <c r="F589" s="37" t="s">
        <v>170</v>
      </c>
      <c r="G589" s="39" t="n">
        <v>0</v>
      </c>
      <c r="H589" s="37" t="s">
        <v>296</v>
      </c>
      <c r="I589" s="37" t="s">
        <v>281</v>
      </c>
      <c r="J589" s="37" t="s">
        <v>340</v>
      </c>
      <c r="K589" s="37" t="s">
        <v>298</v>
      </c>
      <c r="L589" s="37" t="n">
        <v>0</v>
      </c>
      <c r="M589" s="37" t="s">
        <v>175</v>
      </c>
    </row>
    <row r="590" customFormat="false" ht="42" hidden="false" customHeight="true" outlineLevel="0" collapsed="false">
      <c r="A590" s="37" t="s">
        <v>148</v>
      </c>
      <c r="B590" s="37" t="s">
        <v>167</v>
      </c>
      <c r="C590" s="38" t="n">
        <v>5</v>
      </c>
      <c r="D590" s="37" t="s">
        <v>341</v>
      </c>
      <c r="E590" s="37" t="s">
        <v>144</v>
      </c>
      <c r="F590" s="37" t="s">
        <v>170</v>
      </c>
      <c r="G590" s="39" t="n">
        <v>0</v>
      </c>
      <c r="H590" s="37" t="s">
        <v>342</v>
      </c>
      <c r="I590" s="37" t="s">
        <v>281</v>
      </c>
      <c r="J590" s="37" t="s">
        <v>343</v>
      </c>
      <c r="K590" s="37" t="s">
        <v>298</v>
      </c>
      <c r="L590" s="37" t="n">
        <v>0</v>
      </c>
      <c r="M590" s="37" t="s">
        <v>175</v>
      </c>
    </row>
    <row r="591" customFormat="false" ht="42" hidden="false" customHeight="true" outlineLevel="0" collapsed="false">
      <c r="A591" s="37" t="s">
        <v>148</v>
      </c>
      <c r="B591" s="37" t="s">
        <v>201</v>
      </c>
      <c r="C591" s="38" t="n">
        <v>1</v>
      </c>
      <c r="D591" s="37" t="s">
        <v>242</v>
      </c>
      <c r="E591" s="37" t="s">
        <v>267</v>
      </c>
      <c r="F591" s="37" t="s">
        <v>170</v>
      </c>
      <c r="G591" s="39" t="n">
        <v>0.17257758</v>
      </c>
      <c r="H591" s="37" t="s">
        <v>245</v>
      </c>
      <c r="I591" s="37" t="s">
        <v>246</v>
      </c>
      <c r="J591" s="37" t="s">
        <v>268</v>
      </c>
      <c r="K591" s="37" t="s">
        <v>248</v>
      </c>
      <c r="L591" s="37" t="n">
        <v>0</v>
      </c>
      <c r="M591" s="37" t="s">
        <v>175</v>
      </c>
    </row>
    <row r="592" customFormat="false" ht="42" hidden="false" customHeight="true" outlineLevel="0" collapsed="false">
      <c r="A592" s="37" t="s">
        <v>148</v>
      </c>
      <c r="B592" s="37" t="s">
        <v>201</v>
      </c>
      <c r="C592" s="38" t="n">
        <v>2</v>
      </c>
      <c r="D592" s="37" t="s">
        <v>183</v>
      </c>
      <c r="E592" s="37" t="s">
        <v>352</v>
      </c>
      <c r="F592" s="37" t="s">
        <v>170</v>
      </c>
      <c r="G592" s="39" t="n">
        <v>0.1645679</v>
      </c>
      <c r="H592" s="37" t="s">
        <v>185</v>
      </c>
      <c r="I592" s="37" t="s">
        <v>186</v>
      </c>
      <c r="J592" s="37" t="s">
        <v>353</v>
      </c>
      <c r="K592" s="37" t="s">
        <v>188</v>
      </c>
      <c r="L592" s="37" t="n">
        <v>0</v>
      </c>
      <c r="M592" s="37" t="s">
        <v>175</v>
      </c>
    </row>
    <row r="593" customFormat="false" ht="42" hidden="false" customHeight="true" outlineLevel="0" collapsed="false">
      <c r="A593" s="37" t="s">
        <v>148</v>
      </c>
      <c r="B593" s="37" t="s">
        <v>201</v>
      </c>
      <c r="C593" s="38" t="n">
        <v>3</v>
      </c>
      <c r="D593" s="37" t="s">
        <v>320</v>
      </c>
      <c r="E593" s="37" t="s">
        <v>321</v>
      </c>
      <c r="F593" s="37" t="s">
        <v>170</v>
      </c>
      <c r="G593" s="39" t="n">
        <v>0.1415931</v>
      </c>
      <c r="H593" s="37" t="s">
        <v>322</v>
      </c>
      <c r="I593" s="37" t="s">
        <v>323</v>
      </c>
      <c r="J593" s="37" t="s">
        <v>324</v>
      </c>
      <c r="K593" s="37" t="s">
        <v>325</v>
      </c>
      <c r="L593" s="37" t="n">
        <v>0</v>
      </c>
      <c r="M593" s="37" t="s">
        <v>175</v>
      </c>
    </row>
    <row r="594" customFormat="false" ht="42" hidden="false" customHeight="true" outlineLevel="0" collapsed="false">
      <c r="A594" s="37" t="s">
        <v>148</v>
      </c>
      <c r="B594" s="37" t="s">
        <v>201</v>
      </c>
      <c r="C594" s="38" t="n">
        <v>4</v>
      </c>
      <c r="D594" s="37" t="s">
        <v>346</v>
      </c>
      <c r="E594" s="37" t="s">
        <v>347</v>
      </c>
      <c r="F594" s="37" t="s">
        <v>170</v>
      </c>
      <c r="G594" s="39" t="n">
        <v>0.138886</v>
      </c>
      <c r="H594" s="37" t="s">
        <v>348</v>
      </c>
      <c r="I594" s="37" t="s">
        <v>349</v>
      </c>
      <c r="J594" s="37" t="s">
        <v>350</v>
      </c>
      <c r="K594" s="37" t="s">
        <v>351</v>
      </c>
      <c r="L594" s="37" t="n">
        <v>0</v>
      </c>
      <c r="M594" s="37" t="s">
        <v>175</v>
      </c>
    </row>
    <row r="595" customFormat="false" ht="42" hidden="false" customHeight="true" outlineLevel="0" collapsed="false">
      <c r="A595" s="37" t="s">
        <v>148</v>
      </c>
      <c r="B595" s="37" t="s">
        <v>201</v>
      </c>
      <c r="C595" s="38" t="n">
        <v>5</v>
      </c>
      <c r="D595" s="37" t="s">
        <v>189</v>
      </c>
      <c r="E595" s="37" t="s">
        <v>190</v>
      </c>
      <c r="F595" s="37" t="s">
        <v>170</v>
      </c>
      <c r="G595" s="39" t="n">
        <v>0.13733105</v>
      </c>
      <c r="H595" s="37" t="s">
        <v>191</v>
      </c>
      <c r="I595" s="37" t="s">
        <v>192</v>
      </c>
      <c r="J595" s="37" t="s">
        <v>193</v>
      </c>
      <c r="K595" s="37" t="s">
        <v>194</v>
      </c>
      <c r="L595" s="37" t="n">
        <v>0</v>
      </c>
      <c r="M595" s="37" t="s">
        <v>175</v>
      </c>
    </row>
    <row r="596" customFormat="false" ht="42" hidden="false" customHeight="true" outlineLevel="0" collapsed="false">
      <c r="A596" s="37" t="s">
        <v>148</v>
      </c>
      <c r="B596" s="37" t="s">
        <v>212</v>
      </c>
      <c r="C596" s="38" t="n">
        <v>1</v>
      </c>
      <c r="D596" s="37" t="s">
        <v>183</v>
      </c>
      <c r="E596" s="37" t="s">
        <v>352</v>
      </c>
      <c r="F596" s="37" t="s">
        <v>170</v>
      </c>
      <c r="G596" s="39" t="n">
        <v>0.03073733</v>
      </c>
      <c r="H596" s="37" t="s">
        <v>185</v>
      </c>
      <c r="I596" s="37" t="s">
        <v>186</v>
      </c>
      <c r="J596" s="37" t="s">
        <v>353</v>
      </c>
      <c r="K596" s="37" t="s">
        <v>188</v>
      </c>
      <c r="L596" s="37" t="n">
        <v>0</v>
      </c>
      <c r="M596" s="37" t="s">
        <v>175</v>
      </c>
    </row>
    <row r="597" customFormat="false" ht="42" hidden="false" customHeight="true" outlineLevel="0" collapsed="false">
      <c r="A597" s="37" t="s">
        <v>148</v>
      </c>
      <c r="B597" s="37" t="s">
        <v>212</v>
      </c>
      <c r="C597" s="38" t="n">
        <v>2</v>
      </c>
      <c r="D597" s="37" t="s">
        <v>242</v>
      </c>
      <c r="E597" s="37" t="s">
        <v>267</v>
      </c>
      <c r="F597" s="37" t="s">
        <v>170</v>
      </c>
      <c r="G597" s="39" t="n">
        <v>0.01672131</v>
      </c>
      <c r="H597" s="37" t="s">
        <v>245</v>
      </c>
      <c r="I597" s="37" t="s">
        <v>246</v>
      </c>
      <c r="J597" s="37" t="s">
        <v>268</v>
      </c>
      <c r="K597" s="37" t="s">
        <v>248</v>
      </c>
      <c r="L597" s="37" t="n">
        <v>0</v>
      </c>
      <c r="M597" s="37" t="s">
        <v>175</v>
      </c>
    </row>
    <row r="598" customFormat="false" ht="42" hidden="false" customHeight="true" outlineLevel="0" collapsed="false">
      <c r="A598" s="37" t="s">
        <v>148</v>
      </c>
      <c r="B598" s="37" t="s">
        <v>212</v>
      </c>
      <c r="C598" s="38" t="n">
        <v>3</v>
      </c>
      <c r="D598" s="37" t="s">
        <v>176</v>
      </c>
      <c r="E598" s="37" t="s">
        <v>335</v>
      </c>
      <c r="F598" s="37" t="s">
        <v>170</v>
      </c>
      <c r="G598" s="39" t="n">
        <v>0.01639344</v>
      </c>
      <c r="H598" s="37" t="s">
        <v>179</v>
      </c>
      <c r="I598" s="37" t="s">
        <v>180</v>
      </c>
      <c r="J598" s="37" t="s">
        <v>336</v>
      </c>
      <c r="K598" s="37" t="s">
        <v>182</v>
      </c>
      <c r="L598" s="37" t="n">
        <v>0</v>
      </c>
      <c r="M598" s="37" t="s">
        <v>175</v>
      </c>
    </row>
    <row r="599" customFormat="false" ht="42" hidden="false" customHeight="true" outlineLevel="0" collapsed="false">
      <c r="A599" s="37" t="s">
        <v>148</v>
      </c>
      <c r="B599" s="37" t="s">
        <v>212</v>
      </c>
      <c r="C599" s="38" t="n">
        <v>4</v>
      </c>
      <c r="D599" s="37" t="s">
        <v>320</v>
      </c>
      <c r="E599" s="37" t="s">
        <v>321</v>
      </c>
      <c r="F599" s="37" t="s">
        <v>170</v>
      </c>
      <c r="G599" s="39" t="n">
        <v>0.01619048</v>
      </c>
      <c r="H599" s="37" t="s">
        <v>322</v>
      </c>
      <c r="I599" s="37" t="s">
        <v>323</v>
      </c>
      <c r="J599" s="37" t="s">
        <v>324</v>
      </c>
      <c r="K599" s="37" t="s">
        <v>325</v>
      </c>
      <c r="L599" s="37" t="n">
        <v>0</v>
      </c>
      <c r="M599" s="37" t="s">
        <v>175</v>
      </c>
    </row>
    <row r="600" customFormat="false" ht="42" hidden="false" customHeight="true" outlineLevel="0" collapsed="false">
      <c r="A600" s="37" t="s">
        <v>148</v>
      </c>
      <c r="B600" s="37" t="s">
        <v>212</v>
      </c>
      <c r="C600" s="38" t="n">
        <v>5</v>
      </c>
      <c r="D600" s="37" t="s">
        <v>299</v>
      </c>
      <c r="E600" s="37" t="s">
        <v>300</v>
      </c>
      <c r="F600" s="37" t="s">
        <v>170</v>
      </c>
      <c r="G600" s="39" t="n">
        <v>0.01612903</v>
      </c>
      <c r="H600" s="37" t="s">
        <v>301</v>
      </c>
      <c r="I600" s="37" t="s">
        <v>302</v>
      </c>
      <c r="J600" s="37" t="s">
        <v>303</v>
      </c>
      <c r="K600" s="37" t="s">
        <v>304</v>
      </c>
      <c r="L600" s="37" t="n">
        <v>0</v>
      </c>
      <c r="M600" s="37" t="s">
        <v>175</v>
      </c>
    </row>
    <row r="601" customFormat="false" ht="42" hidden="false" customHeight="true" outlineLevel="0" collapsed="false">
      <c r="A601" s="37" t="s">
        <v>148</v>
      </c>
      <c r="B601" s="37" t="s">
        <v>219</v>
      </c>
      <c r="C601" s="38" t="n">
        <v>1</v>
      </c>
      <c r="D601" s="37" t="s">
        <v>183</v>
      </c>
      <c r="E601" s="37" t="s">
        <v>352</v>
      </c>
      <c r="F601" s="37" t="s">
        <v>170</v>
      </c>
      <c r="G601" s="39" t="n">
        <v>0.0092212</v>
      </c>
      <c r="H601" s="37" t="s">
        <v>185</v>
      </c>
      <c r="I601" s="37" t="s">
        <v>186</v>
      </c>
      <c r="J601" s="37" t="s">
        <v>353</v>
      </c>
      <c r="K601" s="37" t="s">
        <v>188</v>
      </c>
      <c r="L601" s="37" t="n">
        <v>0</v>
      </c>
      <c r="M601" s="37" t="s">
        <v>175</v>
      </c>
    </row>
    <row r="602" customFormat="false" ht="42" hidden="false" customHeight="true" outlineLevel="0" collapsed="false">
      <c r="A602" s="37" t="s">
        <v>148</v>
      </c>
      <c r="B602" s="37" t="s">
        <v>219</v>
      </c>
      <c r="C602" s="38" t="n">
        <v>2</v>
      </c>
      <c r="D602" s="37" t="s">
        <v>242</v>
      </c>
      <c r="E602" s="37" t="s">
        <v>267</v>
      </c>
      <c r="F602" s="37" t="s">
        <v>170</v>
      </c>
      <c r="G602" s="39" t="n">
        <v>0.00501639</v>
      </c>
      <c r="H602" s="37" t="s">
        <v>245</v>
      </c>
      <c r="I602" s="37" t="s">
        <v>246</v>
      </c>
      <c r="J602" s="37" t="s">
        <v>268</v>
      </c>
      <c r="K602" s="37" t="s">
        <v>248</v>
      </c>
      <c r="L602" s="37" t="n">
        <v>0</v>
      </c>
      <c r="M602" s="37" t="s">
        <v>175</v>
      </c>
    </row>
    <row r="603" customFormat="false" ht="42" hidden="false" customHeight="true" outlineLevel="0" collapsed="false">
      <c r="A603" s="37" t="s">
        <v>148</v>
      </c>
      <c r="B603" s="37" t="s">
        <v>219</v>
      </c>
      <c r="C603" s="38" t="n">
        <v>3</v>
      </c>
      <c r="D603" s="37" t="s">
        <v>176</v>
      </c>
      <c r="E603" s="37" t="s">
        <v>335</v>
      </c>
      <c r="F603" s="37" t="s">
        <v>170</v>
      </c>
      <c r="G603" s="39" t="n">
        <v>0.00491803</v>
      </c>
      <c r="H603" s="37" t="s">
        <v>179</v>
      </c>
      <c r="I603" s="37" t="s">
        <v>180</v>
      </c>
      <c r="J603" s="37" t="s">
        <v>336</v>
      </c>
      <c r="K603" s="37" t="s">
        <v>182</v>
      </c>
      <c r="L603" s="37" t="n">
        <v>0</v>
      </c>
      <c r="M603" s="37" t="s">
        <v>175</v>
      </c>
    </row>
    <row r="604" customFormat="false" ht="42" hidden="false" customHeight="true" outlineLevel="0" collapsed="false">
      <c r="A604" s="37" t="s">
        <v>148</v>
      </c>
      <c r="B604" s="37" t="s">
        <v>219</v>
      </c>
      <c r="C604" s="38" t="n">
        <v>4</v>
      </c>
      <c r="D604" s="37" t="s">
        <v>320</v>
      </c>
      <c r="E604" s="37" t="s">
        <v>321</v>
      </c>
      <c r="F604" s="37" t="s">
        <v>170</v>
      </c>
      <c r="G604" s="39" t="n">
        <v>0.00485714</v>
      </c>
      <c r="H604" s="37" t="s">
        <v>322</v>
      </c>
      <c r="I604" s="37" t="s">
        <v>323</v>
      </c>
      <c r="J604" s="37" t="s">
        <v>324</v>
      </c>
      <c r="K604" s="37" t="s">
        <v>325</v>
      </c>
      <c r="L604" s="37" t="n">
        <v>0</v>
      </c>
      <c r="M604" s="37" t="s">
        <v>175</v>
      </c>
    </row>
    <row r="605" customFormat="false" ht="42" hidden="false" customHeight="true" outlineLevel="0" collapsed="false">
      <c r="A605" s="37" t="s">
        <v>148</v>
      </c>
      <c r="B605" s="37" t="s">
        <v>219</v>
      </c>
      <c r="C605" s="38" t="n">
        <v>5</v>
      </c>
      <c r="D605" s="37" t="s">
        <v>299</v>
      </c>
      <c r="E605" s="37" t="s">
        <v>300</v>
      </c>
      <c r="F605" s="37" t="s">
        <v>170</v>
      </c>
      <c r="G605" s="39" t="n">
        <v>0.00483871</v>
      </c>
      <c r="H605" s="37" t="s">
        <v>301</v>
      </c>
      <c r="I605" s="37" t="s">
        <v>302</v>
      </c>
      <c r="J605" s="37" t="s">
        <v>303</v>
      </c>
      <c r="K605" s="37" t="s">
        <v>304</v>
      </c>
      <c r="L605" s="37" t="n">
        <v>0</v>
      </c>
      <c r="M605" s="37" t="s">
        <v>175</v>
      </c>
    </row>
  </sheetData>
  <mergeCells count="2">
    <mergeCell ref="A1:M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58"/>
    <col collapsed="false" customWidth="true" hidden="false" outlineLevel="0" max="4" min="3" style="0" width="24"/>
    <col collapsed="false" customWidth="true" hidden="false" outlineLevel="0" max="5" min="5" style="0" width="52"/>
  </cols>
  <sheetData>
    <row r="1" customFormat="false" ht="33.75" hidden="false" customHeight="true" outlineLevel="0" collapsed="false">
      <c r="A1" s="29" t="s">
        <v>406</v>
      </c>
      <c r="B1" s="29"/>
      <c r="C1" s="29"/>
      <c r="D1" s="29"/>
      <c r="E1" s="29"/>
    </row>
    <row r="2" customFormat="false" ht="30" hidden="false" customHeight="true" outlineLevel="0" collapsed="false">
      <c r="A2" s="30" t="s">
        <v>407</v>
      </c>
      <c r="B2" s="30"/>
      <c r="C2" s="30"/>
      <c r="D2" s="30"/>
      <c r="E2" s="30"/>
    </row>
    <row r="4" customFormat="false" ht="31.5" hidden="false" customHeight="true" outlineLevel="0" collapsed="false">
      <c r="A4" s="31" t="s">
        <v>408</v>
      </c>
      <c r="B4" s="33" t="s">
        <v>409</v>
      </c>
      <c r="D4" s="31" t="s">
        <v>410</v>
      </c>
      <c r="E4" s="33" t="s">
        <v>411</v>
      </c>
    </row>
    <row r="5" customFormat="false" ht="30" hidden="false" customHeight="true" outlineLevel="0" collapsed="false">
      <c r="A5" s="40" t="s">
        <v>412</v>
      </c>
      <c r="B5" s="40" t="s">
        <v>413</v>
      </c>
      <c r="D5" s="40" t="s">
        <v>414</v>
      </c>
      <c r="E5" s="40" t="s">
        <v>415</v>
      </c>
    </row>
    <row r="6" customFormat="false" ht="30" hidden="false" customHeight="true" outlineLevel="0" collapsed="false">
      <c r="A6" s="40" t="s">
        <v>19</v>
      </c>
      <c r="B6" s="40" t="s">
        <v>416</v>
      </c>
      <c r="D6" s="40" t="s">
        <v>417</v>
      </c>
      <c r="E6" s="40" t="s">
        <v>418</v>
      </c>
    </row>
    <row r="7" customFormat="false" ht="30" hidden="false" customHeight="true" outlineLevel="0" collapsed="false">
      <c r="A7" s="40" t="s">
        <v>37</v>
      </c>
      <c r="B7" s="40" t="s">
        <v>419</v>
      </c>
      <c r="D7" s="40" t="s">
        <v>420</v>
      </c>
      <c r="E7" s="40" t="s">
        <v>421</v>
      </c>
    </row>
    <row r="8" customFormat="false" ht="15" hidden="false" customHeight="false" outlineLevel="0" collapsed="false">
      <c r="A8" s="40" t="s">
        <v>422</v>
      </c>
      <c r="B8" s="40" t="s">
        <v>423</v>
      </c>
    </row>
    <row r="11" customFormat="false" ht="31.5" hidden="false" customHeight="true" outlineLevel="0" collapsed="false">
      <c r="A11" s="31" t="s">
        <v>424</v>
      </c>
      <c r="B11" s="33" t="s">
        <v>425</v>
      </c>
      <c r="D11" s="31" t="s">
        <v>426</v>
      </c>
      <c r="E11" s="33" t="s">
        <v>411</v>
      </c>
    </row>
    <row r="12" customFormat="false" ht="27.75" hidden="false" customHeight="true" outlineLevel="0" collapsed="false">
      <c r="A12" s="40" t="s">
        <v>427</v>
      </c>
      <c r="B12" s="40" t="s">
        <v>428</v>
      </c>
      <c r="D12" s="41" t="n">
        <v>3</v>
      </c>
      <c r="E12" s="42" t="s">
        <v>429</v>
      </c>
    </row>
    <row r="13" customFormat="false" ht="27.75" hidden="false" customHeight="true" outlineLevel="0" collapsed="false">
      <c r="A13" s="40" t="s">
        <v>430</v>
      </c>
      <c r="B13" s="40" t="s">
        <v>431</v>
      </c>
      <c r="D13" s="41" t="n">
        <v>2</v>
      </c>
      <c r="E13" s="42" t="s">
        <v>432</v>
      </c>
    </row>
    <row r="14" customFormat="false" ht="27.75" hidden="false" customHeight="true" outlineLevel="0" collapsed="false">
      <c r="A14" s="40" t="s">
        <v>433</v>
      </c>
      <c r="B14" s="40" t="s">
        <v>434</v>
      </c>
      <c r="D14" s="41" t="n">
        <v>0</v>
      </c>
      <c r="E14" s="42" t="s">
        <v>435</v>
      </c>
    </row>
    <row r="15" customFormat="false" ht="27.75" hidden="false" customHeight="true" outlineLevel="0" collapsed="false">
      <c r="A15" s="40" t="s">
        <v>436</v>
      </c>
      <c r="B15" s="40" t="s">
        <v>437</v>
      </c>
    </row>
    <row r="16" customFormat="false" ht="27.75" hidden="false" customHeight="true" outlineLevel="0" collapsed="false">
      <c r="A16" s="40" t="s">
        <v>438</v>
      </c>
      <c r="B16" s="40" t="s">
        <v>439</v>
      </c>
    </row>
    <row r="17" customFormat="false" ht="27.75" hidden="false" customHeight="true" outlineLevel="0" collapsed="false">
      <c r="A17" s="40" t="s">
        <v>440</v>
      </c>
      <c r="B17" s="40" t="s">
        <v>441</v>
      </c>
    </row>
    <row r="18" customFormat="false" ht="27.75" hidden="false" customHeight="true" outlineLevel="0" collapsed="false">
      <c r="A18" s="40" t="s">
        <v>442</v>
      </c>
      <c r="B18" s="40" t="s">
        <v>443</v>
      </c>
    </row>
    <row r="22" customFormat="false" ht="31.5" hidden="false" customHeight="true" outlineLevel="0" collapsed="false">
      <c r="A22" s="43" t="s">
        <v>444</v>
      </c>
      <c r="B22" s="43"/>
      <c r="C22" s="43"/>
      <c r="D22" s="43"/>
      <c r="E22" s="43"/>
    </row>
    <row r="23" customFormat="false" ht="24" hidden="false" customHeight="true" outlineLevel="0" collapsed="false">
      <c r="A23" s="44" t="s">
        <v>445</v>
      </c>
      <c r="B23" s="44"/>
      <c r="C23" s="44"/>
      <c r="D23" s="44"/>
      <c r="E23" s="44"/>
    </row>
    <row r="24" customFormat="false" ht="24" hidden="false" customHeight="true" outlineLevel="0" collapsed="false">
      <c r="A24" s="44" t="s">
        <v>446</v>
      </c>
      <c r="B24" s="44"/>
      <c r="C24" s="44"/>
      <c r="D24" s="44"/>
      <c r="E24" s="44"/>
    </row>
    <row r="25" customFormat="false" ht="24" hidden="false" customHeight="true" outlineLevel="0" collapsed="false">
      <c r="A25" s="44" t="s">
        <v>447</v>
      </c>
      <c r="B25" s="44"/>
      <c r="C25" s="44"/>
      <c r="D25" s="44"/>
      <c r="E25" s="44"/>
    </row>
    <row r="26" customFormat="false" ht="24" hidden="false" customHeight="true" outlineLevel="0" collapsed="false">
      <c r="A26" s="44" t="s">
        <v>448</v>
      </c>
      <c r="B26" s="44"/>
      <c r="C26" s="44"/>
      <c r="D26" s="44"/>
      <c r="E26" s="44"/>
    </row>
    <row r="27" customFormat="false" ht="24" hidden="false" customHeight="true" outlineLevel="0" collapsed="false">
      <c r="A27" s="44" t="s">
        <v>449</v>
      </c>
      <c r="B27" s="44"/>
      <c r="C27" s="44"/>
      <c r="D27" s="44"/>
      <c r="E27" s="44"/>
    </row>
  </sheetData>
  <mergeCells count="8">
    <mergeCell ref="A1:E1"/>
    <mergeCell ref="A2:E2"/>
    <mergeCell ref="A22:E22"/>
    <mergeCell ref="A23:E23"/>
    <mergeCell ref="A24:E24"/>
    <mergeCell ref="A25:E25"/>
    <mergeCell ref="A26:E26"/>
    <mergeCell ref="A27:E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2026-09-07T16:40:34Z</dcterms:created>
  <dc:creator>openpyxl</dc:creator>
  <dc:description/>
  <dc:language>en-US</dc:language>
  <cp:lastModifiedBy/>
  <dcterms:modified xsi:type="dcterms:W3CDTF">2026-09-07T16:40:34Z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